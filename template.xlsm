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A6B5A48-52EA-4292-87C7-6FC0CBAE1C83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シフト一覧（転載）" sheetId="1" r:id="rId1"/>
    <sheet name="▼提出用▼" sheetId="2" r:id="rId2"/>
    <sheet name="まとめ" sheetId="3" r:id="rId3"/>
    <sheet name="通常保育" sheetId="4" r:id="rId4"/>
    <sheet name="病児・一時" sheetId="5" r:id="rId5"/>
    <sheet name="Page_1" sheetId="6" r:id="rId6"/>
    <sheet name="Page_2" sheetId="7" r:id="rId7"/>
    <sheet name="Page_3" sheetId="8" r:id="rId8"/>
    <sheet name="Page_4" sheetId="9" r:id="rId9"/>
    <sheet name="Page_5" sheetId="10" r:id="rId10"/>
    <sheet name="Page_6" sheetId="11" r:id="rId11"/>
    <sheet name="Page_7" sheetId="12" r:id="rId12"/>
    <sheet name="Page_8" sheetId="13" r:id="rId13"/>
    <sheet name="Page_9" sheetId="14" r:id="rId14"/>
    <sheet name="Page_10" sheetId="15" r:id="rId15"/>
    <sheet name="Page_11" sheetId="16" r:id="rId16"/>
    <sheet name="Page_12" sheetId="17" r:id="rId17"/>
    <sheet name="Page_13" sheetId="18" r:id="rId18"/>
    <sheet name="Page_14" sheetId="19" r:id="rId19"/>
  </sheets>
  <functionGroups builtInGroupCount="19"/>
  <definedNames>
    <definedName name="_xlpm.row_num" hidden="1" xlm="1">#NAME?</definedName>
    <definedName name="_xlpm.病児データ" hidden="1" xlm="1">#NAME?</definedName>
    <definedName name="_xlnm.Print_Area" localSheetId="1">▼提出用▼!$A$1:$J$43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2" l="1"/>
  <c r="D29" i="2"/>
  <c r="D30" i="2"/>
  <c r="D31" i="2"/>
  <c r="D32" i="2"/>
  <c r="D33" i="2"/>
  <c r="D34" i="2"/>
  <c r="D35" i="2"/>
  <c r="D36" i="2"/>
  <c r="D37" i="2"/>
  <c r="B5" i="4"/>
  <c r="K4" i="3"/>
  <c r="B5" i="3"/>
  <c r="B1" i="3"/>
  <c r="D1" i="3"/>
  <c r="M9" i="3"/>
  <c r="D17" i="5"/>
  <c r="E17" i="5"/>
  <c r="F17" i="5"/>
  <c r="G17" i="5"/>
  <c r="H17" i="5" s="1"/>
  <c r="I17" i="5"/>
  <c r="D18" i="5"/>
  <c r="E18" i="5"/>
  <c r="F18" i="5"/>
  <c r="G18" i="5"/>
  <c r="H18" i="5" s="1"/>
  <c r="I18" i="5"/>
  <c r="D19" i="5"/>
  <c r="E19" i="5"/>
  <c r="F19" i="5"/>
  <c r="G19" i="5"/>
  <c r="H19" i="5" s="1"/>
  <c r="I19" i="5"/>
  <c r="D20" i="5"/>
  <c r="E20" i="5"/>
  <c r="F20" i="5"/>
  <c r="G20" i="5"/>
  <c r="H20" i="5" s="1"/>
  <c r="I20" i="5"/>
  <c r="D21" i="5"/>
  <c r="E21" i="5"/>
  <c r="F21" i="5"/>
  <c r="G21" i="5"/>
  <c r="H21" i="5" s="1"/>
  <c r="I21" i="5"/>
  <c r="D22" i="5"/>
  <c r="E22" i="5"/>
  <c r="F22" i="5"/>
  <c r="G22" i="5"/>
  <c r="H22" i="5" s="1"/>
  <c r="I22" i="5"/>
  <c r="D23" i="5"/>
  <c r="E23" i="5"/>
  <c r="F23" i="5"/>
  <c r="G23" i="5"/>
  <c r="H23" i="5" s="1"/>
  <c r="I23" i="5"/>
  <c r="D24" i="5"/>
  <c r="E24" i="5"/>
  <c r="F24" i="5"/>
  <c r="G24" i="5"/>
  <c r="H24" i="5" s="1"/>
  <c r="I24" i="5"/>
  <c r="D25" i="5"/>
  <c r="E25" i="5"/>
  <c r="F25" i="5"/>
  <c r="G25" i="5"/>
  <c r="H25" i="5" s="1"/>
  <c r="I25" i="5"/>
  <c r="D26" i="5"/>
  <c r="E26" i="5"/>
  <c r="F26" i="5"/>
  <c r="G26" i="5"/>
  <c r="H26" i="5" s="1"/>
  <c r="I26" i="5"/>
  <c r="D27" i="5"/>
  <c r="E27" i="5"/>
  <c r="F27" i="5"/>
  <c r="G27" i="5"/>
  <c r="H27" i="5" s="1"/>
  <c r="I27" i="5"/>
  <c r="D28" i="5"/>
  <c r="E28" i="5"/>
  <c r="F28" i="5"/>
  <c r="G28" i="5"/>
  <c r="H28" i="5" s="1"/>
  <c r="I28" i="5"/>
  <c r="D29" i="5"/>
  <c r="E29" i="5"/>
  <c r="F29" i="5"/>
  <c r="G29" i="5"/>
  <c r="H29" i="5" s="1"/>
  <c r="I29" i="5"/>
  <c r="D30" i="5"/>
  <c r="E30" i="5"/>
  <c r="F30" i="5"/>
  <c r="G30" i="5"/>
  <c r="H30" i="5" s="1"/>
  <c r="I30" i="5"/>
  <c r="D31" i="5"/>
  <c r="E31" i="5"/>
  <c r="F31" i="5"/>
  <c r="G31" i="5"/>
  <c r="H31" i="5" s="1"/>
  <c r="I31" i="5"/>
  <c r="D32" i="5"/>
  <c r="E32" i="5"/>
  <c r="F32" i="5"/>
  <c r="G32" i="5"/>
  <c r="H32" i="5" s="1"/>
  <c r="I32" i="5"/>
  <c r="D33" i="5"/>
  <c r="E33" i="5"/>
  <c r="F33" i="5"/>
  <c r="G33" i="5"/>
  <c r="H33" i="5" s="1"/>
  <c r="I33" i="5"/>
  <c r="D34" i="5"/>
  <c r="E34" i="5"/>
  <c r="F34" i="5"/>
  <c r="G34" i="5"/>
  <c r="H34" i="5" s="1"/>
  <c r="I34" i="5"/>
  <c r="D35" i="5"/>
  <c r="E35" i="5"/>
  <c r="F35" i="5"/>
  <c r="G35" i="5"/>
  <c r="H35" i="5" s="1"/>
  <c r="I35" i="5"/>
  <c r="D36" i="5"/>
  <c r="E36" i="5"/>
  <c r="F36" i="5"/>
  <c r="G36" i="5"/>
  <c r="H36" i="5" s="1"/>
  <c r="I36" i="5"/>
  <c r="D37" i="5"/>
  <c r="E37" i="5"/>
  <c r="F37" i="5"/>
  <c r="G37" i="5"/>
  <c r="H37" i="5" s="1"/>
  <c r="I37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A34" i="4"/>
  <c r="D34" i="4"/>
  <c r="E34" i="4"/>
  <c r="F34" i="4"/>
  <c r="G34" i="4"/>
  <c r="H34" i="4"/>
  <c r="I34" i="4" s="1"/>
  <c r="J34" i="4"/>
  <c r="K34" i="4"/>
  <c r="A35" i="4"/>
  <c r="D35" i="4"/>
  <c r="E35" i="4"/>
  <c r="F35" i="4"/>
  <c r="G35" i="4"/>
  <c r="H35" i="4"/>
  <c r="I35" i="4" s="1"/>
  <c r="J35" i="4"/>
  <c r="K35" i="4"/>
  <c r="A36" i="4"/>
  <c r="D36" i="4"/>
  <c r="E36" i="4"/>
  <c r="F36" i="4"/>
  <c r="G36" i="4"/>
  <c r="H36" i="4"/>
  <c r="I36" i="4" s="1"/>
  <c r="J36" i="4"/>
  <c r="K36" i="4"/>
  <c r="A37" i="4"/>
  <c r="D37" i="4"/>
  <c r="E37" i="4"/>
  <c r="F37" i="4"/>
  <c r="G37" i="4"/>
  <c r="H37" i="4"/>
  <c r="I37" i="4" s="1"/>
  <c r="J37" i="4"/>
  <c r="K37" i="4"/>
  <c r="C34" i="4"/>
  <c r="L34" i="4"/>
  <c r="C35" i="4"/>
  <c r="L35" i="4"/>
  <c r="C36" i="4"/>
  <c r="L36" i="4"/>
  <c r="C37" i="4"/>
  <c r="L37" i="4"/>
  <c r="F13" i="3"/>
  <c r="F21" i="3"/>
  <c r="F29" i="3"/>
  <c r="F37" i="3"/>
  <c r="F36" i="3"/>
  <c r="F14" i="3"/>
  <c r="F22" i="3"/>
  <c r="F30" i="3"/>
  <c r="F38" i="3"/>
  <c r="F18" i="3"/>
  <c r="F15" i="3"/>
  <c r="F23" i="3"/>
  <c r="F31" i="3"/>
  <c r="F39" i="3"/>
  <c r="F34" i="3"/>
  <c r="F16" i="3"/>
  <c r="F24" i="3"/>
  <c r="F32" i="3"/>
  <c r="F40" i="3"/>
  <c r="F17" i="3"/>
  <c r="F25" i="3"/>
  <c r="F33" i="3"/>
  <c r="F41" i="3"/>
  <c r="F26" i="3"/>
  <c r="F19" i="3"/>
  <c r="F27" i="3"/>
  <c r="F35" i="3"/>
  <c r="F20" i="3"/>
  <c r="F28" i="3"/>
  <c r="F12" i="3"/>
  <c r="D13" i="3" a="1"/>
  <c r="D21" i="3" a="1"/>
  <c r="D29" i="3" a="1"/>
  <c r="D37" i="3" a="1"/>
  <c r="D16" i="3" a="1"/>
  <c r="D24" i="3" a="1"/>
  <c r="D32" i="3" a="1"/>
  <c r="D40" i="3" a="1"/>
  <c r="D19" i="3" a="1"/>
  <c r="D27" i="3" a="1"/>
  <c r="D35" i="3" a="1"/>
  <c r="D14" i="3" a="1"/>
  <c r="D22" i="3" a="1"/>
  <c r="D30" i="3" a="1"/>
  <c r="D38" i="3" a="1"/>
  <c r="D17" i="3" a="1"/>
  <c r="D25" i="3" a="1"/>
  <c r="D33" i="3" a="1"/>
  <c r="D41" i="3" a="1"/>
  <c r="D26" i="3" a="1"/>
  <c r="D34" i="3" a="1"/>
  <c r="D20" i="3" a="1"/>
  <c r="D28" i="3" a="1"/>
  <c r="D36" i="3" a="1"/>
  <c r="D18" i="3" a="1"/>
  <c r="D15" i="3" a="1"/>
  <c r="D23" i="3" a="1"/>
  <c r="D31" i="3" a="1"/>
  <c r="D39" i="3" a="1"/>
  <c r="D12" i="3" a="1"/>
  <c r="C12" i="3" a="1"/>
  <c r="C16" i="3" a="1"/>
  <c r="C20" i="3" a="1"/>
  <c r="C24" i="3" a="1"/>
  <c r="C13" i="3" a="1"/>
  <c r="C17" i="3" a="1"/>
  <c r="C21" i="3" a="1"/>
  <c r="C25" i="3" a="1"/>
  <c r="C14" i="3" a="1"/>
  <c r="C18" i="3" a="1"/>
  <c r="C22" i="3" a="1"/>
  <c r="C15" i="3" a="1"/>
  <c r="C19" i="3" a="1"/>
  <c r="C23" i="3" a="1"/>
  <c r="C27" i="3" a="1"/>
  <c r="C31" i="3" a="1"/>
  <c r="C35" i="3" a="1"/>
  <c r="C39" i="3" a="1"/>
  <c r="C30" i="3" a="1"/>
  <c r="C28" i="3" a="1"/>
  <c r="C32" i="3" a="1"/>
  <c r="C36" i="3" a="1"/>
  <c r="C40" i="3" a="1"/>
  <c r="C34" i="3" a="1"/>
  <c r="C29" i="3" a="1"/>
  <c r="C33" i="3" a="1"/>
  <c r="C37" i="3" a="1"/>
  <c r="C41" i="3" a="1"/>
  <c r="C38" i="3" a="1"/>
  <c r="C26" i="3" a="1"/>
  <c r="B27" i="3" a="1"/>
  <c r="B31" i="3" a="1"/>
  <c r="B35" i="3" a="1"/>
  <c r="B39" i="3" a="1"/>
  <c r="B28" i="3" a="1"/>
  <c r="B32" i="3" a="1"/>
  <c r="B36" i="3" a="1"/>
  <c r="B40" i="3" a="1"/>
  <c r="B29" i="3" a="1"/>
  <c r="B33" i="3" a="1"/>
  <c r="B37" i="3" a="1"/>
  <c r="B41" i="3" a="1"/>
  <c r="B30" i="3" a="1"/>
  <c r="B34" i="3" a="1"/>
  <c r="B38" i="3" a="1"/>
  <c r="B12" i="3" a="1"/>
  <c r="B16" i="3" a="1"/>
  <c r="B20" i="3" a="1"/>
  <c r="B24" i="3" a="1"/>
  <c r="B13" i="3" a="1"/>
  <c r="B17" i="3" a="1"/>
  <c r="B21" i="3" a="1"/>
  <c r="B25" i="3" a="1"/>
  <c r="B14" i="3" a="1"/>
  <c r="B18" i="3" a="1"/>
  <c r="B22" i="3" a="1"/>
  <c r="B26" i="3" a="1"/>
  <c r="B15" i="3" a="1"/>
  <c r="B19" i="3" a="1"/>
  <c r="B23" i="3" a="1"/>
  <c r="G12" i="3" l="1"/>
  <c r="G20" i="3"/>
  <c r="G19" i="3"/>
  <c r="G25" i="3"/>
  <c r="G17" i="3"/>
  <c r="G24" i="3"/>
  <c r="G16" i="3"/>
  <c r="G23" i="3"/>
  <c r="G15" i="3"/>
  <c r="G18" i="3"/>
  <c r="G22" i="3"/>
  <c r="G14" i="3"/>
  <c r="G21" i="3"/>
  <c r="G13" i="3"/>
  <c r="G28" i="3"/>
  <c r="G35" i="3"/>
  <c r="G27" i="3"/>
  <c r="G41" i="3"/>
  <c r="G33" i="3"/>
  <c r="G40" i="3"/>
  <c r="G32" i="3"/>
  <c r="G34" i="3"/>
  <c r="G39" i="3"/>
  <c r="G31" i="3"/>
  <c r="G38" i="3"/>
  <c r="G30" i="3"/>
  <c r="G36" i="3"/>
  <c r="G37" i="3"/>
  <c r="G29" i="3"/>
  <c r="G26" i="3"/>
  <c r="D39" i="3"/>
  <c r="E39" i="3" s="1"/>
  <c r="D31" i="3"/>
  <c r="E31" i="3" s="1"/>
  <c r="D23" i="3"/>
  <c r="E23" i="3" s="1"/>
  <c r="D15" i="3"/>
  <c r="E15" i="3" s="1"/>
  <c r="D18" i="3"/>
  <c r="E18" i="3" s="1"/>
  <c r="D36" i="3"/>
  <c r="E36" i="3" s="1"/>
  <c r="D28" i="3"/>
  <c r="E28" i="3" s="1"/>
  <c r="D20" i="3"/>
  <c r="E20" i="3" s="1"/>
  <c r="D34" i="3"/>
  <c r="E34" i="3" s="1"/>
  <c r="D26" i="3"/>
  <c r="E26" i="3" s="1"/>
  <c r="D41" i="3"/>
  <c r="E41" i="3" s="1"/>
  <c r="D33" i="3"/>
  <c r="E33" i="3" s="1"/>
  <c r="D25" i="3"/>
  <c r="E25" i="3" s="1"/>
  <c r="D17" i="3"/>
  <c r="E17" i="3" s="1"/>
  <c r="D38" i="3"/>
  <c r="E38" i="3" s="1"/>
  <c r="D30" i="3"/>
  <c r="E30" i="3" s="1"/>
  <c r="D22" i="3"/>
  <c r="E22" i="3" s="1"/>
  <c r="D14" i="3"/>
  <c r="E14" i="3" s="1"/>
  <c r="D35" i="3"/>
  <c r="E35" i="3" s="1"/>
  <c r="D27" i="3"/>
  <c r="E27" i="3" s="1"/>
  <c r="D19" i="3"/>
  <c r="E19" i="3" s="1"/>
  <c r="D40" i="3"/>
  <c r="E40" i="3" s="1"/>
  <c r="D32" i="3"/>
  <c r="E32" i="3" s="1"/>
  <c r="D24" i="3"/>
  <c r="E24" i="3" s="1"/>
  <c r="D16" i="3"/>
  <c r="E16" i="3" s="1"/>
  <c r="D37" i="3"/>
  <c r="E37" i="3" s="1"/>
  <c r="D29" i="3"/>
  <c r="E29" i="3" s="1"/>
  <c r="D21" i="3"/>
  <c r="E21" i="3" s="1"/>
  <c r="D13" i="3"/>
  <c r="E13" i="3" s="1"/>
  <c r="D12" i="3"/>
  <c r="C23" i="3"/>
  <c r="C19" i="3"/>
  <c r="C15" i="3"/>
  <c r="C22" i="3"/>
  <c r="C18" i="3"/>
  <c r="C14" i="3"/>
  <c r="C25" i="3"/>
  <c r="C21" i="3"/>
  <c r="C17" i="3"/>
  <c r="C13" i="3"/>
  <c r="C24" i="3"/>
  <c r="C20" i="3"/>
  <c r="C16" i="3"/>
  <c r="C12" i="3"/>
  <c r="C38" i="3"/>
  <c r="C41" i="3"/>
  <c r="C37" i="3"/>
  <c r="C33" i="3"/>
  <c r="C29" i="3"/>
  <c r="C34" i="3"/>
  <c r="C40" i="3"/>
  <c r="C36" i="3"/>
  <c r="C32" i="3"/>
  <c r="C28" i="3"/>
  <c r="C30" i="3"/>
  <c r="C39" i="3"/>
  <c r="C35" i="3"/>
  <c r="C31" i="3"/>
  <c r="C27" i="3"/>
  <c r="C26" i="3"/>
  <c r="B38" i="3"/>
  <c r="B34" i="3"/>
  <c r="B30" i="3"/>
  <c r="B41" i="3"/>
  <c r="B37" i="3"/>
  <c r="B33" i="3"/>
  <c r="B29" i="3"/>
  <c r="B40" i="3"/>
  <c r="B36" i="3"/>
  <c r="B32" i="3"/>
  <c r="B28" i="3"/>
  <c r="B39" i="3"/>
  <c r="B35" i="3"/>
  <c r="B31" i="3"/>
  <c r="B27" i="3"/>
  <c r="B23" i="3"/>
  <c r="B19" i="3"/>
  <c r="B15" i="3"/>
  <c r="B26" i="3"/>
  <c r="B22" i="3"/>
  <c r="B18" i="3"/>
  <c r="B14" i="3"/>
  <c r="B25" i="3"/>
  <c r="B21" i="3"/>
  <c r="B17" i="3"/>
  <c r="B13" i="3"/>
  <c r="B24" i="3"/>
  <c r="B20" i="3"/>
  <c r="B16" i="3"/>
  <c r="B12" i="3"/>
  <c r="J31" i="5"/>
  <c r="J33" i="5"/>
  <c r="J22" i="5"/>
  <c r="J21" i="5"/>
  <c r="J30" i="5"/>
  <c r="J34" i="5"/>
  <c r="J26" i="5"/>
  <c r="J29" i="5"/>
  <c r="J36" i="5"/>
  <c r="J37" i="5"/>
  <c r="J27" i="5"/>
  <c r="J17" i="5"/>
  <c r="J23" i="5"/>
  <c r="J25" i="5"/>
  <c r="J18" i="5"/>
  <c r="J28" i="5"/>
  <c r="J32" i="5"/>
  <c r="J35" i="5"/>
  <c r="J19" i="5"/>
  <c r="J20" i="5"/>
  <c r="J24" i="5"/>
  <c r="J12" i="3" a="1"/>
  <c r="J12" i="3" l="1"/>
  <c r="E29" i="2" a="1"/>
  <c r="E29" i="2" s="1"/>
  <c r="G33" i="2" a="1"/>
  <c r="G33" i="2" s="1"/>
  <c r="E37" i="2" a="1"/>
  <c r="E37" i="2" s="1"/>
  <c r="E28" i="2" a="1"/>
  <c r="E28" i="2" s="1"/>
  <c r="G32" i="2" a="1"/>
  <c r="G32" i="2" s="1"/>
  <c r="E36" i="2" a="1"/>
  <c r="E36" i="2" s="1"/>
  <c r="G31" i="2" a="1"/>
  <c r="G31" i="2" s="1"/>
  <c r="E35" i="2" a="1"/>
  <c r="E35" i="2" s="1"/>
  <c r="G34" i="2" a="1"/>
  <c r="G34" i="2" s="1"/>
  <c r="G30" i="2" a="1"/>
  <c r="G30" i="2" s="1"/>
  <c r="E34" i="2" a="1"/>
  <c r="E34" i="2" s="1"/>
  <c r="E30" i="2" a="1"/>
  <c r="E30" i="2" s="1"/>
  <c r="G29" i="2" a="1"/>
  <c r="G29" i="2" s="1"/>
  <c r="E33" i="2" a="1"/>
  <c r="E33" i="2" s="1"/>
  <c r="G37" i="2" a="1"/>
  <c r="G37" i="2" s="1"/>
  <c r="G28" i="2" a="1"/>
  <c r="G28" i="2" s="1"/>
  <c r="E32" i="2" a="1"/>
  <c r="E32" i="2" s="1"/>
  <c r="G36" i="2" a="1"/>
  <c r="G36" i="2" s="1"/>
  <c r="E31" i="2" a="1"/>
  <c r="E31" i="2" s="1"/>
  <c r="G35" i="2" a="1"/>
  <c r="G35" i="2" s="1"/>
  <c r="H25" i="3" a="1"/>
  <c r="H25" i="3" s="1"/>
  <c r="H12" i="3" a="1"/>
  <c r="H12" i="3" s="1"/>
  <c r="H14" i="3" a="1"/>
  <c r="H14" i="3" s="1"/>
  <c r="H16" i="3" a="1"/>
  <c r="H16" i="3" s="1"/>
  <c r="H18" i="3" a="1"/>
  <c r="H18" i="3" s="1"/>
  <c r="H20" i="3" a="1"/>
  <c r="H20" i="3" s="1"/>
  <c r="H22" i="3" a="1"/>
  <c r="H22" i="3" s="1"/>
  <c r="H24" i="3" a="1"/>
  <c r="H24" i="3" s="1"/>
  <c r="H13" i="3" a="1"/>
  <c r="H13" i="3" s="1"/>
  <c r="H15" i="3" a="1"/>
  <c r="H15" i="3" s="1"/>
  <c r="H17" i="3" a="1"/>
  <c r="H17" i="3" s="1"/>
  <c r="H19" i="3" a="1"/>
  <c r="H19" i="3" s="1"/>
  <c r="H21" i="3" a="1"/>
  <c r="H21" i="3" s="1"/>
  <c r="H23" i="3" a="1"/>
  <c r="H23" i="3" s="1"/>
  <c r="H35" i="3" a="1"/>
  <c r="H35" i="3" s="1"/>
  <c r="I35" i="3"/>
  <c r="J35" i="3" a="1"/>
  <c r="J35" i="3" s="1"/>
  <c r="H37" i="3" a="1"/>
  <c r="H37" i="3" s="1"/>
  <c r="J37" i="3" a="1"/>
  <c r="J37" i="3" s="1"/>
  <c r="I37" i="3"/>
  <c r="H28" i="3" a="1"/>
  <c r="H28" i="3" s="1"/>
  <c r="I28" i="3"/>
  <c r="J28" i="3" a="1"/>
  <c r="J28" i="3" s="1"/>
  <c r="H30" i="3" a="1"/>
  <c r="H30" i="3" s="1"/>
  <c r="I30" i="3"/>
  <c r="J30" i="3" a="1"/>
  <c r="J30" i="3" s="1"/>
  <c r="H32" i="3" a="1"/>
  <c r="H32" i="3" s="1"/>
  <c r="J32" i="3" a="1"/>
  <c r="J32" i="3" s="1"/>
  <c r="I32" i="3"/>
  <c r="H34" i="3" a="1"/>
  <c r="H34" i="3" s="1"/>
  <c r="I34" i="3"/>
  <c r="J34" i="3" a="1"/>
  <c r="J34" i="3" s="1"/>
  <c r="H36" i="3" a="1"/>
  <c r="H36" i="3" s="1"/>
  <c r="I36" i="3"/>
  <c r="J36" i="3" a="1"/>
  <c r="J36" i="3" s="1"/>
  <c r="H38" i="3" a="1"/>
  <c r="H38" i="3" s="1"/>
  <c r="I38" i="3"/>
  <c r="J38" i="3" a="1"/>
  <c r="J38" i="3" s="1"/>
  <c r="H31" i="3" a="1"/>
  <c r="H31" i="3" s="1"/>
  <c r="I31" i="3"/>
  <c r="J31" i="3" a="1"/>
  <c r="J31" i="3" s="1"/>
  <c r="H33" i="3" a="1"/>
  <c r="H33" i="3" s="1"/>
  <c r="I33" i="3"/>
  <c r="J33" i="3" a="1"/>
  <c r="J33" i="3" s="1"/>
  <c r="H40" i="3" a="1"/>
  <c r="H40" i="3" s="1"/>
  <c r="J40" i="3" a="1"/>
  <c r="J40" i="3" s="1"/>
  <c r="I40" i="3"/>
  <c r="H39" i="3" a="1"/>
  <c r="H39" i="3" s="1"/>
  <c r="I39" i="3"/>
  <c r="J39" i="3" a="1"/>
  <c r="J39" i="3" s="1"/>
  <c r="H41" i="3" a="1"/>
  <c r="H41" i="3" s="1"/>
  <c r="I41" i="3"/>
  <c r="J41" i="3" a="1"/>
  <c r="J41" i="3" s="1"/>
  <c r="H27" i="3" a="1"/>
  <c r="H27" i="3" s="1"/>
  <c r="I27" i="3"/>
  <c r="J27" i="3" a="1"/>
  <c r="J27" i="3" s="1"/>
  <c r="H29" i="3" a="1"/>
  <c r="H29" i="3" s="1"/>
  <c r="J29" i="3" a="1"/>
  <c r="J29" i="3" s="1"/>
  <c r="I29" i="3"/>
  <c r="I26" i="3"/>
  <c r="F29" i="2" s="1" a="1"/>
  <c r="F29" i="2" s="1"/>
  <c r="J26" i="3" a="1"/>
  <c r="J26" i="3" s="1"/>
  <c r="H26" i="3" a="1"/>
  <c r="H26" i="3" s="1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J14" i="3" a="1"/>
  <c r="J25" i="3" a="1"/>
  <c r="J20" i="3" a="1"/>
  <c r="J13" i="3" a="1"/>
  <c r="J19" i="3" a="1"/>
  <c r="J16" i="3" a="1"/>
  <c r="J22" i="3" a="1"/>
  <c r="J23" i="3" a="1"/>
  <c r="J15" i="3" a="1"/>
  <c r="J21" i="3" a="1"/>
  <c r="J24" i="3" a="1"/>
  <c r="J17" i="3" a="1"/>
  <c r="J18" i="3" a="1"/>
  <c r="F32" i="2" l="1" a="1"/>
  <c r="F32" i="2" s="1"/>
  <c r="F28" i="2" a="1"/>
  <c r="F28" i="2" s="1"/>
  <c r="F30" i="2" a="1"/>
  <c r="F30" i="2" s="1"/>
  <c r="F33" i="2" a="1"/>
  <c r="F33" i="2" s="1"/>
  <c r="F35" i="2" a="1"/>
  <c r="F35" i="2" s="1"/>
  <c r="F37" i="2" a="1"/>
  <c r="F37" i="2" s="1"/>
  <c r="F34" i="2" a="1"/>
  <c r="F34" i="2" s="1"/>
  <c r="F31" i="2" a="1"/>
  <c r="F31" i="2" s="1"/>
  <c r="F36" i="2" a="1"/>
  <c r="F36" i="2" s="1"/>
  <c r="J18" i="3"/>
  <c r="J17" i="3"/>
  <c r="J24" i="3"/>
  <c r="J21" i="3"/>
  <c r="J15" i="3"/>
  <c r="J23" i="3"/>
  <c r="J22" i="3"/>
  <c r="J16" i="3"/>
  <c r="J19" i="3"/>
  <c r="J13" i="3"/>
  <c r="J20" i="3"/>
  <c r="J25" i="3"/>
  <c r="J14" i="3"/>
  <c r="E5" i="5"/>
  <c r="D5" i="5"/>
  <c r="E4" i="5"/>
  <c r="D5" i="4"/>
  <c r="G5" i="3"/>
  <c r="E5" i="3"/>
  <c r="I1" i="2"/>
  <c r="B9" i="3" a="1"/>
  <c r="K6" i="3" l="1"/>
  <c r="B9" i="3"/>
  <c r="A12" i="3" s="1"/>
  <c r="B2" i="4"/>
  <c r="B2" i="5"/>
  <c r="D9" i="3" l="1"/>
  <c r="A13" i="3"/>
  <c r="E12" i="3"/>
  <c r="B8" i="4" s="1" a="1"/>
  <c r="B8" i="4" s="1"/>
  <c r="B5" i="5" l="1"/>
  <c r="A14" i="3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M12" i="3" l="1" a="1"/>
  <c r="M12" i="3" s="1"/>
  <c r="C18" i="2" l="1" a="1"/>
  <c r="M14" i="3" a="1"/>
  <c r="M14" i="3" s="1"/>
  <c r="M26" i="3" a="1"/>
  <c r="M26" i="3" s="1"/>
  <c r="M36" i="3" a="1"/>
  <c r="M36" i="3" s="1"/>
  <c r="M46" i="3" a="1"/>
  <c r="M46" i="3" s="1"/>
  <c r="M68" i="3" a="1"/>
  <c r="M68" i="3" s="1"/>
  <c r="P68" i="3" s="1" a="1"/>
  <c r="P68" i="3" s="1"/>
  <c r="Q68" i="3" s="1" a="1"/>
  <c r="Q68" i="3" s="1"/>
  <c r="M22" i="3" a="1"/>
  <c r="M22" i="3" s="1"/>
  <c r="M20" i="3" a="1"/>
  <c r="M20" i="3" s="1"/>
  <c r="M24" i="3" a="1"/>
  <c r="M24" i="3" s="1"/>
  <c r="M38" i="3" a="1"/>
  <c r="M38" i="3" s="1"/>
  <c r="N38" i="3" s="1"/>
  <c r="M54" i="3" a="1"/>
  <c r="M54" i="3" s="1"/>
  <c r="M40" i="3" a="1"/>
  <c r="M40" i="3" s="1"/>
  <c r="N40" i="3" s="1"/>
  <c r="M64" i="3" a="1"/>
  <c r="M64" i="3" s="1"/>
  <c r="M70" i="3" a="1"/>
  <c r="M70" i="3" s="1"/>
  <c r="M62" i="3" a="1"/>
  <c r="M62" i="3" s="1"/>
  <c r="P63" i="3" s="1" a="1"/>
  <c r="P63" i="3" s="1"/>
  <c r="M56" i="3" a="1"/>
  <c r="M56" i="3" s="1"/>
  <c r="M16" i="3" a="1"/>
  <c r="M16" i="3" s="1"/>
  <c r="N16" i="3" s="1"/>
  <c r="M34" i="3" a="1"/>
  <c r="M34" i="3" s="1"/>
  <c r="M48" i="3" a="1"/>
  <c r="M48" i="3" s="1"/>
  <c r="P48" i="3" s="1" a="1"/>
  <c r="P48" i="3" s="1"/>
  <c r="M32" i="3" a="1"/>
  <c r="M32" i="3" s="1"/>
  <c r="N32" i="3" s="1"/>
  <c r="M52" i="3" a="1"/>
  <c r="M52" i="3" s="1"/>
  <c r="M28" i="3" a="1"/>
  <c r="M28" i="3" s="1"/>
  <c r="M44" i="3" a="1"/>
  <c r="M44" i="3" s="1"/>
  <c r="M42" i="3" a="1"/>
  <c r="M42" i="3" s="1"/>
  <c r="M30" i="3" a="1"/>
  <c r="M30" i="3" s="1"/>
  <c r="P30" i="3" s="1" a="1"/>
  <c r="P30" i="3" s="1"/>
  <c r="Q31" i="3" s="1"/>
  <c r="M50" i="3" a="1"/>
  <c r="M50" i="3" s="1"/>
  <c r="M58" i="3" a="1"/>
  <c r="M58" i="3" s="1"/>
  <c r="M66" i="3" a="1"/>
  <c r="M66" i="3" s="1"/>
  <c r="P67" i="3" s="1" a="1"/>
  <c r="P67" i="3" s="1"/>
  <c r="M60" i="3" a="1"/>
  <c r="M60" i="3" s="1"/>
  <c r="P60" i="3" s="1" a="1"/>
  <c r="P60" i="3" s="1"/>
  <c r="Q60" i="3" s="1" a="1"/>
  <c r="Q60" i="3" s="1"/>
  <c r="M18" i="3" a="1"/>
  <c r="M18" i="3" s="1"/>
  <c r="N12" i="3"/>
  <c r="P12" i="3" a="1"/>
  <c r="P12" i="3" s="1"/>
  <c r="P13" i="3" a="1"/>
  <c r="P13" i="3" s="1"/>
  <c r="D19" i="2" l="1"/>
  <c r="E19" i="2" s="1" a="1"/>
  <c r="E19" i="2" s="1"/>
  <c r="D27" i="2"/>
  <c r="D20" i="2"/>
  <c r="E20" i="2" s="1" a="1"/>
  <c r="E20" i="2" s="1"/>
  <c r="D21" i="2"/>
  <c r="D22" i="2"/>
  <c r="D23" i="2"/>
  <c r="D24" i="2"/>
  <c r="D25" i="2"/>
  <c r="D26" i="2"/>
  <c r="I14" i="3"/>
  <c r="I21" i="3"/>
  <c r="I16" i="3"/>
  <c r="I25" i="3"/>
  <c r="I13" i="3"/>
  <c r="C18" i="2"/>
  <c r="D18" i="2" s="1"/>
  <c r="A29" i="4"/>
  <c r="C11" i="4"/>
  <c r="H25" i="4"/>
  <c r="E19" i="4"/>
  <c r="L21" i="4"/>
  <c r="L18" i="4"/>
  <c r="C15" i="4"/>
  <c r="C25" i="4"/>
  <c r="H15" i="4"/>
  <c r="D9" i="4"/>
  <c r="H21" i="4"/>
  <c r="D28" i="4"/>
  <c r="L30" i="4"/>
  <c r="L32" i="4"/>
  <c r="C12" i="4"/>
  <c r="F15" i="4"/>
  <c r="J15" i="4"/>
  <c r="H10" i="4"/>
  <c r="I10" i="4" s="1"/>
  <c r="D22" i="4"/>
  <c r="D18" i="4"/>
  <c r="D20" i="4"/>
  <c r="H32" i="4"/>
  <c r="D25" i="4"/>
  <c r="A19" i="4"/>
  <c r="C13" i="4"/>
  <c r="H20" i="4"/>
  <c r="D17" i="4"/>
  <c r="A21" i="4"/>
  <c r="H13" i="4"/>
  <c r="J18" i="4"/>
  <c r="J26" i="4"/>
  <c r="J25" i="4"/>
  <c r="F9" i="4"/>
  <c r="C19" i="4"/>
  <c r="H31" i="4"/>
  <c r="J23" i="4"/>
  <c r="D32" i="4"/>
  <c r="J22" i="4"/>
  <c r="A32" i="4"/>
  <c r="C33" i="4"/>
  <c r="A20" i="4"/>
  <c r="F26" i="4"/>
  <c r="H24" i="4"/>
  <c r="F10" i="4"/>
  <c r="L14" i="4"/>
  <c r="L28" i="4"/>
  <c r="E22" i="4"/>
  <c r="J29" i="4"/>
  <c r="L31" i="4"/>
  <c r="F33" i="4"/>
  <c r="F19" i="4"/>
  <c r="D31" i="4"/>
  <c r="F18" i="4"/>
  <c r="C18" i="4"/>
  <c r="J10" i="4"/>
  <c r="C28" i="4"/>
  <c r="D13" i="4"/>
  <c r="E24" i="4"/>
  <c r="E26" i="4"/>
  <c r="D16" i="4"/>
  <c r="L24" i="4"/>
  <c r="H27" i="4"/>
  <c r="D12" i="4"/>
  <c r="L33" i="4"/>
  <c r="L22" i="4"/>
  <c r="F13" i="4"/>
  <c r="H23" i="4"/>
  <c r="L19" i="4"/>
  <c r="L10" i="4"/>
  <c r="H28" i="4"/>
  <c r="D19" i="4"/>
  <c r="H9" i="4"/>
  <c r="J21" i="4"/>
  <c r="L12" i="4"/>
  <c r="F21" i="4"/>
  <c r="A28" i="4"/>
  <c r="L17" i="4"/>
  <c r="F24" i="4"/>
  <c r="C21" i="4"/>
  <c r="E27" i="4"/>
  <c r="J11" i="4"/>
  <c r="J28" i="4"/>
  <c r="A24" i="4"/>
  <c r="L26" i="4"/>
  <c r="D15" i="4"/>
  <c r="F25" i="4"/>
  <c r="F30" i="4"/>
  <c r="C26" i="4"/>
  <c r="D30" i="4"/>
  <c r="D11" i="4"/>
  <c r="J9" i="4"/>
  <c r="C14" i="4"/>
  <c r="H26" i="4"/>
  <c r="E33" i="4"/>
  <c r="H11" i="4"/>
  <c r="E23" i="4"/>
  <c r="L16" i="4"/>
  <c r="A25" i="4"/>
  <c r="J33" i="4"/>
  <c r="D10" i="4"/>
  <c r="E30" i="4"/>
  <c r="H16" i="4"/>
  <c r="L27" i="4"/>
  <c r="D33" i="4"/>
  <c r="H18" i="4"/>
  <c r="C30" i="4"/>
  <c r="A31" i="4"/>
  <c r="J13" i="4"/>
  <c r="J17" i="4"/>
  <c r="C24" i="4"/>
  <c r="F20" i="4"/>
  <c r="D26" i="4"/>
  <c r="D23" i="4"/>
  <c r="L15" i="4"/>
  <c r="D14" i="4"/>
  <c r="H22" i="4"/>
  <c r="E29" i="4"/>
  <c r="J12" i="4"/>
  <c r="C10" i="4"/>
  <c r="J24" i="4"/>
  <c r="F32" i="4"/>
  <c r="A33" i="4"/>
  <c r="J27" i="4"/>
  <c r="H19" i="4"/>
  <c r="D27" i="4"/>
  <c r="L23" i="4"/>
  <c r="F23" i="4"/>
  <c r="E25" i="4"/>
  <c r="C32" i="4"/>
  <c r="E21" i="4"/>
  <c r="A27" i="4"/>
  <c r="F22" i="4"/>
  <c r="L25" i="4"/>
  <c r="J31" i="4"/>
  <c r="H14" i="4"/>
  <c r="F28" i="4"/>
  <c r="L13" i="4"/>
  <c r="E28" i="4"/>
  <c r="E31" i="4"/>
  <c r="A30" i="4"/>
  <c r="H29" i="4"/>
  <c r="C23" i="4"/>
  <c r="F12" i="4"/>
  <c r="J20" i="4"/>
  <c r="J16" i="4"/>
  <c r="C20" i="4"/>
  <c r="H12" i="4"/>
  <c r="F17" i="4"/>
  <c r="F29" i="4"/>
  <c r="L11" i="4"/>
  <c r="L20" i="4"/>
  <c r="L29" i="4"/>
  <c r="H33" i="4"/>
  <c r="F16" i="4"/>
  <c r="F11" i="4"/>
  <c r="C27" i="4"/>
  <c r="D21" i="4"/>
  <c r="F31" i="4"/>
  <c r="D29" i="4"/>
  <c r="C29" i="4"/>
  <c r="H17" i="4"/>
  <c r="A26" i="4"/>
  <c r="E20" i="4"/>
  <c r="L9" i="4"/>
  <c r="F27" i="4"/>
  <c r="D24" i="4"/>
  <c r="J30" i="4"/>
  <c r="C16" i="4"/>
  <c r="A23" i="4"/>
  <c r="H30" i="4"/>
  <c r="J32" i="4"/>
  <c r="C22" i="4"/>
  <c r="C17" i="4"/>
  <c r="C31" i="4"/>
  <c r="A22" i="4"/>
  <c r="E32" i="4"/>
  <c r="J14" i="4"/>
  <c r="C9" i="4"/>
  <c r="F14" i="4"/>
  <c r="J19" i="4"/>
  <c r="L8" i="4"/>
  <c r="B8" i="5" a="1"/>
  <c r="B8" i="5" s="1"/>
  <c r="P16" i="3" a="1"/>
  <c r="P16" i="3" s="1"/>
  <c r="Q16" i="3" s="1" a="1"/>
  <c r="Q16" i="3" s="1"/>
  <c r="P32" i="3" a="1"/>
  <c r="P32" i="3" s="1"/>
  <c r="Q32" i="3" s="1" a="1"/>
  <c r="Q32" i="3" s="1"/>
  <c r="S32" i="3" s="1" a="1"/>
  <c r="S32" i="3" s="1"/>
  <c r="P40" i="3" a="1"/>
  <c r="P40" i="3" s="1"/>
  <c r="Q41" i="3" s="1"/>
  <c r="P33" i="3" a="1"/>
  <c r="P33" i="3" s="1"/>
  <c r="P17" i="3" a="1"/>
  <c r="P17" i="3" s="1"/>
  <c r="P41" i="3" a="1"/>
  <c r="P41" i="3" s="1"/>
  <c r="P38" i="3" a="1"/>
  <c r="P38" i="3" s="1"/>
  <c r="Q39" i="3" s="1"/>
  <c r="Q48" i="3" a="1"/>
  <c r="Q48" i="3" s="1"/>
  <c r="R48" i="3" s="1" a="1"/>
  <c r="R48" i="3" s="1"/>
  <c r="S49" i="3" s="1"/>
  <c r="Q49" i="3"/>
  <c r="N50" i="3"/>
  <c r="P51" i="3" a="1"/>
  <c r="P51" i="3" s="1"/>
  <c r="P50" i="3" a="1"/>
  <c r="P50" i="3" s="1"/>
  <c r="N14" i="3"/>
  <c r="P15" i="3" a="1"/>
  <c r="P15" i="3" s="1"/>
  <c r="P14" i="3" a="1"/>
  <c r="P14" i="3" s="1"/>
  <c r="N30" i="3"/>
  <c r="P31" i="3" a="1"/>
  <c r="P31" i="3" s="1"/>
  <c r="N24" i="3"/>
  <c r="P25" i="3" a="1"/>
  <c r="P25" i="3" s="1"/>
  <c r="P24" i="3" a="1"/>
  <c r="P24" i="3" s="1"/>
  <c r="N34" i="3"/>
  <c r="P35" i="3" a="1"/>
  <c r="P35" i="3" s="1"/>
  <c r="N42" i="3"/>
  <c r="P42" i="3" a="1"/>
  <c r="P42" i="3" s="1"/>
  <c r="P43" i="3" a="1"/>
  <c r="P43" i="3" s="1"/>
  <c r="N56" i="3"/>
  <c r="P56" i="3" a="1"/>
  <c r="P56" i="3" s="1"/>
  <c r="P57" i="3" a="1"/>
  <c r="P57" i="3" s="1"/>
  <c r="N20" i="3"/>
  <c r="P21" i="3" a="1"/>
  <c r="P21" i="3" s="1"/>
  <c r="P20" i="3" a="1"/>
  <c r="P20" i="3" s="1"/>
  <c r="P39" i="3" a="1"/>
  <c r="P39" i="3" s="1"/>
  <c r="N44" i="3"/>
  <c r="P44" i="3" a="1"/>
  <c r="P44" i="3" s="1"/>
  <c r="P45" i="3" a="1"/>
  <c r="P45" i="3" s="1"/>
  <c r="N62" i="3"/>
  <c r="P62" i="3" a="1"/>
  <c r="P62" i="3" s="1"/>
  <c r="N22" i="3"/>
  <c r="P22" i="3" a="1"/>
  <c r="P22" i="3" s="1"/>
  <c r="P23" i="3" a="1"/>
  <c r="P23" i="3" s="1"/>
  <c r="N18" i="3"/>
  <c r="P19" i="3" a="1"/>
  <c r="P19" i="3" s="1"/>
  <c r="P18" i="3" a="1"/>
  <c r="P18" i="3" s="1"/>
  <c r="N28" i="3"/>
  <c r="P28" i="3" a="1"/>
  <c r="P28" i="3" s="1"/>
  <c r="Q28" i="3" s="1" a="1"/>
  <c r="Q28" i="3" s="1"/>
  <c r="N70" i="3"/>
  <c r="P71" i="3" a="1"/>
  <c r="P71" i="3" s="1"/>
  <c r="P70" i="3" a="1"/>
  <c r="P70" i="3" s="1"/>
  <c r="N68" i="3"/>
  <c r="P69" i="3" a="1"/>
  <c r="P69" i="3" s="1"/>
  <c r="N60" i="3"/>
  <c r="P61" i="3" a="1"/>
  <c r="P61" i="3" s="1"/>
  <c r="N52" i="3"/>
  <c r="P52" i="3" a="1"/>
  <c r="P52" i="3" s="1"/>
  <c r="P53" i="3" a="1"/>
  <c r="P53" i="3" s="1"/>
  <c r="N64" i="3"/>
  <c r="P64" i="3" a="1"/>
  <c r="P64" i="3" s="1"/>
  <c r="P65" i="3" a="1"/>
  <c r="P65" i="3" s="1"/>
  <c r="N46" i="3"/>
  <c r="P47" i="3" a="1"/>
  <c r="P47" i="3" s="1"/>
  <c r="P46" i="3" a="1"/>
  <c r="P46" i="3" s="1"/>
  <c r="A8" i="4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F8" i="4"/>
  <c r="H8" i="4"/>
  <c r="C8" i="4"/>
  <c r="D8" i="4"/>
  <c r="J8" i="4"/>
  <c r="N66" i="3"/>
  <c r="P66" i="3" a="1"/>
  <c r="P66" i="3" s="1"/>
  <c r="N36" i="3"/>
  <c r="P36" i="3" a="1"/>
  <c r="P36" i="3" s="1"/>
  <c r="P37" i="3" a="1"/>
  <c r="P37" i="3" s="1"/>
  <c r="P29" i="3" a="1"/>
  <c r="P29" i="3" s="1"/>
  <c r="P34" i="3" a="1"/>
  <c r="P34" i="3" s="1"/>
  <c r="Q35" i="3" s="1"/>
  <c r="N58" i="3"/>
  <c r="P59" i="3" a="1"/>
  <c r="P59" i="3" s="1"/>
  <c r="P58" i="3" a="1"/>
  <c r="P58" i="3" s="1"/>
  <c r="N48" i="3"/>
  <c r="P49" i="3" a="1"/>
  <c r="P49" i="3" s="1"/>
  <c r="N54" i="3"/>
  <c r="P55" i="3" a="1"/>
  <c r="P55" i="3" s="1"/>
  <c r="P54" i="3" a="1"/>
  <c r="P54" i="3" s="1"/>
  <c r="N26" i="3"/>
  <c r="P26" i="3" a="1"/>
  <c r="P26" i="3" s="1"/>
  <c r="P27" i="3" a="1"/>
  <c r="P27" i="3" s="1"/>
  <c r="Q30" i="3" a="1"/>
  <c r="Q30" i="3" s="1"/>
  <c r="R30" i="3" s="1" a="1"/>
  <c r="R30" i="3" s="1"/>
  <c r="S31" i="3" s="1"/>
  <c r="Q61" i="3"/>
  <c r="Q13" i="3"/>
  <c r="Q12" i="3" a="1"/>
  <c r="Q12" i="3" s="1"/>
  <c r="Q69" i="3"/>
  <c r="R69" i="3" a="1"/>
  <c r="R69" i="3" s="1"/>
  <c r="R68" i="3" a="1"/>
  <c r="R68" i="3" s="1"/>
  <c r="S69" i="3" s="1"/>
  <c r="S68" i="3" a="1"/>
  <c r="S68" i="3" s="1"/>
  <c r="R61" i="3" a="1"/>
  <c r="R61" i="3" s="1"/>
  <c r="R60" i="3" a="1"/>
  <c r="R60" i="3" s="1"/>
  <c r="S61" i="3" s="1"/>
  <c r="S60" i="3" a="1"/>
  <c r="S60" i="3" s="1"/>
  <c r="R29" i="3" a="1"/>
  <c r="S28" i="3" a="1"/>
  <c r="R28" i="3" a="1"/>
  <c r="R12" i="3" a="1"/>
  <c r="R13" i="3" a="1"/>
  <c r="S12" i="3" a="1"/>
  <c r="R17" i="3" a="1"/>
  <c r="S16" i="3" a="1"/>
  <c r="R16" i="3" a="1"/>
  <c r="G19" i="2" l="1" a="1"/>
  <c r="G19" i="2" s="1"/>
  <c r="E23" i="2" a="1"/>
  <c r="E23" i="2" s="1"/>
  <c r="E26" i="2" a="1"/>
  <c r="E26" i="2" s="1"/>
  <c r="G20" i="2" a="1"/>
  <c r="G20" i="2" s="1"/>
  <c r="E22" i="2" a="1"/>
  <c r="E22" i="2" s="1"/>
  <c r="E25" i="2" a="1"/>
  <c r="E25" i="2" s="1"/>
  <c r="E24" i="2" a="1"/>
  <c r="E24" i="2" s="1"/>
  <c r="E21" i="2" a="1"/>
  <c r="E21" i="2" s="1"/>
  <c r="G27" i="2" a="1"/>
  <c r="G27" i="2" s="1"/>
  <c r="G23" i="2" a="1"/>
  <c r="G23" i="2" s="1"/>
  <c r="G25" i="2" a="1"/>
  <c r="G25" i="2" s="1"/>
  <c r="F12" i="5"/>
  <c r="E18" i="2" a="1"/>
  <c r="E18" i="2" s="1"/>
  <c r="E27" i="2" a="1"/>
  <c r="E27" i="2" s="1"/>
  <c r="G10" i="4"/>
  <c r="K10" i="4" s="1"/>
  <c r="E10" i="4" s="1"/>
  <c r="I23" i="4"/>
  <c r="G23" i="4" s="1"/>
  <c r="K23" i="4" s="1"/>
  <c r="G24" i="2" a="1"/>
  <c r="G24" i="2" s="1"/>
  <c r="G18" i="2" a="1"/>
  <c r="G18" i="2" s="1"/>
  <c r="G21" i="2" a="1"/>
  <c r="G21" i="2" s="1"/>
  <c r="G26" i="2" a="1"/>
  <c r="G26" i="2" s="1"/>
  <c r="R33" i="3" a="1"/>
  <c r="R33" i="3" s="1"/>
  <c r="Q38" i="3" a="1"/>
  <c r="Q38" i="3" s="1"/>
  <c r="S38" i="3" s="1" a="1"/>
  <c r="S38" i="3" s="1"/>
  <c r="U38" i="3" s="1" a="1"/>
  <c r="U38" i="3" s="1"/>
  <c r="R32" i="3" a="1"/>
  <c r="R32" i="3" s="1"/>
  <c r="S33" i="3" s="1"/>
  <c r="Q33" i="3"/>
  <c r="Q17" i="3"/>
  <c r="Q40" i="3" a="1"/>
  <c r="Q40" i="3" s="1"/>
  <c r="R40" i="3" s="1" a="1"/>
  <c r="R40" i="3" s="1"/>
  <c r="S41" i="3" s="1"/>
  <c r="F14" i="5"/>
  <c r="I27" i="4"/>
  <c r="G27" i="4" s="1"/>
  <c r="K27" i="4" s="1"/>
  <c r="I33" i="4"/>
  <c r="G33" i="4" s="1"/>
  <c r="K33" i="4" s="1"/>
  <c r="I26" i="4"/>
  <c r="G26" i="4" s="1"/>
  <c r="K26" i="4" s="1"/>
  <c r="R49" i="3" a="1"/>
  <c r="R49" i="3" s="1"/>
  <c r="S48" i="3" a="1"/>
  <c r="S48" i="3" s="1"/>
  <c r="T48" i="3" s="1" a="1"/>
  <c r="T48" i="3" s="1"/>
  <c r="U49" i="3" s="1"/>
  <c r="I22" i="4"/>
  <c r="G22" i="4" s="1"/>
  <c r="K22" i="4" s="1"/>
  <c r="F13" i="5"/>
  <c r="D10" i="5"/>
  <c r="D13" i="5"/>
  <c r="Q34" i="3" a="1"/>
  <c r="Q34" i="3" s="1"/>
  <c r="R34" i="3" s="1" a="1"/>
  <c r="R34" i="3" s="1"/>
  <c r="S35" i="3" s="1"/>
  <c r="G15" i="5"/>
  <c r="C9" i="5"/>
  <c r="F11" i="5"/>
  <c r="D9" i="5"/>
  <c r="D12" i="5"/>
  <c r="D15" i="5"/>
  <c r="C15" i="5"/>
  <c r="G11" i="5"/>
  <c r="G10" i="5"/>
  <c r="C14" i="5"/>
  <c r="D14" i="5"/>
  <c r="C12" i="5"/>
  <c r="R28" i="3"/>
  <c r="S29" i="3" s="1"/>
  <c r="S28" i="3"/>
  <c r="T28" i="3" s="1" a="1"/>
  <c r="T28" i="3" s="1"/>
  <c r="U29" i="3" s="1"/>
  <c r="R29" i="3"/>
  <c r="I30" i="4"/>
  <c r="G30" i="4" s="1"/>
  <c r="K30" i="4" s="1"/>
  <c r="I21" i="4"/>
  <c r="G21" i="4" s="1"/>
  <c r="K21" i="4" s="1"/>
  <c r="Q64" i="3" a="1"/>
  <c r="Q64" i="3" s="1"/>
  <c r="Q65" i="3"/>
  <c r="Q56" i="3" a="1"/>
  <c r="Q56" i="3" s="1"/>
  <c r="Q57" i="3"/>
  <c r="Q22" i="3" a="1"/>
  <c r="Q22" i="3" s="1"/>
  <c r="Q23" i="3"/>
  <c r="Q15" i="3"/>
  <c r="Q14" i="3" a="1"/>
  <c r="Q14" i="3" s="1"/>
  <c r="Q27" i="3"/>
  <c r="Q26" i="3" a="1"/>
  <c r="Q26" i="3" s="1"/>
  <c r="Q37" i="3"/>
  <c r="Q36" i="3" a="1"/>
  <c r="Q36" i="3" s="1"/>
  <c r="Q25" i="3"/>
  <c r="Q24" i="3" a="1"/>
  <c r="Q24" i="3" s="1"/>
  <c r="Q55" i="3"/>
  <c r="Q54" i="3" a="1"/>
  <c r="Q54" i="3" s="1"/>
  <c r="G14" i="5"/>
  <c r="D16" i="5"/>
  <c r="I32" i="4"/>
  <c r="G32" i="4" s="1"/>
  <c r="K32" i="4" s="1"/>
  <c r="I20" i="4"/>
  <c r="G20" i="4" s="1"/>
  <c r="K20" i="4" s="1"/>
  <c r="C13" i="5"/>
  <c r="G16" i="5"/>
  <c r="Q52" i="3" a="1"/>
  <c r="Q52" i="3" s="1"/>
  <c r="Q53" i="3"/>
  <c r="Q62" i="3" a="1"/>
  <c r="Q62" i="3" s="1"/>
  <c r="Q63" i="3"/>
  <c r="Q42" i="3" a="1"/>
  <c r="Q42" i="3" s="1"/>
  <c r="Q43" i="3"/>
  <c r="Q67" i="3"/>
  <c r="Q66" i="3" a="1"/>
  <c r="Q66" i="3" s="1"/>
  <c r="Q19" i="3"/>
  <c r="Q18" i="3" a="1"/>
  <c r="Q18" i="3" s="1"/>
  <c r="F9" i="5"/>
  <c r="G12" i="5"/>
  <c r="I29" i="4"/>
  <c r="G29" i="4" s="1"/>
  <c r="K29" i="4" s="1"/>
  <c r="I28" i="4"/>
  <c r="G28" i="4" s="1"/>
  <c r="K28" i="4" s="1"/>
  <c r="G13" i="5"/>
  <c r="G9" i="5"/>
  <c r="F8" i="5"/>
  <c r="C16" i="5"/>
  <c r="I19" i="4"/>
  <c r="G19" i="4" s="1"/>
  <c r="K19" i="4" s="1"/>
  <c r="I24" i="4"/>
  <c r="G24" i="4" s="1"/>
  <c r="K24" i="4" s="1"/>
  <c r="C10" i="5"/>
  <c r="F10" i="5"/>
  <c r="Q46" i="3" a="1"/>
  <c r="Q46" i="3" s="1"/>
  <c r="Q47" i="3"/>
  <c r="Q71" i="3"/>
  <c r="Q70" i="3" a="1"/>
  <c r="Q70" i="3" s="1"/>
  <c r="Q20" i="3" a="1"/>
  <c r="Q20" i="3" s="1"/>
  <c r="Q21" i="3"/>
  <c r="Q51" i="3"/>
  <c r="Q50" i="3" a="1"/>
  <c r="Q50" i="3" s="1"/>
  <c r="Q29" i="3"/>
  <c r="I31" i="4"/>
  <c r="G31" i="4" s="1"/>
  <c r="K31" i="4" s="1"/>
  <c r="I18" i="4"/>
  <c r="G18" i="4" s="1"/>
  <c r="K18" i="4" s="1"/>
  <c r="E18" i="4" s="1"/>
  <c r="D11" i="5"/>
  <c r="I25" i="4"/>
  <c r="G25" i="4" s="1"/>
  <c r="K25" i="4" s="1"/>
  <c r="F16" i="5"/>
  <c r="C11" i="5"/>
  <c r="F15" i="5"/>
  <c r="Q58" i="3" a="1"/>
  <c r="Q58" i="3" s="1"/>
  <c r="Q59" i="3"/>
  <c r="Q45" i="3"/>
  <c r="Q44" i="3" a="1"/>
  <c r="Q44" i="3" s="1"/>
  <c r="S30" i="3" a="1"/>
  <c r="S30" i="3" s="1"/>
  <c r="T31" i="3" s="1" a="1"/>
  <c r="T31" i="3" s="1"/>
  <c r="R31" i="3" a="1"/>
  <c r="R31" i="3" s="1"/>
  <c r="S12" i="3"/>
  <c r="R13" i="3"/>
  <c r="R12" i="3"/>
  <c r="R16" i="3"/>
  <c r="S17" i="3" s="1"/>
  <c r="S16" i="3"/>
  <c r="T16" i="3" s="1" a="1"/>
  <c r="T16" i="3" s="1"/>
  <c r="U17" i="3" s="1"/>
  <c r="R17" i="3"/>
  <c r="U60" i="3" a="1"/>
  <c r="U60" i="3" s="1"/>
  <c r="T60" i="3" a="1"/>
  <c r="T60" i="3" s="1"/>
  <c r="U61" i="3" s="1"/>
  <c r="T61" i="3" a="1"/>
  <c r="T61" i="3" s="1"/>
  <c r="T68" i="3" a="1"/>
  <c r="T68" i="3" s="1"/>
  <c r="U69" i="3" s="1"/>
  <c r="T69" i="3" a="1"/>
  <c r="T69" i="3" s="1"/>
  <c r="U68" i="3" a="1"/>
  <c r="U68" i="3" s="1"/>
  <c r="U32" i="3" a="1"/>
  <c r="U32" i="3" s="1"/>
  <c r="T33" i="3" a="1"/>
  <c r="T33" i="3" s="1"/>
  <c r="T32" i="3" a="1"/>
  <c r="T32" i="3" s="1"/>
  <c r="U33" i="3" s="1"/>
  <c r="T29" i="3" a="1"/>
  <c r="U28" i="3" a="1"/>
  <c r="S22" i="3" a="1"/>
  <c r="R23" i="3" a="1"/>
  <c r="R21" i="3" a="1"/>
  <c r="S20" i="3" a="1"/>
  <c r="S24" i="3" a="1"/>
  <c r="R25" i="3" a="1"/>
  <c r="R24" i="3" a="1"/>
  <c r="R15" i="3" a="1"/>
  <c r="S14" i="3" a="1"/>
  <c r="R18" i="3" a="1"/>
  <c r="R19" i="3" a="1"/>
  <c r="S18" i="3" a="1"/>
  <c r="R27" i="3" a="1"/>
  <c r="S26" i="3" a="1"/>
  <c r="U12" i="3" a="1"/>
  <c r="T13" i="3" a="1"/>
  <c r="T12" i="3" a="1"/>
  <c r="U16" i="3" a="1"/>
  <c r="T17" i="3" a="1"/>
  <c r="G22" i="2" l="1" a="1"/>
  <c r="G22" i="2" s="1"/>
  <c r="F20" i="2" a="1"/>
  <c r="F20" i="2" s="1"/>
  <c r="T38" i="3" a="1"/>
  <c r="T38" i="3" s="1"/>
  <c r="U39" i="3" s="1"/>
  <c r="T39" i="3" a="1"/>
  <c r="T39" i="3" s="1"/>
  <c r="R39" i="3" a="1"/>
  <c r="R39" i="3" s="1"/>
  <c r="R38" i="3" a="1"/>
  <c r="R38" i="3" s="1"/>
  <c r="S39" i="3" s="1"/>
  <c r="R41" i="3" a="1"/>
  <c r="R41" i="3" s="1"/>
  <c r="R35" i="3" a="1"/>
  <c r="R35" i="3" s="1"/>
  <c r="S34" i="3" a="1"/>
  <c r="S34" i="3" s="1"/>
  <c r="T34" i="3" s="1" a="1"/>
  <c r="T34" i="3" s="1"/>
  <c r="U35" i="3" s="1"/>
  <c r="S40" i="3" a="1"/>
  <c r="S40" i="3" s="1"/>
  <c r="T49" i="3" a="1"/>
  <c r="T49" i="3" s="1"/>
  <c r="U48" i="3" a="1"/>
  <c r="U48" i="3" s="1"/>
  <c r="W48" i="3" s="1" a="1"/>
  <c r="W48" i="3" s="1"/>
  <c r="C8" i="5"/>
  <c r="A8" i="5"/>
  <c r="A9" i="5" s="1"/>
  <c r="A10" i="5" s="1"/>
  <c r="A11" i="5" s="1"/>
  <c r="A12" i="5" s="1"/>
  <c r="A13" i="5" s="1"/>
  <c r="A14" i="5" s="1"/>
  <c r="A15" i="5" s="1"/>
  <c r="A16" i="5" s="1"/>
  <c r="G8" i="5"/>
  <c r="S26" i="3"/>
  <c r="R27" i="3"/>
  <c r="S18" i="3"/>
  <c r="R19" i="3"/>
  <c r="R18" i="3"/>
  <c r="S19" i="3" s="1"/>
  <c r="S14" i="3"/>
  <c r="R15" i="3"/>
  <c r="R24" i="3"/>
  <c r="S25" i="3" s="1"/>
  <c r="R25" i="3"/>
  <c r="S24" i="3"/>
  <c r="S20" i="3"/>
  <c r="R21" i="3"/>
  <c r="R23" i="3"/>
  <c r="S22" i="3"/>
  <c r="U28" i="3"/>
  <c r="V28" i="3" s="1" a="1"/>
  <c r="V28" i="3" s="1"/>
  <c r="W29" i="3" s="1"/>
  <c r="T29" i="3"/>
  <c r="R57" i="3" a="1"/>
  <c r="R57" i="3" s="1"/>
  <c r="S56" i="3" a="1"/>
  <c r="S56" i="3" s="1"/>
  <c r="R56" i="3" a="1"/>
  <c r="R56" i="3" s="1"/>
  <c r="S57" i="3" s="1"/>
  <c r="D8" i="5"/>
  <c r="R44" i="3" a="1"/>
  <c r="R44" i="3" s="1"/>
  <c r="S45" i="3" s="1"/>
  <c r="S44" i="3" a="1"/>
  <c r="S44" i="3" s="1"/>
  <c r="R45" i="3" a="1"/>
  <c r="R45" i="3" s="1"/>
  <c r="R71" i="3" a="1"/>
  <c r="R71" i="3" s="1"/>
  <c r="R70" i="3" a="1"/>
  <c r="R70" i="3" s="1"/>
  <c r="S71" i="3" s="1"/>
  <c r="S70" i="3" a="1"/>
  <c r="S70" i="3" s="1"/>
  <c r="S62" i="3" a="1"/>
  <c r="S62" i="3" s="1"/>
  <c r="R62" i="3" a="1"/>
  <c r="R62" i="3" s="1"/>
  <c r="S63" i="3" s="1"/>
  <c r="R63" i="3" a="1"/>
  <c r="R63" i="3" s="1"/>
  <c r="R26" i="3" a="1"/>
  <c r="R26" i="3" s="1"/>
  <c r="S27" i="3" s="1"/>
  <c r="R65" i="3" a="1"/>
  <c r="R65" i="3" s="1"/>
  <c r="R64" i="3" a="1"/>
  <c r="R64" i="3" s="1"/>
  <c r="S65" i="3" s="1"/>
  <c r="S64" i="3" a="1"/>
  <c r="S64" i="3" s="1"/>
  <c r="R53" i="3" a="1"/>
  <c r="R53" i="3" s="1"/>
  <c r="S52" i="3" a="1"/>
  <c r="S52" i="3" s="1"/>
  <c r="R52" i="3" a="1"/>
  <c r="R52" i="3" s="1"/>
  <c r="S53" i="3" s="1"/>
  <c r="S54" i="3" a="1"/>
  <c r="S54" i="3" s="1"/>
  <c r="R55" i="3" a="1"/>
  <c r="R55" i="3" s="1"/>
  <c r="R54" i="3" a="1"/>
  <c r="R54" i="3" s="1"/>
  <c r="S55" i="3" s="1"/>
  <c r="R14" i="3" a="1"/>
  <c r="R14" i="3" s="1"/>
  <c r="S15" i="3" s="1"/>
  <c r="S58" i="3" a="1"/>
  <c r="S58" i="3" s="1"/>
  <c r="R58" i="3" a="1"/>
  <c r="R58" i="3" s="1"/>
  <c r="S59" i="3" s="1"/>
  <c r="R59" i="3" a="1"/>
  <c r="R59" i="3" s="1"/>
  <c r="S46" i="3" a="1"/>
  <c r="S46" i="3" s="1"/>
  <c r="R47" i="3" a="1"/>
  <c r="R47" i="3" s="1"/>
  <c r="R46" i="3" a="1"/>
  <c r="R46" i="3" s="1"/>
  <c r="S47" i="3" s="1"/>
  <c r="R66" i="3" a="1"/>
  <c r="R66" i="3" s="1"/>
  <c r="S67" i="3" s="1"/>
  <c r="R67" i="3" a="1"/>
  <c r="R67" i="3" s="1"/>
  <c r="S66" i="3" a="1"/>
  <c r="S66" i="3" s="1"/>
  <c r="R20" i="3" a="1"/>
  <c r="R20" i="3" s="1"/>
  <c r="S21" i="3" s="1"/>
  <c r="R22" i="3" a="1"/>
  <c r="R22" i="3" s="1"/>
  <c r="S23" i="3" s="1"/>
  <c r="R51" i="3" a="1"/>
  <c r="R51" i="3" s="1"/>
  <c r="R50" i="3" a="1"/>
  <c r="R50" i="3" s="1"/>
  <c r="S51" i="3" s="1"/>
  <c r="S50" i="3" a="1"/>
  <c r="S50" i="3" s="1"/>
  <c r="S42" i="3" a="1"/>
  <c r="S42" i="3" s="1"/>
  <c r="R43" i="3" a="1"/>
  <c r="R43" i="3" s="1"/>
  <c r="R42" i="3" a="1"/>
  <c r="R42" i="3" s="1"/>
  <c r="S43" i="3" s="1"/>
  <c r="R36" i="3" a="1"/>
  <c r="R36" i="3" s="1"/>
  <c r="S37" i="3" s="1"/>
  <c r="R37" i="3" a="1"/>
  <c r="R37" i="3" s="1"/>
  <c r="S36" i="3" a="1"/>
  <c r="S36" i="3" s="1"/>
  <c r="U30" i="3" a="1"/>
  <c r="U30" i="3" s="1"/>
  <c r="V30" i="3" s="1" a="1"/>
  <c r="V30" i="3" s="1"/>
  <c r="W31" i="3" s="1"/>
  <c r="T30" i="3" a="1"/>
  <c r="T30" i="3" s="1"/>
  <c r="U31" i="3" s="1"/>
  <c r="S13" i="3"/>
  <c r="T12" i="3"/>
  <c r="U13" i="3" s="1"/>
  <c r="T13" i="3"/>
  <c r="U12" i="3"/>
  <c r="V12" i="3" s="1" a="1"/>
  <c r="V12" i="3" s="1"/>
  <c r="W13" i="3" s="1"/>
  <c r="T17" i="3"/>
  <c r="U16" i="3"/>
  <c r="V16" i="3" s="1" a="1"/>
  <c r="V16" i="3" s="1"/>
  <c r="W17" i="3" s="1"/>
  <c r="W38" i="3" a="1"/>
  <c r="W38" i="3" s="1"/>
  <c r="V38" i="3" a="1"/>
  <c r="V38" i="3" s="1"/>
  <c r="W39" i="3" s="1"/>
  <c r="V39" i="3" a="1"/>
  <c r="V39" i="3" s="1"/>
  <c r="V68" i="3" a="1"/>
  <c r="V68" i="3" s="1"/>
  <c r="W69" i="3" s="1"/>
  <c r="V69" i="3" a="1"/>
  <c r="V69" i="3" s="1"/>
  <c r="W68" i="3" a="1"/>
  <c r="W68" i="3" s="1"/>
  <c r="V60" i="3" a="1"/>
  <c r="V60" i="3" s="1"/>
  <c r="W61" i="3" s="1"/>
  <c r="V61" i="3" a="1"/>
  <c r="V61" i="3" s="1"/>
  <c r="W60" i="3" a="1"/>
  <c r="W60" i="3" s="1"/>
  <c r="V33" i="3" a="1"/>
  <c r="V33" i="3" s="1"/>
  <c r="W32" i="3" a="1"/>
  <c r="W32" i="3" s="1"/>
  <c r="V32" i="3" a="1"/>
  <c r="V32" i="3" s="1"/>
  <c r="W33" i="3" s="1"/>
  <c r="U26" i="3" a="1"/>
  <c r="T27" i="3" a="1"/>
  <c r="U24" i="3" a="1"/>
  <c r="T25" i="3" a="1"/>
  <c r="T19" i="3" a="1"/>
  <c r="U18" i="3" a="1"/>
  <c r="U20" i="3" a="1"/>
  <c r="T21" i="3" a="1"/>
  <c r="U14" i="3" a="1"/>
  <c r="T15" i="3" a="1"/>
  <c r="T23" i="3" a="1"/>
  <c r="U22" i="3" a="1"/>
  <c r="W28" i="3" a="1"/>
  <c r="V29" i="3" a="1"/>
  <c r="W12" i="3" a="1"/>
  <c r="V13" i="3" a="1"/>
  <c r="V17" i="3" a="1"/>
  <c r="W16" i="3" a="1"/>
  <c r="U34" i="3" l="1" a="1"/>
  <c r="U34" i="3" s="1"/>
  <c r="V34" i="3" s="1" a="1"/>
  <c r="V34" i="3" s="1"/>
  <c r="W35" i="3" s="1"/>
  <c r="T35" i="3" a="1"/>
  <c r="T35" i="3" s="1"/>
  <c r="V49" i="3" a="1"/>
  <c r="V49" i="3" s="1"/>
  <c r="V48" i="3" a="1"/>
  <c r="V48" i="3" s="1"/>
  <c r="W49" i="3" s="1"/>
  <c r="T41" i="3" a="1"/>
  <c r="T41" i="3" s="1"/>
  <c r="T40" i="3" a="1"/>
  <c r="T40" i="3" s="1"/>
  <c r="U41" i="3" s="1"/>
  <c r="U40" i="3" a="1"/>
  <c r="U40" i="3" s="1"/>
  <c r="V31" i="3" a="1"/>
  <c r="V31" i="3" s="1"/>
  <c r="W30" i="3" a="1"/>
  <c r="W30" i="3" s="1"/>
  <c r="X31" i="3" s="1" a="1"/>
  <c r="X31" i="3" s="1"/>
  <c r="V29" i="3"/>
  <c r="W28" i="3"/>
  <c r="X28" i="3" s="1" a="1"/>
  <c r="X28" i="3" s="1"/>
  <c r="Y29" i="3" s="1"/>
  <c r="U22" i="3"/>
  <c r="T23" i="3"/>
  <c r="T15" i="3"/>
  <c r="U14" i="3"/>
  <c r="T21" i="3"/>
  <c r="U20" i="3"/>
  <c r="U18" i="3"/>
  <c r="T19" i="3"/>
  <c r="T25" i="3"/>
  <c r="U24" i="3"/>
  <c r="T27" i="3"/>
  <c r="U26" i="3"/>
  <c r="T42" i="3" a="1"/>
  <c r="T42" i="3" s="1"/>
  <c r="U43" i="3" s="1"/>
  <c r="U42" i="3" a="1"/>
  <c r="U42" i="3" s="1"/>
  <c r="T43" i="3" a="1"/>
  <c r="T43" i="3" s="1"/>
  <c r="U50" i="3" a="1"/>
  <c r="U50" i="3" s="1"/>
  <c r="T51" i="3" a="1"/>
  <c r="T51" i="3" s="1"/>
  <c r="T50" i="3" a="1"/>
  <c r="T50" i="3" s="1"/>
  <c r="U51" i="3" s="1"/>
  <c r="T44" i="3" a="1"/>
  <c r="T44" i="3" s="1"/>
  <c r="U45" i="3" s="1"/>
  <c r="T45" i="3" a="1"/>
  <c r="T45" i="3" s="1"/>
  <c r="U44" i="3" a="1"/>
  <c r="U44" i="3" s="1"/>
  <c r="T22" i="3" a="1"/>
  <c r="T22" i="3" s="1"/>
  <c r="U23" i="3" s="1"/>
  <c r="T14" i="3" a="1"/>
  <c r="T14" i="3" s="1"/>
  <c r="U15" i="3" s="1"/>
  <c r="U54" i="3" a="1"/>
  <c r="U54" i="3" s="1"/>
  <c r="T54" i="3" a="1"/>
  <c r="T54" i="3" s="1"/>
  <c r="U55" i="3" s="1"/>
  <c r="T55" i="3" a="1"/>
  <c r="T55" i="3" s="1"/>
  <c r="T36" i="3" a="1"/>
  <c r="T36" i="3" s="1"/>
  <c r="U37" i="3" s="1"/>
  <c r="T37" i="3" a="1"/>
  <c r="T37" i="3" s="1"/>
  <c r="U36" i="3" a="1"/>
  <c r="U36" i="3" s="1"/>
  <c r="T46" i="3" a="1"/>
  <c r="T46" i="3" s="1"/>
  <c r="U47" i="3" s="1"/>
  <c r="T47" i="3" a="1"/>
  <c r="T47" i="3" s="1"/>
  <c r="U46" i="3" a="1"/>
  <c r="U46" i="3" s="1"/>
  <c r="U52" i="3" a="1"/>
  <c r="U52" i="3" s="1"/>
  <c r="T52" i="3" a="1"/>
  <c r="T52" i="3" s="1"/>
  <c r="U53" i="3" s="1"/>
  <c r="T53" i="3" a="1"/>
  <c r="T53" i="3" s="1"/>
  <c r="U62" i="3" a="1"/>
  <c r="U62" i="3" s="1"/>
  <c r="T62" i="3" a="1"/>
  <c r="T62" i="3" s="1"/>
  <c r="U63" i="3" s="1"/>
  <c r="T63" i="3" a="1"/>
  <c r="T63" i="3" s="1"/>
  <c r="T20" i="3" a="1"/>
  <c r="T20" i="3" s="1"/>
  <c r="U21" i="3" s="1"/>
  <c r="T18" i="3" a="1"/>
  <c r="T18" i="3" s="1"/>
  <c r="U19" i="3" s="1"/>
  <c r="T70" i="3" a="1"/>
  <c r="T70" i="3" s="1"/>
  <c r="U71" i="3" s="1"/>
  <c r="U70" i="3" a="1"/>
  <c r="U70" i="3" s="1"/>
  <c r="T71" i="3" a="1"/>
  <c r="T71" i="3" s="1"/>
  <c r="T57" i="3" a="1"/>
  <c r="T57" i="3" s="1"/>
  <c r="U56" i="3" a="1"/>
  <c r="U56" i="3" s="1"/>
  <c r="T56" i="3" a="1"/>
  <c r="T56" i="3" s="1"/>
  <c r="U57" i="3" s="1"/>
  <c r="T24" i="3" a="1"/>
  <c r="T24" i="3" s="1"/>
  <c r="U25" i="3" s="1"/>
  <c r="U66" i="3" a="1"/>
  <c r="U66" i="3" s="1"/>
  <c r="T67" i="3" a="1"/>
  <c r="T67" i="3" s="1"/>
  <c r="T66" i="3" a="1"/>
  <c r="T66" i="3" s="1"/>
  <c r="U67" i="3" s="1"/>
  <c r="T59" i="3" a="1"/>
  <c r="T59" i="3" s="1"/>
  <c r="U58" i="3" a="1"/>
  <c r="U58" i="3" s="1"/>
  <c r="T58" i="3" a="1"/>
  <c r="T58" i="3" s="1"/>
  <c r="U59" i="3" s="1"/>
  <c r="U64" i="3" a="1"/>
  <c r="U64" i="3" s="1"/>
  <c r="T65" i="3" a="1"/>
  <c r="T65" i="3" s="1"/>
  <c r="T64" i="3" a="1"/>
  <c r="T64" i="3" s="1"/>
  <c r="U65" i="3" s="1"/>
  <c r="T26" i="3" a="1"/>
  <c r="T26" i="3" s="1"/>
  <c r="U27" i="3" s="1"/>
  <c r="V13" i="3"/>
  <c r="W12" i="3"/>
  <c r="X12" i="3" s="1" a="1"/>
  <c r="X12" i="3" s="1"/>
  <c r="Y13" i="3" s="1"/>
  <c r="W16" i="3"/>
  <c r="X16" i="3" s="1" a="1"/>
  <c r="X16" i="3" s="1"/>
  <c r="Y17" i="3" s="1"/>
  <c r="V17" i="3"/>
  <c r="X33" i="3" a="1"/>
  <c r="X33" i="3" s="1"/>
  <c r="X32" i="3" a="1"/>
  <c r="X32" i="3" s="1"/>
  <c r="Y33" i="3" s="1"/>
  <c r="Y32" i="3" a="1"/>
  <c r="Y32" i="3" s="1"/>
  <c r="X69" i="3" a="1"/>
  <c r="X69" i="3" s="1"/>
  <c r="X68" i="3" a="1"/>
  <c r="X68" i="3" s="1"/>
  <c r="Y69" i="3" s="1"/>
  <c r="Y68" i="3" a="1"/>
  <c r="Y68" i="3" s="1"/>
  <c r="X49" i="3" a="1"/>
  <c r="X49" i="3" s="1"/>
  <c r="Y48" i="3" a="1"/>
  <c r="Y48" i="3" s="1"/>
  <c r="X48" i="3" a="1"/>
  <c r="X48" i="3" s="1"/>
  <c r="Y49" i="3" s="1"/>
  <c r="X38" i="3" a="1"/>
  <c r="X38" i="3" s="1"/>
  <c r="Y39" i="3" s="1"/>
  <c r="X39" i="3" a="1"/>
  <c r="X39" i="3" s="1"/>
  <c r="Y38" i="3" a="1"/>
  <c r="Y38" i="3" s="1"/>
  <c r="X61" i="3" a="1"/>
  <c r="X61" i="3" s="1"/>
  <c r="Y60" i="3" a="1"/>
  <c r="Y60" i="3" s="1"/>
  <c r="X60" i="3" a="1"/>
  <c r="X60" i="3" s="1"/>
  <c r="Y61" i="3" s="1"/>
  <c r="W18" i="3" a="1"/>
  <c r="V19" i="3" a="1"/>
  <c r="X29" i="3" a="1"/>
  <c r="Y28" i="3" a="1"/>
  <c r="W22" i="3" a="1"/>
  <c r="V23" i="3" a="1"/>
  <c r="V25" i="3" a="1"/>
  <c r="W24" i="3" a="1"/>
  <c r="V21" i="3" a="1"/>
  <c r="W20" i="3" a="1"/>
  <c r="V15" i="3" a="1"/>
  <c r="W14" i="3" a="1"/>
  <c r="V27" i="3" a="1"/>
  <c r="W26" i="3" a="1"/>
  <c r="Y12" i="3" a="1"/>
  <c r="X13" i="3" a="1"/>
  <c r="X17" i="3" a="1"/>
  <c r="Y16" i="3" a="1"/>
  <c r="W34" i="3" l="1" a="1"/>
  <c r="W34" i="3" s="1"/>
  <c r="X34" i="3" s="1" a="1"/>
  <c r="X34" i="3" s="1"/>
  <c r="Y35" i="3" s="1"/>
  <c r="V35" i="3" a="1"/>
  <c r="V35" i="3" s="1"/>
  <c r="V40" i="3" a="1"/>
  <c r="V40" i="3" s="1"/>
  <c r="W41" i="3" s="1"/>
  <c r="W40" i="3" a="1"/>
  <c r="W40" i="3" s="1"/>
  <c r="V41" i="3" a="1"/>
  <c r="V41" i="3" s="1"/>
  <c r="X30" i="3" a="1"/>
  <c r="X30" i="3" s="1"/>
  <c r="Y31" i="3" s="1"/>
  <c r="Y30" i="3" a="1"/>
  <c r="Y30" i="3" s="1"/>
  <c r="Z30" i="3" s="1" a="1"/>
  <c r="Z30" i="3" s="1"/>
  <c r="AA31" i="3" s="1"/>
  <c r="W26" i="3"/>
  <c r="V27" i="3"/>
  <c r="W14" i="3"/>
  <c r="V15" i="3"/>
  <c r="W20" i="3"/>
  <c r="V21" i="3"/>
  <c r="W24" i="3"/>
  <c r="V25" i="3"/>
  <c r="V23" i="3"/>
  <c r="W22" i="3"/>
  <c r="Y28" i="3"/>
  <c r="Z28" i="3" s="1" a="1"/>
  <c r="Z28" i="3" s="1"/>
  <c r="AA29" i="3" s="1"/>
  <c r="X29" i="3"/>
  <c r="V19" i="3"/>
  <c r="W18" i="3"/>
  <c r="V57" i="3" a="1"/>
  <c r="V57" i="3" s="1"/>
  <c r="V56" i="3" a="1"/>
  <c r="V56" i="3" s="1"/>
  <c r="W57" i="3" s="1"/>
  <c r="W56" i="3" a="1"/>
  <c r="W56" i="3" s="1"/>
  <c r="W36" i="3" a="1"/>
  <c r="W36" i="3" s="1"/>
  <c r="V37" i="3" a="1"/>
  <c r="V37" i="3" s="1"/>
  <c r="V36" i="3" a="1"/>
  <c r="V36" i="3" s="1"/>
  <c r="W37" i="3" s="1"/>
  <c r="W44" i="3" a="1"/>
  <c r="W44" i="3" s="1"/>
  <c r="V44" i="3" a="1"/>
  <c r="V44" i="3" s="1"/>
  <c r="W45" i="3" s="1"/>
  <c r="V45" i="3" a="1"/>
  <c r="V45" i="3" s="1"/>
  <c r="W42" i="3" a="1"/>
  <c r="W42" i="3" s="1"/>
  <c r="V42" i="3" a="1"/>
  <c r="V42" i="3" s="1"/>
  <c r="W43" i="3" s="1"/>
  <c r="V43" i="3" a="1"/>
  <c r="V43" i="3" s="1"/>
  <c r="V58" i="3" a="1"/>
  <c r="V58" i="3" s="1"/>
  <c r="W59" i="3" s="1"/>
  <c r="W58" i="3" a="1"/>
  <c r="W58" i="3" s="1"/>
  <c r="V59" i="3" a="1"/>
  <c r="V59" i="3" s="1"/>
  <c r="V63" i="3" a="1"/>
  <c r="V63" i="3" s="1"/>
  <c r="W62" i="3" a="1"/>
  <c r="W62" i="3" s="1"/>
  <c r="V62" i="3" a="1"/>
  <c r="V62" i="3" s="1"/>
  <c r="W63" i="3" s="1"/>
  <c r="V26" i="3" a="1"/>
  <c r="V26" i="3" s="1"/>
  <c r="W27" i="3" s="1"/>
  <c r="V14" i="3" a="1"/>
  <c r="V14" i="3" s="1"/>
  <c r="W15" i="3" s="1"/>
  <c r="V20" i="3" a="1"/>
  <c r="V20" i="3" s="1"/>
  <c r="W21" i="3" s="1"/>
  <c r="V65" i="3" a="1"/>
  <c r="V65" i="3" s="1"/>
  <c r="V64" i="3" a="1"/>
  <c r="V64" i="3" s="1"/>
  <c r="W65" i="3" s="1"/>
  <c r="W64" i="3" a="1"/>
  <c r="W64" i="3" s="1"/>
  <c r="W70" i="3" a="1"/>
  <c r="W70" i="3" s="1"/>
  <c r="V71" i="3" a="1"/>
  <c r="V71" i="3" s="1"/>
  <c r="V70" i="3" a="1"/>
  <c r="V70" i="3" s="1"/>
  <c r="W71" i="3" s="1"/>
  <c r="V24" i="3" a="1"/>
  <c r="V24" i="3" s="1"/>
  <c r="W25" i="3" s="1"/>
  <c r="W52" i="3" a="1"/>
  <c r="W52" i="3" s="1"/>
  <c r="V53" i="3" a="1"/>
  <c r="V53" i="3" s="1"/>
  <c r="V52" i="3" a="1"/>
  <c r="V52" i="3" s="1"/>
  <c r="W53" i="3" s="1"/>
  <c r="V22" i="3" a="1"/>
  <c r="V22" i="3" s="1"/>
  <c r="W23" i="3" s="1"/>
  <c r="V67" i="3" a="1"/>
  <c r="V67" i="3" s="1"/>
  <c r="V66" i="3" a="1"/>
  <c r="V66" i="3" s="1"/>
  <c r="W67" i="3" s="1"/>
  <c r="W66" i="3" a="1"/>
  <c r="W66" i="3" s="1"/>
  <c r="W46" i="3" a="1"/>
  <c r="W46" i="3" s="1"/>
  <c r="V46" i="3" a="1"/>
  <c r="V46" i="3" s="1"/>
  <c r="W47" i="3" s="1"/>
  <c r="V47" i="3" a="1"/>
  <c r="V47" i="3" s="1"/>
  <c r="W54" i="3" a="1"/>
  <c r="W54" i="3" s="1"/>
  <c r="V54" i="3" a="1"/>
  <c r="V54" i="3" s="1"/>
  <c r="W55" i="3" s="1"/>
  <c r="V55" i="3" a="1"/>
  <c r="V55" i="3" s="1"/>
  <c r="V51" i="3" a="1"/>
  <c r="V51" i="3" s="1"/>
  <c r="W50" i="3" a="1"/>
  <c r="W50" i="3" s="1"/>
  <c r="V50" i="3" a="1"/>
  <c r="V50" i="3" s="1"/>
  <c r="W51" i="3" s="1"/>
  <c r="V18" i="3" a="1"/>
  <c r="V18" i="3" s="1"/>
  <c r="W19" i="3" s="1"/>
  <c r="X13" i="3"/>
  <c r="Y12" i="3"/>
  <c r="Z12" i="3" s="1" a="1"/>
  <c r="Z12" i="3" s="1"/>
  <c r="AA13" i="3" s="1"/>
  <c r="Y16" i="3"/>
  <c r="Z16" i="3" s="1" a="1"/>
  <c r="Z16" i="3" s="1"/>
  <c r="AA17" i="3" s="1"/>
  <c r="X17" i="3"/>
  <c r="AA60" i="3" a="1"/>
  <c r="AA60" i="3" s="1"/>
  <c r="Z60" i="3" a="1"/>
  <c r="Z60" i="3" s="1"/>
  <c r="AA61" i="3" s="1"/>
  <c r="Z61" i="3" a="1"/>
  <c r="Z61" i="3" s="1"/>
  <c r="Z33" i="3" a="1"/>
  <c r="Z33" i="3" s="1"/>
  <c r="Z32" i="3" a="1"/>
  <c r="Z32" i="3" s="1"/>
  <c r="AA33" i="3" s="1"/>
  <c r="AA32" i="3" a="1"/>
  <c r="AA32" i="3" s="1"/>
  <c r="AA68" i="3" a="1"/>
  <c r="AA68" i="3" s="1"/>
  <c r="Z68" i="3" a="1"/>
  <c r="Z68" i="3" s="1"/>
  <c r="AA69" i="3" s="1"/>
  <c r="Z69" i="3" a="1"/>
  <c r="Z69" i="3" s="1"/>
  <c r="AA48" i="3" a="1"/>
  <c r="AA48" i="3" s="1"/>
  <c r="Z49" i="3" a="1"/>
  <c r="Z49" i="3" s="1"/>
  <c r="Z48" i="3" a="1"/>
  <c r="Z48" i="3" s="1"/>
  <c r="AA49" i="3" s="1"/>
  <c r="Z39" i="3" a="1"/>
  <c r="Z39" i="3" s="1"/>
  <c r="AA38" i="3" a="1"/>
  <c r="AA38" i="3" s="1"/>
  <c r="Z38" i="3" a="1"/>
  <c r="Z38" i="3" s="1"/>
  <c r="AA39" i="3" s="1"/>
  <c r="X27" i="3" a="1"/>
  <c r="Y26" i="3" a="1"/>
  <c r="Y22" i="3" a="1"/>
  <c r="X23" i="3" a="1"/>
  <c r="Y14" i="3" a="1"/>
  <c r="X15" i="3" a="1"/>
  <c r="Z29" i="3" a="1"/>
  <c r="AA28" i="3" a="1"/>
  <c r="Y18" i="3" a="1"/>
  <c r="X19" i="3" a="1"/>
  <c r="X21" i="3" a="1"/>
  <c r="Y20" i="3" a="1"/>
  <c r="Y24" i="3" a="1"/>
  <c r="X25" i="3" a="1"/>
  <c r="Z13" i="3" a="1"/>
  <c r="AA12" i="3" a="1"/>
  <c r="AA16" i="3" a="1"/>
  <c r="Z17" i="3" a="1"/>
  <c r="Y34" i="3" l="1" a="1"/>
  <c r="Y34" i="3" s="1"/>
  <c r="AA34" i="3" s="1" a="1"/>
  <c r="AA34" i="3" s="1"/>
  <c r="AB34" i="3" s="1" a="1"/>
  <c r="AB34" i="3" s="1"/>
  <c r="AC35" i="3" s="1"/>
  <c r="X35" i="3" a="1"/>
  <c r="X35" i="3" s="1"/>
  <c r="X40" i="3" a="1"/>
  <c r="X40" i="3" s="1"/>
  <c r="Y41" i="3" s="1"/>
  <c r="Y40" i="3" a="1"/>
  <c r="Y40" i="3" s="1"/>
  <c r="X41" i="3" a="1"/>
  <c r="X41" i="3" s="1"/>
  <c r="AA30" i="3" a="1"/>
  <c r="AA30" i="3" s="1"/>
  <c r="AB31" i="3" s="1" a="1"/>
  <c r="AB31" i="3" s="1"/>
  <c r="Z31" i="3" a="1"/>
  <c r="Z31" i="3" s="1"/>
  <c r="X25" i="3"/>
  <c r="Y24" i="3"/>
  <c r="Y20" i="3"/>
  <c r="X21" i="3"/>
  <c r="X19" i="3"/>
  <c r="Y18" i="3"/>
  <c r="AA28" i="3"/>
  <c r="AB28" i="3" s="1" a="1"/>
  <c r="AB28" i="3" s="1"/>
  <c r="AC29" i="3" s="1"/>
  <c r="Z29" i="3"/>
  <c r="X15" i="3"/>
  <c r="Y14" i="3"/>
  <c r="X23" i="3"/>
  <c r="Y22" i="3"/>
  <c r="Y26" i="3"/>
  <c r="X27" i="3"/>
  <c r="Y42" i="3" a="1"/>
  <c r="Y42" i="3" s="1"/>
  <c r="X43" i="3" a="1"/>
  <c r="X43" i="3" s="1"/>
  <c r="X42" i="3" a="1"/>
  <c r="X42" i="3" s="1"/>
  <c r="Y43" i="3" s="1"/>
  <c r="Y70" i="3" a="1"/>
  <c r="Y70" i="3" s="1"/>
  <c r="X71" i="3" a="1"/>
  <c r="X71" i="3" s="1"/>
  <c r="X70" i="3" a="1"/>
  <c r="X70" i="3" s="1"/>
  <c r="Y71" i="3" s="1"/>
  <c r="X62" i="3" a="1"/>
  <c r="X62" i="3" s="1"/>
  <c r="Y63" i="3" s="1"/>
  <c r="Y62" i="3" a="1"/>
  <c r="Y62" i="3" s="1"/>
  <c r="X63" i="3" a="1"/>
  <c r="X63" i="3" s="1"/>
  <c r="X24" i="3" a="1"/>
  <c r="X24" i="3" s="1"/>
  <c r="Y25" i="3" s="1"/>
  <c r="X51" i="3" a="1"/>
  <c r="X51" i="3" s="1"/>
  <c r="X50" i="3" a="1"/>
  <c r="X50" i="3" s="1"/>
  <c r="Y51" i="3" s="1"/>
  <c r="Y50" i="3" a="1"/>
  <c r="Y50" i="3" s="1"/>
  <c r="X64" i="3" a="1"/>
  <c r="X64" i="3" s="1"/>
  <c r="Y65" i="3" s="1"/>
  <c r="Y64" i="3" a="1"/>
  <c r="Y64" i="3" s="1"/>
  <c r="X65" i="3" a="1"/>
  <c r="X65" i="3" s="1"/>
  <c r="Y54" i="3" a="1"/>
  <c r="Y54" i="3" s="1"/>
  <c r="X54" i="3" a="1"/>
  <c r="X54" i="3" s="1"/>
  <c r="Y55" i="3" s="1"/>
  <c r="X55" i="3" a="1"/>
  <c r="X55" i="3" s="1"/>
  <c r="X45" i="3" a="1"/>
  <c r="X45" i="3" s="1"/>
  <c r="Y44" i="3" a="1"/>
  <c r="Y44" i="3" s="1"/>
  <c r="X44" i="3" a="1"/>
  <c r="X44" i="3" s="1"/>
  <c r="Y45" i="3" s="1"/>
  <c r="X20" i="3" a="1"/>
  <c r="X20" i="3" s="1"/>
  <c r="Y21" i="3" s="1"/>
  <c r="X18" i="3" a="1"/>
  <c r="X18" i="3" s="1"/>
  <c r="Y19" i="3" s="1"/>
  <c r="X58" i="3" a="1"/>
  <c r="X58" i="3" s="1"/>
  <c r="Y59" i="3" s="1"/>
  <c r="Y58" i="3" a="1"/>
  <c r="Y58" i="3" s="1"/>
  <c r="X59" i="3" a="1"/>
  <c r="X59" i="3" s="1"/>
  <c r="X52" i="3" a="1"/>
  <c r="X52" i="3" s="1"/>
  <c r="Y53" i="3" s="1"/>
  <c r="Y52" i="3" a="1"/>
  <c r="Y52" i="3" s="1"/>
  <c r="X53" i="3" a="1"/>
  <c r="X53" i="3" s="1"/>
  <c r="X14" i="3" a="1"/>
  <c r="X14" i="3" s="1"/>
  <c r="Y15" i="3" s="1"/>
  <c r="X46" i="3" a="1"/>
  <c r="X46" i="3" s="1"/>
  <c r="Y47" i="3" s="1"/>
  <c r="Y46" i="3" a="1"/>
  <c r="Y46" i="3" s="1"/>
  <c r="X47" i="3" a="1"/>
  <c r="X47" i="3" s="1"/>
  <c r="X37" i="3" a="1"/>
  <c r="X37" i="3" s="1"/>
  <c r="X36" i="3" a="1"/>
  <c r="X36" i="3" s="1"/>
  <c r="Y37" i="3" s="1"/>
  <c r="Y36" i="3" a="1"/>
  <c r="Y36" i="3" s="1"/>
  <c r="X22" i="3" a="1"/>
  <c r="X22" i="3" s="1"/>
  <c r="Y23" i="3" s="1"/>
  <c r="X66" i="3" a="1"/>
  <c r="X66" i="3" s="1"/>
  <c r="Y67" i="3" s="1"/>
  <c r="X67" i="3" a="1"/>
  <c r="X67" i="3" s="1"/>
  <c r="Y66" i="3" a="1"/>
  <c r="Y66" i="3" s="1"/>
  <c r="Y56" i="3" a="1"/>
  <c r="Y56" i="3" s="1"/>
  <c r="X56" i="3" a="1"/>
  <c r="X56" i="3" s="1"/>
  <c r="Y57" i="3" s="1"/>
  <c r="X57" i="3" a="1"/>
  <c r="X57" i="3" s="1"/>
  <c r="X26" i="3" a="1"/>
  <c r="X26" i="3" s="1"/>
  <c r="Y27" i="3" s="1"/>
  <c r="AA12" i="3"/>
  <c r="AB12" i="3" s="1" a="1"/>
  <c r="AB12" i="3" s="1"/>
  <c r="AC13" i="3" s="1"/>
  <c r="Z13" i="3"/>
  <c r="Z17" i="3"/>
  <c r="AA16" i="3"/>
  <c r="AB16" i="3" s="1" a="1"/>
  <c r="AB16" i="3" s="1"/>
  <c r="AC17" i="3" s="1"/>
  <c r="AB39" i="3" a="1"/>
  <c r="AB39" i="3" s="1"/>
  <c r="AB38" i="3" a="1"/>
  <c r="AB38" i="3" s="1"/>
  <c r="AC39" i="3" s="1"/>
  <c r="AC38" i="3" a="1"/>
  <c r="AC38" i="3" s="1"/>
  <c r="AB49" i="3" a="1"/>
  <c r="AB49" i="3" s="1"/>
  <c r="AC48" i="3" a="1"/>
  <c r="AC48" i="3" s="1"/>
  <c r="AB48" i="3" a="1"/>
  <c r="AB48" i="3" s="1"/>
  <c r="AC49" i="3" s="1"/>
  <c r="AB69" i="3" a="1"/>
  <c r="AB69" i="3" s="1"/>
  <c r="AB68" i="3" a="1"/>
  <c r="AB68" i="3" s="1"/>
  <c r="AC69" i="3" s="1"/>
  <c r="AC68" i="3" a="1"/>
  <c r="AC68" i="3" s="1"/>
  <c r="AB33" i="3" a="1"/>
  <c r="AB33" i="3" s="1"/>
  <c r="AB32" i="3" a="1"/>
  <c r="AB32" i="3" s="1"/>
  <c r="AC33" i="3" s="1"/>
  <c r="AC32" i="3" a="1"/>
  <c r="AC32" i="3" s="1"/>
  <c r="AB60" i="3" a="1"/>
  <c r="AB60" i="3" s="1"/>
  <c r="AC61" i="3" s="1"/>
  <c r="AC60" i="3" a="1"/>
  <c r="AC60" i="3" s="1"/>
  <c r="AB61" i="3" a="1"/>
  <c r="AB61" i="3" s="1"/>
  <c r="Z25" i="3" a="1"/>
  <c r="AA24" i="3" a="1"/>
  <c r="Z15" i="3" a="1"/>
  <c r="AA14" i="3" a="1"/>
  <c r="AA20" i="3" a="1"/>
  <c r="Z21" i="3" a="1"/>
  <c r="Z23" i="3" a="1"/>
  <c r="AA22" i="3" a="1"/>
  <c r="AA26" i="3" a="1"/>
  <c r="Z27" i="3" a="1"/>
  <c r="AA18" i="3" a="1"/>
  <c r="Z19" i="3" a="1"/>
  <c r="AC28" i="3" a="1"/>
  <c r="AB29" i="3" a="1"/>
  <c r="AB13" i="3" a="1"/>
  <c r="AC12" i="3" a="1"/>
  <c r="AC16" i="3" a="1"/>
  <c r="AB17" i="3" a="1"/>
  <c r="AB35" i="3" l="1" a="1"/>
  <c r="AB35" i="3" s="1"/>
  <c r="AC34" i="3" a="1"/>
  <c r="AC34" i="3" s="1"/>
  <c r="AE34" i="3" s="1" a="1"/>
  <c r="AE34" i="3" s="1"/>
  <c r="Z34" i="3" a="1"/>
  <c r="Z34" i="3" s="1"/>
  <c r="AA35" i="3" s="1"/>
  <c r="Z35" i="3" a="1"/>
  <c r="Z35" i="3" s="1"/>
  <c r="AB30" i="3" a="1"/>
  <c r="AB30" i="3" s="1"/>
  <c r="AC31" i="3" s="1"/>
  <c r="AA40" i="3" a="1"/>
  <c r="AA40" i="3" s="1"/>
  <c r="Z40" i="3" a="1"/>
  <c r="Z40" i="3" s="1"/>
  <c r="AA41" i="3" s="1"/>
  <c r="Z41" i="3" a="1"/>
  <c r="Z41" i="3" s="1"/>
  <c r="AC30" i="3" a="1"/>
  <c r="AC30" i="3" s="1"/>
  <c r="AD30" i="3" s="1" a="1"/>
  <c r="AD30" i="3" s="1"/>
  <c r="AE31" i="3" s="1"/>
  <c r="AB29" i="3"/>
  <c r="AC28" i="3"/>
  <c r="AD28" i="3" s="1" a="1"/>
  <c r="AD28" i="3" s="1"/>
  <c r="AE29" i="3" s="1"/>
  <c r="Z19" i="3"/>
  <c r="AA18" i="3"/>
  <c r="Z27" i="3"/>
  <c r="AA26" i="3"/>
  <c r="AA22" i="3"/>
  <c r="Z23" i="3"/>
  <c r="Z21" i="3"/>
  <c r="AA20" i="3"/>
  <c r="AA14" i="3"/>
  <c r="Z15" i="3"/>
  <c r="AA24" i="3"/>
  <c r="Z25" i="3"/>
  <c r="Z58" i="3" a="1"/>
  <c r="Z58" i="3" s="1"/>
  <c r="AA59" i="3" s="1"/>
  <c r="AA58" i="3" a="1"/>
  <c r="AA58" i="3" s="1"/>
  <c r="Z59" i="3" a="1"/>
  <c r="Z59" i="3" s="1"/>
  <c r="AA66" i="3" a="1"/>
  <c r="AA66" i="3" s="1"/>
  <c r="Z66" i="3" a="1"/>
  <c r="Z66" i="3" s="1"/>
  <c r="AA67" i="3" s="1"/>
  <c r="Z67" i="3" a="1"/>
  <c r="Z67" i="3" s="1"/>
  <c r="AA46" i="3" a="1"/>
  <c r="AA46" i="3" s="1"/>
  <c r="Z46" i="3" a="1"/>
  <c r="Z46" i="3" s="1"/>
  <c r="AA47" i="3" s="1"/>
  <c r="Z47" i="3" a="1"/>
  <c r="Z47" i="3" s="1"/>
  <c r="Z54" i="3" a="1"/>
  <c r="Z54" i="3" s="1"/>
  <c r="AA55" i="3" s="1"/>
  <c r="Z55" i="3" a="1"/>
  <c r="Z55" i="3" s="1"/>
  <c r="AA54" i="3" a="1"/>
  <c r="AA54" i="3" s="1"/>
  <c r="AA42" i="3" a="1"/>
  <c r="AA42" i="3" s="1"/>
  <c r="Z43" i="3" a="1"/>
  <c r="Z43" i="3" s="1"/>
  <c r="Z42" i="3" a="1"/>
  <c r="Z42" i="3" s="1"/>
  <c r="AA43" i="3" s="1"/>
  <c r="AA62" i="3" a="1"/>
  <c r="AA62" i="3" s="1"/>
  <c r="Z63" i="3" a="1"/>
  <c r="Z63" i="3" s="1"/>
  <c r="Z62" i="3" a="1"/>
  <c r="Z62" i="3" s="1"/>
  <c r="AA63" i="3" s="1"/>
  <c r="Z18" i="3" a="1"/>
  <c r="Z18" i="3" s="1"/>
  <c r="AA19" i="3" s="1"/>
  <c r="Z65" i="3" a="1"/>
  <c r="Z65" i="3" s="1"/>
  <c r="AA64" i="3" a="1"/>
  <c r="AA64" i="3" s="1"/>
  <c r="Z64" i="3" a="1"/>
  <c r="Z64" i="3" s="1"/>
  <c r="AA65" i="3" s="1"/>
  <c r="Z26" i="3" a="1"/>
  <c r="Z26" i="3" s="1"/>
  <c r="AA27" i="3" s="1"/>
  <c r="Z22" i="3" a="1"/>
  <c r="Z22" i="3" s="1"/>
  <c r="AA23" i="3" s="1"/>
  <c r="AA36" i="3" a="1"/>
  <c r="AA36" i="3" s="1"/>
  <c r="Z37" i="3" a="1"/>
  <c r="Z37" i="3" s="1"/>
  <c r="Z36" i="3" a="1"/>
  <c r="Z36" i="3" s="1"/>
  <c r="AA37" i="3" s="1"/>
  <c r="Z52" i="3" a="1"/>
  <c r="Z52" i="3" s="1"/>
  <c r="AA53" i="3" s="1"/>
  <c r="AA52" i="3" a="1"/>
  <c r="AA52" i="3" s="1"/>
  <c r="Z53" i="3" a="1"/>
  <c r="Z53" i="3" s="1"/>
  <c r="Z45" i="3" a="1"/>
  <c r="Z45" i="3" s="1"/>
  <c r="AA44" i="3" a="1"/>
  <c r="AA44" i="3" s="1"/>
  <c r="Z44" i="3" a="1"/>
  <c r="Z44" i="3" s="1"/>
  <c r="AA45" i="3" s="1"/>
  <c r="AA50" i="3" a="1"/>
  <c r="AA50" i="3" s="1"/>
  <c r="Z50" i="3" a="1"/>
  <c r="Z50" i="3" s="1"/>
  <c r="AA51" i="3" s="1"/>
  <c r="Z51" i="3" a="1"/>
  <c r="Z51" i="3" s="1"/>
  <c r="Z20" i="3" a="1"/>
  <c r="Z20" i="3" s="1"/>
  <c r="AA21" i="3" s="1"/>
  <c r="AA70" i="3" a="1"/>
  <c r="AA70" i="3" s="1"/>
  <c r="Z70" i="3" a="1"/>
  <c r="Z70" i="3" s="1"/>
  <c r="AA71" i="3" s="1"/>
  <c r="Z71" i="3" a="1"/>
  <c r="Z71" i="3" s="1"/>
  <c r="Z14" i="3" a="1"/>
  <c r="Z14" i="3" s="1"/>
  <c r="AA15" i="3" s="1"/>
  <c r="Z24" i="3" a="1"/>
  <c r="Z24" i="3" s="1"/>
  <c r="AA25" i="3" s="1"/>
  <c r="AA56" i="3" a="1"/>
  <c r="AA56" i="3" s="1"/>
  <c r="Z56" i="3" a="1"/>
  <c r="Z56" i="3" s="1"/>
  <c r="AA57" i="3" s="1"/>
  <c r="Z57" i="3" a="1"/>
  <c r="Z57" i="3" s="1"/>
  <c r="AC12" i="3"/>
  <c r="AD12" i="3" s="1" a="1"/>
  <c r="AD12" i="3" s="1"/>
  <c r="AE13" i="3" s="1"/>
  <c r="AB13" i="3"/>
  <c r="AB17" i="3"/>
  <c r="AC16" i="3"/>
  <c r="AD16" i="3" s="1" a="1"/>
  <c r="AD16" i="3" s="1"/>
  <c r="AE17" i="3" s="1"/>
  <c r="AD38" i="3" a="1"/>
  <c r="AD38" i="3" s="1"/>
  <c r="AE39" i="3" s="1"/>
  <c r="AD39" i="3" a="1"/>
  <c r="AD39" i="3" s="1"/>
  <c r="AE38" i="3" a="1"/>
  <c r="AE38" i="3" s="1"/>
  <c r="AE32" i="3" a="1"/>
  <c r="AE32" i="3" s="1"/>
  <c r="AD33" i="3" a="1"/>
  <c r="AD33" i="3" s="1"/>
  <c r="AD32" i="3" a="1"/>
  <c r="AD32" i="3" s="1"/>
  <c r="AE33" i="3" s="1"/>
  <c r="AD60" i="3" a="1"/>
  <c r="AD60" i="3" s="1"/>
  <c r="AE61" i="3" s="1"/>
  <c r="AE60" i="3" a="1"/>
  <c r="AE60" i="3" s="1"/>
  <c r="AD61" i="3" a="1"/>
  <c r="AD61" i="3" s="1"/>
  <c r="AD68" i="3" a="1"/>
  <c r="AD68" i="3" s="1"/>
  <c r="AE69" i="3" s="1"/>
  <c r="AD69" i="3" a="1"/>
  <c r="AD69" i="3" s="1"/>
  <c r="AE68" i="3" a="1"/>
  <c r="AE68" i="3" s="1"/>
  <c r="AD48" i="3" a="1"/>
  <c r="AD48" i="3" s="1"/>
  <c r="AE49" i="3" s="1"/>
  <c r="AD49" i="3" a="1"/>
  <c r="AD49" i="3" s="1"/>
  <c r="AE48" i="3" a="1"/>
  <c r="AE48" i="3" s="1"/>
  <c r="AE28" i="3" a="1"/>
  <c r="AD29" i="3" a="1"/>
  <c r="AC20" i="3" a="1"/>
  <c r="AB21" i="3" a="1"/>
  <c r="AC14" i="3" a="1"/>
  <c r="AB15" i="3" a="1"/>
  <c r="AB19" i="3" a="1"/>
  <c r="AC18" i="3" a="1"/>
  <c r="AC24" i="3" a="1"/>
  <c r="AB25" i="3" a="1"/>
  <c r="AB27" i="3" a="1"/>
  <c r="AC26" i="3" a="1"/>
  <c r="AB23" i="3" a="1"/>
  <c r="AC22" i="3" a="1"/>
  <c r="AD13" i="3" a="1"/>
  <c r="AE12" i="3" a="1"/>
  <c r="AD17" i="3" a="1"/>
  <c r="AE16" i="3" a="1"/>
  <c r="AD35" i="3" l="1" a="1"/>
  <c r="AD35" i="3" s="1"/>
  <c r="AD34" i="3" a="1"/>
  <c r="AD34" i="3" s="1"/>
  <c r="AE35" i="3" s="1"/>
  <c r="AE30" i="3" a="1"/>
  <c r="AE30" i="3" s="1"/>
  <c r="AF31" i="3" s="1" a="1"/>
  <c r="AF31" i="3" s="1"/>
  <c r="AD31" i="3" a="1"/>
  <c r="AD31" i="3" s="1"/>
  <c r="AC40" i="3" a="1"/>
  <c r="AC40" i="3" s="1"/>
  <c r="AB40" i="3" a="1"/>
  <c r="AB40" i="3" s="1"/>
  <c r="AC41" i="3" s="1"/>
  <c r="AB41" i="3" a="1"/>
  <c r="AB41" i="3" s="1"/>
  <c r="AC22" i="3"/>
  <c r="AB23" i="3"/>
  <c r="AC26" i="3"/>
  <c r="AB27" i="3"/>
  <c r="AB25" i="3"/>
  <c r="AC24" i="3"/>
  <c r="AC18" i="3"/>
  <c r="AB19" i="3"/>
  <c r="AB15" i="3"/>
  <c r="AC14" i="3"/>
  <c r="AB21" i="3"/>
  <c r="AC20" i="3"/>
  <c r="AD29" i="3"/>
  <c r="AE28" i="3"/>
  <c r="AF28" i="3" s="1" a="1"/>
  <c r="AF28" i="3" s="1"/>
  <c r="AG29" i="3" s="1"/>
  <c r="AB36" i="3" a="1"/>
  <c r="AB36" i="3" s="1"/>
  <c r="AC37" i="3" s="1"/>
  <c r="AB37" i="3" a="1"/>
  <c r="AB37" i="3" s="1"/>
  <c r="AC36" i="3" a="1"/>
  <c r="AC36" i="3" s="1"/>
  <c r="AB22" i="3" a="1"/>
  <c r="AB22" i="3" s="1"/>
  <c r="AC23" i="3" s="1"/>
  <c r="AB44" i="3" a="1"/>
  <c r="AB44" i="3" s="1"/>
  <c r="AC45" i="3" s="1"/>
  <c r="AB45" i="3" a="1"/>
  <c r="AB45" i="3" s="1"/>
  <c r="AC44" i="3" a="1"/>
  <c r="AC44" i="3" s="1"/>
  <c r="AB62" i="3" a="1"/>
  <c r="AB62" i="3" s="1"/>
  <c r="AC63" i="3" s="1"/>
  <c r="AC62" i="3" a="1"/>
  <c r="AC62" i="3" s="1"/>
  <c r="AB63" i="3" a="1"/>
  <c r="AB63" i="3" s="1"/>
  <c r="AB26" i="3" a="1"/>
  <c r="AB26" i="3" s="1"/>
  <c r="AC27" i="3" s="1"/>
  <c r="AC50" i="3" a="1"/>
  <c r="AC50" i="3" s="1"/>
  <c r="AB50" i="3" a="1"/>
  <c r="AB50" i="3" s="1"/>
  <c r="AC51" i="3" s="1"/>
  <c r="AB51" i="3" a="1"/>
  <c r="AB51" i="3" s="1"/>
  <c r="AB47" i="3" a="1"/>
  <c r="AB47" i="3" s="1"/>
  <c r="AC46" i="3" a="1"/>
  <c r="AC46" i="3" s="1"/>
  <c r="AB46" i="3" a="1"/>
  <c r="AB46" i="3" s="1"/>
  <c r="AC47" i="3" s="1"/>
  <c r="AB24" i="3" a="1"/>
  <c r="AB24" i="3" s="1"/>
  <c r="AC25" i="3" s="1"/>
  <c r="AB58" i="3" a="1"/>
  <c r="AB58" i="3" s="1"/>
  <c r="AC59" i="3" s="1"/>
  <c r="AC58" i="3" a="1"/>
  <c r="AC58" i="3" s="1"/>
  <c r="AB59" i="3" a="1"/>
  <c r="AB59" i="3" s="1"/>
  <c r="AB70" i="3" a="1"/>
  <c r="AB70" i="3" s="1"/>
  <c r="AC71" i="3" s="1"/>
  <c r="AB71" i="3" a="1"/>
  <c r="AB71" i="3" s="1"/>
  <c r="AC70" i="3" a="1"/>
  <c r="AC70" i="3" s="1"/>
  <c r="AB18" i="3" a="1"/>
  <c r="AB18" i="3" s="1"/>
  <c r="AC19" i="3" s="1"/>
  <c r="AB53" i="3" a="1"/>
  <c r="AB53" i="3" s="1"/>
  <c r="AC52" i="3" a="1"/>
  <c r="AC52" i="3" s="1"/>
  <c r="AB52" i="3" a="1"/>
  <c r="AB52" i="3" s="1"/>
  <c r="AC53" i="3" s="1"/>
  <c r="AC64" i="3" a="1"/>
  <c r="AC64" i="3" s="1"/>
  <c r="AB65" i="3" a="1"/>
  <c r="AB65" i="3" s="1"/>
  <c r="AB64" i="3" a="1"/>
  <c r="AB64" i="3" s="1"/>
  <c r="AC65" i="3" s="1"/>
  <c r="AB42" i="3" a="1"/>
  <c r="AB42" i="3" s="1"/>
  <c r="AC43" i="3" s="1"/>
  <c r="AC42" i="3" a="1"/>
  <c r="AC42" i="3" s="1"/>
  <c r="AB43" i="3" a="1"/>
  <c r="AB43" i="3" s="1"/>
  <c r="AB14" i="3" a="1"/>
  <c r="AB14" i="3" s="1"/>
  <c r="AC15" i="3" s="1"/>
  <c r="AB54" i="3" a="1"/>
  <c r="AB54" i="3" s="1"/>
  <c r="AC55" i="3" s="1"/>
  <c r="AB55" i="3" a="1"/>
  <c r="AB55" i="3" s="1"/>
  <c r="AC54" i="3" a="1"/>
  <c r="AC54" i="3" s="1"/>
  <c r="AC66" i="3" a="1"/>
  <c r="AC66" i="3" s="1"/>
  <c r="AB67" i="3" a="1"/>
  <c r="AB67" i="3" s="1"/>
  <c r="AB66" i="3" a="1"/>
  <c r="AB66" i="3" s="1"/>
  <c r="AC67" i="3" s="1"/>
  <c r="AB20" i="3" a="1"/>
  <c r="AB20" i="3" s="1"/>
  <c r="AC21" i="3" s="1"/>
  <c r="AB57" i="3" a="1"/>
  <c r="AB57" i="3" s="1"/>
  <c r="AC56" i="3" a="1"/>
  <c r="AC56" i="3" s="1"/>
  <c r="AB56" i="3" a="1"/>
  <c r="AB56" i="3" s="1"/>
  <c r="AC57" i="3" s="1"/>
  <c r="AE12" i="3"/>
  <c r="AF12" i="3" s="1" a="1"/>
  <c r="AF12" i="3" s="1"/>
  <c r="AG13" i="3" s="1"/>
  <c r="AD13" i="3"/>
  <c r="AE16" i="3"/>
  <c r="AF16" i="3" s="1" a="1"/>
  <c r="AF16" i="3" s="1"/>
  <c r="AG17" i="3" s="1"/>
  <c r="AD17" i="3"/>
  <c r="AF69" i="3" a="1"/>
  <c r="AF69" i="3" s="1"/>
  <c r="AG68" i="3" a="1"/>
  <c r="AG68" i="3" s="1"/>
  <c r="AF68" i="3" a="1"/>
  <c r="AF68" i="3" s="1"/>
  <c r="AG69" i="3" s="1"/>
  <c r="AF32" i="3" a="1"/>
  <c r="AF32" i="3" s="1"/>
  <c r="AG33" i="3" s="1"/>
  <c r="AG32" i="3" a="1"/>
  <c r="AG32" i="3" s="1"/>
  <c r="AF33" i="3" a="1"/>
  <c r="AF33" i="3" s="1"/>
  <c r="AF35" i="3" a="1"/>
  <c r="AF35" i="3" s="1"/>
  <c r="AG34" i="3" a="1"/>
  <c r="AG34" i="3" s="1"/>
  <c r="AF34" i="3" a="1"/>
  <c r="AF34" i="3" s="1"/>
  <c r="AG35" i="3" s="1"/>
  <c r="AF48" i="3" a="1"/>
  <c r="AF48" i="3" s="1"/>
  <c r="AG49" i="3" s="1"/>
  <c r="AF49" i="3" a="1"/>
  <c r="AF49" i="3" s="1"/>
  <c r="AG48" i="3" a="1"/>
  <c r="AG48" i="3" s="1"/>
  <c r="AF60" i="3" a="1"/>
  <c r="AF60" i="3" s="1"/>
  <c r="AG61" i="3" s="1"/>
  <c r="AF61" i="3" a="1"/>
  <c r="AF61" i="3" s="1"/>
  <c r="AG60" i="3" a="1"/>
  <c r="AG60" i="3" s="1"/>
  <c r="AF38" i="3" a="1"/>
  <c r="AF38" i="3" s="1"/>
  <c r="AG39" i="3" s="1"/>
  <c r="AF39" i="3" a="1"/>
  <c r="AF39" i="3" s="1"/>
  <c r="AG38" i="3" a="1"/>
  <c r="AG38" i="3" s="1"/>
  <c r="AE22" i="3" a="1"/>
  <c r="AD23" i="3" a="1"/>
  <c r="AD15" i="3" a="1"/>
  <c r="AE14" i="3" a="1"/>
  <c r="AD27" i="3" a="1"/>
  <c r="AE26" i="3" a="1"/>
  <c r="AD21" i="3" a="1"/>
  <c r="AE20" i="3" a="1"/>
  <c r="AD25" i="3" a="1"/>
  <c r="AE24" i="3" a="1"/>
  <c r="AG28" i="3" a="1"/>
  <c r="AF29" i="3" a="1"/>
  <c r="AE18" i="3" a="1"/>
  <c r="AD19" i="3" a="1"/>
  <c r="AF13" i="3" a="1"/>
  <c r="AG12" i="3" a="1"/>
  <c r="AG16" i="3" a="1"/>
  <c r="AF17" i="3" a="1"/>
  <c r="AF30" i="3" l="1" a="1"/>
  <c r="AF30" i="3" s="1"/>
  <c r="AG31" i="3" s="1"/>
  <c r="AG30" i="3" a="1"/>
  <c r="AG30" i="3" s="1"/>
  <c r="AH30" i="3" s="1" a="1"/>
  <c r="AH30" i="3" s="1"/>
  <c r="AI31" i="3" s="1"/>
  <c r="AD41" i="3" a="1"/>
  <c r="AD41" i="3" s="1"/>
  <c r="AE40" i="3" a="1"/>
  <c r="AE40" i="3" s="1"/>
  <c r="AD40" i="3" a="1"/>
  <c r="AD40" i="3" s="1"/>
  <c r="AE41" i="3" s="1"/>
  <c r="AD19" i="3"/>
  <c r="AE18" i="3"/>
  <c r="AF29" i="3"/>
  <c r="AG28" i="3"/>
  <c r="AH28" i="3" s="1" a="1"/>
  <c r="AH28" i="3" s="1"/>
  <c r="AI29" i="3" s="1"/>
  <c r="AE24" i="3"/>
  <c r="AD25" i="3"/>
  <c r="AE20" i="3"/>
  <c r="AD21" i="3"/>
  <c r="AE26" i="3"/>
  <c r="AD27" i="3"/>
  <c r="AE14" i="3"/>
  <c r="AD15" i="3"/>
  <c r="AD23" i="3"/>
  <c r="AE22" i="3"/>
  <c r="AD63" i="3" a="1"/>
  <c r="AD63" i="3" s="1"/>
  <c r="AE62" i="3" a="1"/>
  <c r="AE62" i="3" s="1"/>
  <c r="AD62" i="3" a="1"/>
  <c r="AD62" i="3" s="1"/>
  <c r="AE63" i="3" s="1"/>
  <c r="AD18" i="3" a="1"/>
  <c r="AD18" i="3" s="1"/>
  <c r="AE19" i="3" s="1"/>
  <c r="AE70" i="3" a="1"/>
  <c r="AE70" i="3" s="1"/>
  <c r="AD70" i="3" a="1"/>
  <c r="AD70" i="3" s="1"/>
  <c r="AE71" i="3" s="1"/>
  <c r="AD71" i="3" a="1"/>
  <c r="AD71" i="3" s="1"/>
  <c r="AD47" i="3" a="1"/>
  <c r="AD47" i="3" s="1"/>
  <c r="AD46" i="3" a="1"/>
  <c r="AD46" i="3" s="1"/>
  <c r="AE47" i="3" s="1"/>
  <c r="AE46" i="3" a="1"/>
  <c r="AE46" i="3" s="1"/>
  <c r="AD24" i="3" a="1"/>
  <c r="AD24" i="3" s="1"/>
  <c r="AE25" i="3" s="1"/>
  <c r="AE66" i="3" a="1"/>
  <c r="AE66" i="3" s="1"/>
  <c r="AD67" i="3" a="1"/>
  <c r="AD67" i="3" s="1"/>
  <c r="AD66" i="3" a="1"/>
  <c r="AD66" i="3" s="1"/>
  <c r="AE67" i="3" s="1"/>
  <c r="AD45" i="3" a="1"/>
  <c r="AD45" i="3" s="1"/>
  <c r="AD44" i="3" a="1"/>
  <c r="AD44" i="3" s="1"/>
  <c r="AE45" i="3" s="1"/>
  <c r="AE44" i="3" a="1"/>
  <c r="AE44" i="3" s="1"/>
  <c r="AD55" i="3" a="1"/>
  <c r="AD55" i="3" s="1"/>
  <c r="AD54" i="3" a="1"/>
  <c r="AD54" i="3" s="1"/>
  <c r="AE55" i="3" s="1"/>
  <c r="AE54" i="3" a="1"/>
  <c r="AE54" i="3" s="1"/>
  <c r="AD20" i="3" a="1"/>
  <c r="AD20" i="3" s="1"/>
  <c r="AE21" i="3" s="1"/>
  <c r="AD43" i="3" a="1"/>
  <c r="AD43" i="3" s="1"/>
  <c r="AE42" i="3" a="1"/>
  <c r="AE42" i="3" s="1"/>
  <c r="AD42" i="3" a="1"/>
  <c r="AD42" i="3" s="1"/>
  <c r="AE43" i="3" s="1"/>
  <c r="AE64" i="3" a="1"/>
  <c r="AE64" i="3" s="1"/>
  <c r="AD64" i="3" a="1"/>
  <c r="AD64" i="3" s="1"/>
  <c r="AE65" i="3" s="1"/>
  <c r="AD65" i="3" a="1"/>
  <c r="AD65" i="3" s="1"/>
  <c r="AD26" i="3" a="1"/>
  <c r="AD26" i="3" s="1"/>
  <c r="AE27" i="3" s="1"/>
  <c r="AD57" i="3" a="1"/>
  <c r="AD57" i="3" s="1"/>
  <c r="AD56" i="3" a="1"/>
  <c r="AD56" i="3" s="1"/>
  <c r="AE57" i="3" s="1"/>
  <c r="AE56" i="3" a="1"/>
  <c r="AE56" i="3" s="1"/>
  <c r="AE58" i="3" a="1"/>
  <c r="AE58" i="3" s="1"/>
  <c r="AD59" i="3" a="1"/>
  <c r="AD59" i="3" s="1"/>
  <c r="AD58" i="3" a="1"/>
  <c r="AD58" i="3" s="1"/>
  <c r="AE59" i="3" s="1"/>
  <c r="AD51" i="3" a="1"/>
  <c r="AD51" i="3" s="1"/>
  <c r="AD50" i="3" a="1"/>
  <c r="AD50" i="3" s="1"/>
  <c r="AE51" i="3" s="1"/>
  <c r="AE50" i="3" a="1"/>
  <c r="AE50" i="3" s="1"/>
  <c r="AD14" i="3" a="1"/>
  <c r="AD14" i="3" s="1"/>
  <c r="AE15" i="3" s="1"/>
  <c r="AD52" i="3" a="1"/>
  <c r="AD52" i="3" s="1"/>
  <c r="AE53" i="3" s="1"/>
  <c r="AE52" i="3" a="1"/>
  <c r="AE52" i="3" s="1"/>
  <c r="AD53" i="3" a="1"/>
  <c r="AD53" i="3" s="1"/>
  <c r="AD37" i="3" a="1"/>
  <c r="AD37" i="3" s="1"/>
  <c r="AD36" i="3" a="1"/>
  <c r="AD36" i="3" s="1"/>
  <c r="AE37" i="3" s="1"/>
  <c r="AE36" i="3" a="1"/>
  <c r="AE36" i="3" s="1"/>
  <c r="AD22" i="3" a="1"/>
  <c r="AD22" i="3" s="1"/>
  <c r="AE23" i="3" s="1"/>
  <c r="AG12" i="3"/>
  <c r="AH12" i="3" s="1" a="1"/>
  <c r="AH12" i="3" s="1"/>
  <c r="AI13" i="3" s="1"/>
  <c r="AF13" i="3"/>
  <c r="AF17" i="3"/>
  <c r="AG16" i="3"/>
  <c r="AH16" i="3" s="1" a="1"/>
  <c r="AH16" i="3" s="1"/>
  <c r="AI17" i="3" s="1"/>
  <c r="AH39" i="3" a="1"/>
  <c r="AH39" i="3" s="1"/>
  <c r="AI38" i="3" a="1"/>
  <c r="AI38" i="3" s="1"/>
  <c r="AH38" i="3" a="1"/>
  <c r="AH38" i="3" s="1"/>
  <c r="AI39" i="3" s="1"/>
  <c r="AH69" i="3" a="1"/>
  <c r="AH69" i="3" s="1"/>
  <c r="AI68" i="3" a="1"/>
  <c r="AI68" i="3" s="1"/>
  <c r="AH68" i="3" a="1"/>
  <c r="AH68" i="3" s="1"/>
  <c r="AI69" i="3" s="1"/>
  <c r="AH33" i="3" a="1"/>
  <c r="AH33" i="3" s="1"/>
  <c r="AI32" i="3" a="1"/>
  <c r="AI32" i="3" s="1"/>
  <c r="AH32" i="3" a="1"/>
  <c r="AH32" i="3" s="1"/>
  <c r="AI33" i="3" s="1"/>
  <c r="AH34" i="3" a="1"/>
  <c r="AH34" i="3" s="1"/>
  <c r="AI35" i="3" s="1"/>
  <c r="AH35" i="3" a="1"/>
  <c r="AH35" i="3" s="1"/>
  <c r="AI34" i="3" a="1"/>
  <c r="AI34" i="3" s="1"/>
  <c r="AH61" i="3" a="1"/>
  <c r="AH61" i="3" s="1"/>
  <c r="AI60" i="3" a="1"/>
  <c r="AI60" i="3" s="1"/>
  <c r="AH60" i="3" a="1"/>
  <c r="AH60" i="3" s="1"/>
  <c r="AI61" i="3" s="1"/>
  <c r="AH49" i="3" a="1"/>
  <c r="AH49" i="3" s="1"/>
  <c r="AI48" i="3" a="1"/>
  <c r="AI48" i="3" s="1"/>
  <c r="AH48" i="3" a="1"/>
  <c r="AH48" i="3" s="1"/>
  <c r="AI49" i="3" s="1"/>
  <c r="AG26" i="3" a="1"/>
  <c r="AF27" i="3" a="1"/>
  <c r="AG18" i="3" a="1"/>
  <c r="AF19" i="3" a="1"/>
  <c r="AF15" i="3" a="1"/>
  <c r="AG14" i="3" a="1"/>
  <c r="AH29" i="3" a="1"/>
  <c r="AI28" i="3" a="1"/>
  <c r="AG24" i="3" a="1"/>
  <c r="AF25" i="3" a="1"/>
  <c r="AF23" i="3" a="1"/>
  <c r="AG22" i="3" a="1"/>
  <c r="AF21" i="3" a="1"/>
  <c r="AG20" i="3" a="1"/>
  <c r="AH13" i="3" a="1"/>
  <c r="AI12" i="3" a="1"/>
  <c r="AH17" i="3" a="1"/>
  <c r="AI16" i="3" a="1"/>
  <c r="AI30" i="3" l="1" a="1"/>
  <c r="AI30" i="3" s="1"/>
  <c r="AK30" i="3" s="1" a="1"/>
  <c r="AK30" i="3" s="1"/>
  <c r="AH31" i="3" a="1"/>
  <c r="AH31" i="3" s="1"/>
  <c r="AF40" i="3" a="1"/>
  <c r="AF40" i="3" s="1"/>
  <c r="AG41" i="3" s="1"/>
  <c r="AF41" i="3" a="1"/>
  <c r="AF41" i="3" s="1"/>
  <c r="AG40" i="3" a="1"/>
  <c r="AG40" i="3" s="1"/>
  <c r="AG20" i="3"/>
  <c r="AF21" i="3"/>
  <c r="AG22" i="3"/>
  <c r="AF23" i="3"/>
  <c r="AF25" i="3"/>
  <c r="AG24" i="3"/>
  <c r="AI28" i="3"/>
  <c r="AJ28" i="3" s="1" a="1"/>
  <c r="AJ28" i="3" s="1"/>
  <c r="AK29" i="3" s="1"/>
  <c r="AH29" i="3"/>
  <c r="AG14" i="3"/>
  <c r="AF15" i="3"/>
  <c r="AF19" i="3"/>
  <c r="AG18" i="3"/>
  <c r="AF27" i="3"/>
  <c r="AG26" i="3"/>
  <c r="AF46" i="3" a="1"/>
  <c r="AF46" i="3" s="1"/>
  <c r="AG47" i="3" s="1"/>
  <c r="AF47" i="3" a="1"/>
  <c r="AF47" i="3" s="1"/>
  <c r="AG46" i="3" a="1"/>
  <c r="AG46" i="3" s="1"/>
  <c r="AG62" i="3" a="1"/>
  <c r="AG62" i="3" s="1"/>
  <c r="AF62" i="3" a="1"/>
  <c r="AF62" i="3" s="1"/>
  <c r="AG63" i="3" s="1"/>
  <c r="AF63" i="3" a="1"/>
  <c r="AF63" i="3" s="1"/>
  <c r="AF65" i="3" a="1"/>
  <c r="AF65" i="3" s="1"/>
  <c r="AF64" i="3" a="1"/>
  <c r="AF64" i="3" s="1"/>
  <c r="AG65" i="3" s="1"/>
  <c r="AG64" i="3" a="1"/>
  <c r="AG64" i="3" s="1"/>
  <c r="AF20" i="3" a="1"/>
  <c r="AF20" i="3" s="1"/>
  <c r="AG21" i="3" s="1"/>
  <c r="AG52" i="3" a="1"/>
  <c r="AG52" i="3" s="1"/>
  <c r="AF53" i="3" a="1"/>
  <c r="AF53" i="3" s="1"/>
  <c r="AF52" i="3" a="1"/>
  <c r="AF52" i="3" s="1"/>
  <c r="AG53" i="3" s="1"/>
  <c r="AF59" i="3" a="1"/>
  <c r="AF59" i="3" s="1"/>
  <c r="AG58" i="3" a="1"/>
  <c r="AG58" i="3" s="1"/>
  <c r="AF58" i="3" a="1"/>
  <c r="AF58" i="3" s="1"/>
  <c r="AG59" i="3" s="1"/>
  <c r="AF22" i="3" a="1"/>
  <c r="AF22" i="3" s="1"/>
  <c r="AG23" i="3" s="1"/>
  <c r="AF45" i="3" a="1"/>
  <c r="AF45" i="3" s="1"/>
  <c r="AG44" i="3" a="1"/>
  <c r="AG44" i="3" s="1"/>
  <c r="AF44" i="3" a="1"/>
  <c r="AF44" i="3" s="1"/>
  <c r="AG45" i="3" s="1"/>
  <c r="AF57" i="3" a="1"/>
  <c r="AF57" i="3" s="1"/>
  <c r="AG56" i="3" a="1"/>
  <c r="AG56" i="3" s="1"/>
  <c r="AF56" i="3" a="1"/>
  <c r="AF56" i="3" s="1"/>
  <c r="AG57" i="3" s="1"/>
  <c r="AF43" i="3" a="1"/>
  <c r="AF43" i="3" s="1"/>
  <c r="AG42" i="3" a="1"/>
  <c r="AG42" i="3" s="1"/>
  <c r="AF42" i="3" a="1"/>
  <c r="AF42" i="3" s="1"/>
  <c r="AG43" i="3" s="1"/>
  <c r="AF24" i="3" a="1"/>
  <c r="AF24" i="3" s="1"/>
  <c r="AG25" i="3" s="1"/>
  <c r="AF50" i="3" a="1"/>
  <c r="AF50" i="3" s="1"/>
  <c r="AG51" i="3" s="1"/>
  <c r="AF51" i="3" a="1"/>
  <c r="AF51" i="3" s="1"/>
  <c r="AG50" i="3" a="1"/>
  <c r="AG50" i="3" s="1"/>
  <c r="AF70" i="3" a="1"/>
  <c r="AF70" i="3" s="1"/>
  <c r="AG71" i="3" s="1"/>
  <c r="AG70" i="3" a="1"/>
  <c r="AG70" i="3" s="1"/>
  <c r="AF71" i="3" a="1"/>
  <c r="AF71" i="3" s="1"/>
  <c r="AF14" i="3" a="1"/>
  <c r="AF14" i="3" s="1"/>
  <c r="AG15" i="3" s="1"/>
  <c r="AF37" i="3" a="1"/>
  <c r="AF37" i="3" s="1"/>
  <c r="AF36" i="3" a="1"/>
  <c r="AF36" i="3" s="1"/>
  <c r="AG37" i="3" s="1"/>
  <c r="AG36" i="3" a="1"/>
  <c r="AG36" i="3" s="1"/>
  <c r="AG54" i="3" a="1"/>
  <c r="AG54" i="3" s="1"/>
  <c r="AF55" i="3" a="1"/>
  <c r="AF55" i="3" s="1"/>
  <c r="AF54" i="3" a="1"/>
  <c r="AF54" i="3" s="1"/>
  <c r="AG55" i="3" s="1"/>
  <c r="AF67" i="3" a="1"/>
  <c r="AF67" i="3" s="1"/>
  <c r="AG66" i="3" a="1"/>
  <c r="AG66" i="3" s="1"/>
  <c r="AF66" i="3" a="1"/>
  <c r="AF66" i="3" s="1"/>
  <c r="AG67" i="3" s="1"/>
  <c r="AF18" i="3" a="1"/>
  <c r="AF18" i="3" s="1"/>
  <c r="AG19" i="3" s="1"/>
  <c r="AF26" i="3" a="1"/>
  <c r="AF26" i="3" s="1"/>
  <c r="AG27" i="3" s="1"/>
  <c r="AI12" i="3"/>
  <c r="AJ12" i="3" s="1" a="1"/>
  <c r="AJ12" i="3" s="1"/>
  <c r="AK13" i="3" s="1"/>
  <c r="AH13" i="3"/>
  <c r="AI16" i="3"/>
  <c r="AJ16" i="3" s="1" a="1"/>
  <c r="AJ16" i="3" s="1"/>
  <c r="AK17" i="3" s="1"/>
  <c r="AH17" i="3"/>
  <c r="AK34" i="3" a="1"/>
  <c r="AK34" i="3" s="1"/>
  <c r="AJ35" i="3" a="1"/>
  <c r="AJ35" i="3" s="1"/>
  <c r="AJ34" i="3" a="1"/>
  <c r="AJ34" i="3" s="1"/>
  <c r="AK35" i="3" s="1"/>
  <c r="AK48" i="3" a="1"/>
  <c r="AK48" i="3" s="1"/>
  <c r="AJ48" i="3" a="1"/>
  <c r="AJ48" i="3" s="1"/>
  <c r="AK49" i="3" s="1"/>
  <c r="AJ49" i="3" a="1"/>
  <c r="AJ49" i="3" s="1"/>
  <c r="AJ60" i="3" a="1"/>
  <c r="AJ60" i="3" s="1"/>
  <c r="AK61" i="3" s="1"/>
  <c r="AK60" i="3" a="1"/>
  <c r="AK60" i="3" s="1"/>
  <c r="AJ61" i="3" a="1"/>
  <c r="AJ61" i="3" s="1"/>
  <c r="AJ30" i="3" a="1"/>
  <c r="AJ30" i="3" s="1"/>
  <c r="AK31" i="3" s="1"/>
  <c r="AJ31" i="3" a="1"/>
  <c r="AJ31" i="3" s="1"/>
  <c r="AK32" i="3" a="1"/>
  <c r="AK32" i="3" s="1"/>
  <c r="AJ32" i="3" a="1"/>
  <c r="AJ32" i="3" s="1"/>
  <c r="AK33" i="3" s="1"/>
  <c r="AJ33" i="3" a="1"/>
  <c r="AJ33" i="3" s="1"/>
  <c r="AJ39" i="3" a="1"/>
  <c r="AJ39" i="3" s="1"/>
  <c r="AK38" i="3" a="1"/>
  <c r="AK38" i="3" s="1"/>
  <c r="AJ38" i="3" a="1"/>
  <c r="AJ38" i="3" s="1"/>
  <c r="AK39" i="3" s="1"/>
  <c r="AK68" i="3" a="1"/>
  <c r="AK68" i="3" s="1"/>
  <c r="AJ68" i="3" a="1"/>
  <c r="AJ68" i="3" s="1"/>
  <c r="AK69" i="3" s="1"/>
  <c r="AJ69" i="3" a="1"/>
  <c r="AJ69" i="3" s="1"/>
  <c r="AH21" i="3" a="1"/>
  <c r="AI20" i="3" a="1"/>
  <c r="AH15" i="3" a="1"/>
  <c r="AI14" i="3" a="1"/>
  <c r="AH23" i="3" a="1"/>
  <c r="AI22" i="3" a="1"/>
  <c r="AI18" i="3" a="1"/>
  <c r="AH19" i="3" a="1"/>
  <c r="AH25" i="3" a="1"/>
  <c r="AI24" i="3" a="1"/>
  <c r="AH27" i="3" a="1"/>
  <c r="AI26" i="3" a="1"/>
  <c r="AK28" i="3" a="1"/>
  <c r="AJ29" i="3" a="1"/>
  <c r="AK12" i="3" a="1"/>
  <c r="AJ13" i="3" a="1"/>
  <c r="AJ17" i="3" a="1"/>
  <c r="AK16" i="3" a="1"/>
  <c r="AI40" i="3" l="1" a="1"/>
  <c r="AI40" i="3" s="1"/>
  <c r="AH40" i="3" a="1"/>
  <c r="AH40" i="3" s="1"/>
  <c r="AI41" i="3" s="1"/>
  <c r="AH41" i="3" a="1"/>
  <c r="AH41" i="3" s="1"/>
  <c r="AJ29" i="3"/>
  <c r="AK28" i="3"/>
  <c r="AL28" i="3" s="1" a="1"/>
  <c r="AL28" i="3" s="1"/>
  <c r="AM29" i="3" s="1"/>
  <c r="AI26" i="3"/>
  <c r="AH27" i="3"/>
  <c r="AI24" i="3"/>
  <c r="AH25" i="3"/>
  <c r="AH19" i="3"/>
  <c r="AI18" i="3"/>
  <c r="AI22" i="3"/>
  <c r="AH23" i="3"/>
  <c r="AI14" i="3"/>
  <c r="AH15" i="3"/>
  <c r="AI20" i="3"/>
  <c r="AH21" i="3"/>
  <c r="AH42" i="3" a="1"/>
  <c r="AH42" i="3" s="1"/>
  <c r="AI43" i="3" s="1"/>
  <c r="AH43" i="3" a="1"/>
  <c r="AH43" i="3" s="1"/>
  <c r="AI42" i="3" a="1"/>
  <c r="AI42" i="3" s="1"/>
  <c r="AI64" i="3" a="1"/>
  <c r="AI64" i="3" s="1"/>
  <c r="AH65" i="3" a="1"/>
  <c r="AH65" i="3" s="1"/>
  <c r="AH64" i="3" a="1"/>
  <c r="AH64" i="3" s="1"/>
  <c r="AI65" i="3" s="1"/>
  <c r="AH70" i="3" a="1"/>
  <c r="AH70" i="3" s="1"/>
  <c r="AI71" i="3" s="1"/>
  <c r="AH71" i="3" a="1"/>
  <c r="AH71" i="3" s="1"/>
  <c r="AI70" i="3" a="1"/>
  <c r="AI70" i="3" s="1"/>
  <c r="AH26" i="3" a="1"/>
  <c r="AH26" i="3" s="1"/>
  <c r="AI27" i="3" s="1"/>
  <c r="AH24" i="3" a="1"/>
  <c r="AH24" i="3" s="1"/>
  <c r="AI25" i="3" s="1"/>
  <c r="AI58" i="3" a="1"/>
  <c r="AI58" i="3" s="1"/>
  <c r="AH58" i="3" a="1"/>
  <c r="AH58" i="3" s="1"/>
  <c r="AI59" i="3" s="1"/>
  <c r="AH59" i="3" a="1"/>
  <c r="AH59" i="3" s="1"/>
  <c r="AI66" i="3" a="1"/>
  <c r="AI66" i="3" s="1"/>
  <c r="AH66" i="3" a="1"/>
  <c r="AH66" i="3" s="1"/>
  <c r="AI67" i="3" s="1"/>
  <c r="AH67" i="3" a="1"/>
  <c r="AH67" i="3" s="1"/>
  <c r="AI54" i="3" a="1"/>
  <c r="AI54" i="3" s="1"/>
  <c r="AH54" i="3" a="1"/>
  <c r="AH54" i="3" s="1"/>
  <c r="AI55" i="3" s="1"/>
  <c r="AH55" i="3" a="1"/>
  <c r="AH55" i="3" s="1"/>
  <c r="AH51" i="3" a="1"/>
  <c r="AH51" i="3" s="1"/>
  <c r="AH50" i="3" a="1"/>
  <c r="AH50" i="3" s="1"/>
  <c r="AI51" i="3" s="1"/>
  <c r="AI50" i="3" a="1"/>
  <c r="AI50" i="3" s="1"/>
  <c r="AH56" i="3" a="1"/>
  <c r="AH56" i="3" s="1"/>
  <c r="AI57" i="3" s="1"/>
  <c r="AI56" i="3" a="1"/>
  <c r="AI56" i="3" s="1"/>
  <c r="AH57" i="3" a="1"/>
  <c r="AH57" i="3" s="1"/>
  <c r="AH18" i="3" a="1"/>
  <c r="AH18" i="3" s="1"/>
  <c r="AI19" i="3" s="1"/>
  <c r="AH37" i="3" a="1"/>
  <c r="AH37" i="3" s="1"/>
  <c r="AI36" i="3" a="1"/>
  <c r="AI36" i="3" s="1"/>
  <c r="AH36" i="3" a="1"/>
  <c r="AH36" i="3" s="1"/>
  <c r="AI37" i="3" s="1"/>
  <c r="AH22" i="3" a="1"/>
  <c r="AH22" i="3" s="1"/>
  <c r="AI23" i="3" s="1"/>
  <c r="AH63" i="3" a="1"/>
  <c r="AH63" i="3" s="1"/>
  <c r="AH62" i="3" a="1"/>
  <c r="AH62" i="3" s="1"/>
  <c r="AI63" i="3" s="1"/>
  <c r="AI62" i="3" a="1"/>
  <c r="AI62" i="3" s="1"/>
  <c r="AH45" i="3" a="1"/>
  <c r="AH45" i="3" s="1"/>
  <c r="AH44" i="3" a="1"/>
  <c r="AH44" i="3" s="1"/>
  <c r="AI45" i="3" s="1"/>
  <c r="AI44" i="3" a="1"/>
  <c r="AI44" i="3" s="1"/>
  <c r="AH52" i="3" a="1"/>
  <c r="AH52" i="3" s="1"/>
  <c r="AI53" i="3" s="1"/>
  <c r="AI52" i="3" a="1"/>
  <c r="AI52" i="3" s="1"/>
  <c r="AH53" i="3" a="1"/>
  <c r="AH53" i="3" s="1"/>
  <c r="AH47" i="3" a="1"/>
  <c r="AH47" i="3" s="1"/>
  <c r="AI46" i="3" a="1"/>
  <c r="AI46" i="3" s="1"/>
  <c r="AH46" i="3" a="1"/>
  <c r="AH46" i="3" s="1"/>
  <c r="AI47" i="3" s="1"/>
  <c r="AH14" i="3" a="1"/>
  <c r="AH14" i="3" s="1"/>
  <c r="AI15" i="3" s="1"/>
  <c r="AH20" i="3" a="1"/>
  <c r="AH20" i="3" s="1"/>
  <c r="AI21" i="3" s="1"/>
  <c r="AJ13" i="3"/>
  <c r="AK12" i="3"/>
  <c r="AL12" i="3" s="1" a="1"/>
  <c r="AL12" i="3" s="1"/>
  <c r="AM13" i="3" s="1"/>
  <c r="AK16" i="3"/>
  <c r="AL16" i="3" s="1" a="1"/>
  <c r="AL16" i="3" s="1"/>
  <c r="AM17" i="3" s="1"/>
  <c r="AJ17" i="3"/>
  <c r="AL39" i="3" a="1"/>
  <c r="AL39" i="3" s="1"/>
  <c r="AL38" i="3" a="1"/>
  <c r="AL38" i="3" s="1"/>
  <c r="AM39" i="3" s="1"/>
  <c r="AM38" i="3" a="1"/>
  <c r="AM38" i="3" s="1"/>
  <c r="AL69" i="3" a="1"/>
  <c r="AL69" i="3" s="1"/>
  <c r="AL68" i="3" a="1"/>
  <c r="AL68" i="3" s="1"/>
  <c r="AM69" i="3" s="1"/>
  <c r="AM68" i="3" a="1"/>
  <c r="AM68" i="3" s="1"/>
  <c r="AL34" i="3" a="1"/>
  <c r="AL34" i="3" s="1"/>
  <c r="AM35" i="3" s="1"/>
  <c r="AL35" i="3" a="1"/>
  <c r="AL35" i="3" s="1"/>
  <c r="AM34" i="3" a="1"/>
  <c r="AM34" i="3" s="1"/>
  <c r="AL32" i="3" a="1"/>
  <c r="AL32" i="3" s="1"/>
  <c r="AM33" i="3" s="1"/>
  <c r="AL33" i="3" a="1"/>
  <c r="AL33" i="3" s="1"/>
  <c r="AM32" i="3" a="1"/>
  <c r="AM32" i="3" s="1"/>
  <c r="AL60" i="3" a="1"/>
  <c r="AL60" i="3" s="1"/>
  <c r="AM61" i="3" s="1"/>
  <c r="AL61" i="3" a="1"/>
  <c r="AL61" i="3" s="1"/>
  <c r="AM60" i="3" a="1"/>
  <c r="AM60" i="3" s="1"/>
  <c r="AL30" i="3" a="1"/>
  <c r="AL30" i="3" s="1"/>
  <c r="AM31" i="3" s="1"/>
  <c r="AM30" i="3" a="1"/>
  <c r="AM30" i="3" s="1"/>
  <c r="AL31" i="3" a="1"/>
  <c r="AL31" i="3" s="1"/>
  <c r="AL49" i="3" a="1"/>
  <c r="AL49" i="3" s="1"/>
  <c r="AM48" i="3" a="1"/>
  <c r="AM48" i="3" s="1"/>
  <c r="AL48" i="3" a="1"/>
  <c r="AL48" i="3" s="1"/>
  <c r="AM49" i="3" s="1"/>
  <c r="AJ23" i="3" a="1"/>
  <c r="AK22" i="3" a="1"/>
  <c r="AM28" i="3" a="1"/>
  <c r="AL29" i="3" a="1"/>
  <c r="AK26" i="3" a="1"/>
  <c r="AJ27" i="3" a="1"/>
  <c r="AJ15" i="3" a="1"/>
  <c r="AK14" i="3" a="1"/>
  <c r="AK24" i="3" a="1"/>
  <c r="AJ25" i="3" a="1"/>
  <c r="AJ21" i="3" a="1"/>
  <c r="AK20" i="3" a="1"/>
  <c r="AK18" i="3" a="1"/>
  <c r="AJ19" i="3" a="1"/>
  <c r="AM12" i="3" a="1"/>
  <c r="AL13" i="3" a="1"/>
  <c r="AL17" i="3" a="1"/>
  <c r="AM16" i="3" a="1"/>
  <c r="AJ41" i="3" l="1" a="1"/>
  <c r="AJ41" i="3" s="1"/>
  <c r="AK40" i="3" a="1"/>
  <c r="AK40" i="3" s="1"/>
  <c r="AJ40" i="3" a="1"/>
  <c r="AJ40" i="3" s="1"/>
  <c r="AK41" i="3" s="1"/>
  <c r="AJ19" i="3"/>
  <c r="AK18" i="3"/>
  <c r="AK20" i="3"/>
  <c r="AJ21" i="3"/>
  <c r="AJ25" i="3"/>
  <c r="AK24" i="3"/>
  <c r="AK14" i="3"/>
  <c r="AJ15" i="3"/>
  <c r="AJ27" i="3"/>
  <c r="AK26" i="3"/>
  <c r="AL29" i="3"/>
  <c r="AM28" i="3"/>
  <c r="AN28" i="3" s="1" a="1"/>
  <c r="AN28" i="3" s="1"/>
  <c r="AO29" i="3" s="1"/>
  <c r="AK22" i="3"/>
  <c r="AJ23" i="3"/>
  <c r="AJ46" i="3" a="1"/>
  <c r="AJ46" i="3" s="1"/>
  <c r="AK47" i="3" s="1"/>
  <c r="AK46" i="3" a="1"/>
  <c r="AK46" i="3" s="1"/>
  <c r="AJ47" i="3" a="1"/>
  <c r="AJ47" i="3" s="1"/>
  <c r="AJ62" i="3" a="1"/>
  <c r="AJ62" i="3" s="1"/>
  <c r="AK63" i="3" s="1"/>
  <c r="AJ63" i="3" a="1"/>
  <c r="AJ63" i="3" s="1"/>
  <c r="AK62" i="3" a="1"/>
  <c r="AK62" i="3" s="1"/>
  <c r="AJ18" i="3" a="1"/>
  <c r="AJ18" i="3" s="1"/>
  <c r="AK19" i="3" s="1"/>
  <c r="AJ56" i="3" a="1"/>
  <c r="AJ56" i="3" s="1"/>
  <c r="AK57" i="3" s="1"/>
  <c r="AJ57" i="3" a="1"/>
  <c r="AJ57" i="3" s="1"/>
  <c r="AK56" i="3" a="1"/>
  <c r="AK56" i="3" s="1"/>
  <c r="AK70" i="3" a="1"/>
  <c r="AK70" i="3" s="1"/>
  <c r="AJ71" i="3" a="1"/>
  <c r="AJ71" i="3" s="1"/>
  <c r="AJ70" i="3" a="1"/>
  <c r="AJ70" i="3" s="1"/>
  <c r="AK71" i="3" s="1"/>
  <c r="AJ50" i="3" a="1"/>
  <c r="AJ50" i="3" s="1"/>
  <c r="AK51" i="3" s="1"/>
  <c r="AJ51" i="3" a="1"/>
  <c r="AJ51" i="3" s="1"/>
  <c r="AK50" i="3" a="1"/>
  <c r="AK50" i="3" s="1"/>
  <c r="AK66" i="3" a="1"/>
  <c r="AK66" i="3" s="1"/>
  <c r="AJ67" i="3" a="1"/>
  <c r="AJ67" i="3" s="1"/>
  <c r="AJ66" i="3" a="1"/>
  <c r="AJ66" i="3" s="1"/>
  <c r="AK67" i="3" s="1"/>
  <c r="AJ20" i="3" a="1"/>
  <c r="AJ20" i="3" s="1"/>
  <c r="AK21" i="3" s="1"/>
  <c r="AJ24" i="3" a="1"/>
  <c r="AJ24" i="3" s="1"/>
  <c r="AK25" i="3" s="1"/>
  <c r="AJ52" i="3" a="1"/>
  <c r="AJ52" i="3" s="1"/>
  <c r="AK53" i="3" s="1"/>
  <c r="AJ53" i="3" a="1"/>
  <c r="AJ53" i="3" s="1"/>
  <c r="AK52" i="3" a="1"/>
  <c r="AK52" i="3" s="1"/>
  <c r="AJ45" i="3" a="1"/>
  <c r="AJ45" i="3" s="1"/>
  <c r="AJ44" i="3" a="1"/>
  <c r="AJ44" i="3" s="1"/>
  <c r="AK45" i="3" s="1"/>
  <c r="AK44" i="3" a="1"/>
  <c r="AK44" i="3" s="1"/>
  <c r="AJ36" i="3" a="1"/>
  <c r="AJ36" i="3" s="1"/>
  <c r="AK37" i="3" s="1"/>
  <c r="AK36" i="3" a="1"/>
  <c r="AK36" i="3" s="1"/>
  <c r="AJ37" i="3" a="1"/>
  <c r="AJ37" i="3" s="1"/>
  <c r="AJ14" i="3" a="1"/>
  <c r="AJ14" i="3" s="1"/>
  <c r="AK15" i="3" s="1"/>
  <c r="AJ26" i="3" a="1"/>
  <c r="AJ26" i="3" s="1"/>
  <c r="AK27" i="3" s="1"/>
  <c r="AK54" i="3" a="1"/>
  <c r="AK54" i="3" s="1"/>
  <c r="AJ54" i="3" a="1"/>
  <c r="AJ54" i="3" s="1"/>
  <c r="AK55" i="3" s="1"/>
  <c r="AJ55" i="3" a="1"/>
  <c r="AJ55" i="3" s="1"/>
  <c r="AJ58" i="3" a="1"/>
  <c r="AJ58" i="3" s="1"/>
  <c r="AK59" i="3" s="1"/>
  <c r="AJ59" i="3" a="1"/>
  <c r="AJ59" i="3" s="1"/>
  <c r="AK58" i="3" a="1"/>
  <c r="AK58" i="3" s="1"/>
  <c r="AK64" i="3" a="1"/>
  <c r="AK64" i="3" s="1"/>
  <c r="AJ64" i="3" a="1"/>
  <c r="AJ64" i="3" s="1"/>
  <c r="AK65" i="3" s="1"/>
  <c r="AJ65" i="3" a="1"/>
  <c r="AJ65" i="3" s="1"/>
  <c r="AK42" i="3" a="1"/>
  <c r="AK42" i="3" s="1"/>
  <c r="AJ43" i="3" a="1"/>
  <c r="AJ43" i="3" s="1"/>
  <c r="AJ42" i="3" a="1"/>
  <c r="AJ42" i="3" s="1"/>
  <c r="AK43" i="3" s="1"/>
  <c r="AJ22" i="3" a="1"/>
  <c r="AJ22" i="3" s="1"/>
  <c r="AK23" i="3" s="1"/>
  <c r="AL13" i="3"/>
  <c r="AM12" i="3"/>
  <c r="AN12" i="3" s="1" a="1"/>
  <c r="AN12" i="3" s="1"/>
  <c r="AO13" i="3" s="1"/>
  <c r="AM16" i="3"/>
  <c r="AL17" i="3"/>
  <c r="AO48" i="3" a="1"/>
  <c r="AO48" i="3" s="1"/>
  <c r="AN49" i="3" a="1"/>
  <c r="AN49" i="3" s="1"/>
  <c r="AN48" i="3" a="1"/>
  <c r="AN48" i="3" s="1"/>
  <c r="AO49" i="3" s="1"/>
  <c r="AO30" i="3" a="1"/>
  <c r="AO30" i="3" s="1"/>
  <c r="AN30" i="3" a="1"/>
  <c r="AN30" i="3" s="1"/>
  <c r="AO31" i="3" s="1"/>
  <c r="AN31" i="3" a="1"/>
  <c r="AN31" i="3" s="1"/>
  <c r="AN34" i="3" a="1"/>
  <c r="AN34" i="3" s="1"/>
  <c r="AO35" i="3" s="1"/>
  <c r="AN35" i="3" a="1"/>
  <c r="AN35" i="3" s="1"/>
  <c r="AO34" i="3" a="1"/>
  <c r="AO34" i="3" s="1"/>
  <c r="AN68" i="3" a="1"/>
  <c r="AN68" i="3" s="1"/>
  <c r="AO69" i="3" s="1"/>
  <c r="AN69" i="3" a="1"/>
  <c r="AN69" i="3" s="1"/>
  <c r="AO68" i="3" a="1"/>
  <c r="AO68" i="3" s="1"/>
  <c r="AN33" i="3" a="1"/>
  <c r="AN33" i="3" s="1"/>
  <c r="AO32" i="3" a="1"/>
  <c r="AO32" i="3" s="1"/>
  <c r="AN32" i="3" a="1"/>
  <c r="AN32" i="3" s="1"/>
  <c r="AO33" i="3" s="1"/>
  <c r="AN61" i="3" a="1"/>
  <c r="AN61" i="3" s="1"/>
  <c r="AO60" i="3" a="1"/>
  <c r="AO60" i="3" s="1"/>
  <c r="AN60" i="3" a="1"/>
  <c r="AN60" i="3" s="1"/>
  <c r="AO61" i="3" s="1"/>
  <c r="AN39" i="3" a="1"/>
  <c r="AN39" i="3" s="1"/>
  <c r="AN38" i="3" a="1"/>
  <c r="AN38" i="3" s="1"/>
  <c r="AO39" i="3" s="1"/>
  <c r="AO38" i="3" a="1"/>
  <c r="AO38" i="3" s="1"/>
  <c r="AM18" i="3" a="1"/>
  <c r="AL19" i="3" a="1"/>
  <c r="AM26" i="3" a="1"/>
  <c r="AL27" i="3" a="1"/>
  <c r="AM20" i="3" a="1"/>
  <c r="AL21" i="3" a="1"/>
  <c r="AM24" i="3" a="1"/>
  <c r="AL25" i="3" a="1"/>
  <c r="AO28" i="3" a="1"/>
  <c r="AN29" i="3" a="1"/>
  <c r="AM22" i="3" a="1"/>
  <c r="AL23" i="3" a="1"/>
  <c r="AL15" i="3" a="1"/>
  <c r="AM14" i="3" a="1"/>
  <c r="AO12" i="3" a="1"/>
  <c r="AN13" i="3" a="1"/>
  <c r="AO16" i="3" a="1"/>
  <c r="AN17" i="3" a="1"/>
  <c r="AL41" i="3" l="1" a="1"/>
  <c r="AL41" i="3" s="1"/>
  <c r="AM40" i="3" a="1"/>
  <c r="AM40" i="3" s="1"/>
  <c r="AL40" i="3" a="1"/>
  <c r="AL40" i="3" s="1"/>
  <c r="AM41" i="3" s="1"/>
  <c r="AM14" i="3"/>
  <c r="AL15" i="3"/>
  <c r="AL23" i="3"/>
  <c r="AM22" i="3"/>
  <c r="AN29" i="3"/>
  <c r="AO28" i="3"/>
  <c r="AP28" i="3" s="1" a="1"/>
  <c r="AP28" i="3" s="1"/>
  <c r="AQ29" i="3" s="1"/>
  <c r="AL25" i="3"/>
  <c r="AM24" i="3"/>
  <c r="AL21" i="3"/>
  <c r="AM20" i="3"/>
  <c r="AL27" i="3"/>
  <c r="AM26" i="3"/>
  <c r="AL19" i="3"/>
  <c r="AM18" i="3"/>
  <c r="AL43" i="3" a="1"/>
  <c r="AL43" i="3" s="1"/>
  <c r="AL42" i="3" a="1"/>
  <c r="AL42" i="3" s="1"/>
  <c r="AM43" i="3" s="1"/>
  <c r="AM42" i="3" a="1"/>
  <c r="AM42" i="3" s="1"/>
  <c r="AL57" i="3" a="1"/>
  <c r="AL57" i="3" s="1"/>
  <c r="AM56" i="3" a="1"/>
  <c r="AM56" i="3" s="1"/>
  <c r="AL56" i="3" a="1"/>
  <c r="AL56" i="3" s="1"/>
  <c r="AM57" i="3" s="1"/>
  <c r="AL46" i="3" a="1"/>
  <c r="AL46" i="3" s="1"/>
  <c r="AM47" i="3" s="1"/>
  <c r="AL47" i="3" a="1"/>
  <c r="AL47" i="3" s="1"/>
  <c r="AM46" i="3" a="1"/>
  <c r="AM46" i="3" s="1"/>
  <c r="AM54" i="3" a="1"/>
  <c r="AM54" i="3" s="1"/>
  <c r="AL54" i="3" a="1"/>
  <c r="AL54" i="3" s="1"/>
  <c r="AM55" i="3" s="1"/>
  <c r="AL55" i="3" a="1"/>
  <c r="AL55" i="3" s="1"/>
  <c r="AL67" i="3" a="1"/>
  <c r="AL67" i="3" s="1"/>
  <c r="AM66" i="3" a="1"/>
  <c r="AM66" i="3" s="1"/>
  <c r="AL66" i="3" a="1"/>
  <c r="AL66" i="3" s="1"/>
  <c r="AM67" i="3" s="1"/>
  <c r="AL14" i="3" a="1"/>
  <c r="AL14" i="3" s="1"/>
  <c r="AM15" i="3" s="1"/>
  <c r="AM52" i="3" a="1"/>
  <c r="AM52" i="3" s="1"/>
  <c r="AL53" i="3" a="1"/>
  <c r="AL53" i="3" s="1"/>
  <c r="AL52" i="3" a="1"/>
  <c r="AL52" i="3" s="1"/>
  <c r="AM53" i="3" s="1"/>
  <c r="AL22" i="3" a="1"/>
  <c r="AL22" i="3" s="1"/>
  <c r="AM23" i="3" s="1"/>
  <c r="AM50" i="3" a="1"/>
  <c r="AM50" i="3" s="1"/>
  <c r="AL51" i="3" a="1"/>
  <c r="AL51" i="3" s="1"/>
  <c r="AL50" i="3" a="1"/>
  <c r="AL50" i="3" s="1"/>
  <c r="AM51" i="3" s="1"/>
  <c r="AM64" i="3" a="1"/>
  <c r="AM64" i="3" s="1"/>
  <c r="AL65" i="3" a="1"/>
  <c r="AL65" i="3" s="1"/>
  <c r="AL64" i="3" a="1"/>
  <c r="AL64" i="3" s="1"/>
  <c r="AM65" i="3" s="1"/>
  <c r="AL58" i="3" a="1"/>
  <c r="AL58" i="3" s="1"/>
  <c r="AM59" i="3" s="1"/>
  <c r="AL59" i="3" a="1"/>
  <c r="AL59" i="3" s="1"/>
  <c r="AM58" i="3" a="1"/>
  <c r="AM58" i="3" s="1"/>
  <c r="AL62" i="3" a="1"/>
  <c r="AL62" i="3" s="1"/>
  <c r="AM63" i="3" s="1"/>
  <c r="AL63" i="3" a="1"/>
  <c r="AL63" i="3" s="1"/>
  <c r="AM62" i="3" a="1"/>
  <c r="AM62" i="3" s="1"/>
  <c r="AL24" i="3" a="1"/>
  <c r="AL24" i="3" s="1"/>
  <c r="AM25" i="3" s="1"/>
  <c r="AL20" i="3" a="1"/>
  <c r="AL20" i="3" s="1"/>
  <c r="AM21" i="3" s="1"/>
  <c r="AL26" i="3" a="1"/>
  <c r="AL26" i="3" s="1"/>
  <c r="AM27" i="3" s="1"/>
  <c r="AL18" i="3" a="1"/>
  <c r="AL18" i="3" s="1"/>
  <c r="AM19" i="3" s="1"/>
  <c r="AM36" i="3" a="1"/>
  <c r="AM36" i="3" s="1"/>
  <c r="AL36" i="3" a="1"/>
  <c r="AL36" i="3" s="1"/>
  <c r="AM37" i="3" s="1"/>
  <c r="AL37" i="3" a="1"/>
  <c r="AL37" i="3" s="1"/>
  <c r="AL45" i="3" a="1"/>
  <c r="AL45" i="3" s="1"/>
  <c r="AL44" i="3" a="1"/>
  <c r="AL44" i="3" s="1"/>
  <c r="AM45" i="3" s="1"/>
  <c r="AM44" i="3" a="1"/>
  <c r="AM44" i="3" s="1"/>
  <c r="AM70" i="3" a="1"/>
  <c r="AM70" i="3" s="1"/>
  <c r="AL71" i="3" a="1"/>
  <c r="AL71" i="3" s="1"/>
  <c r="AL70" i="3" a="1"/>
  <c r="AL70" i="3" s="1"/>
  <c r="AM71" i="3" s="1"/>
  <c r="AN13" i="3"/>
  <c r="AO12" i="3"/>
  <c r="AP12" i="3" s="1" a="1"/>
  <c r="AP12" i="3" s="1"/>
  <c r="AQ13" i="3" s="1"/>
  <c r="AN17" i="3"/>
  <c r="AO16" i="3"/>
  <c r="AP16" i="3" s="1" a="1"/>
  <c r="AP16" i="3" s="1"/>
  <c r="AQ17" i="3" s="1"/>
  <c r="AN16" i="3" a="1"/>
  <c r="AN16" i="3" s="1"/>
  <c r="AO17" i="3" s="1"/>
  <c r="AQ60" i="3" a="1"/>
  <c r="AQ60" i="3" s="1"/>
  <c r="AP60" i="3" a="1"/>
  <c r="AP60" i="3" s="1"/>
  <c r="AQ61" i="3" s="1"/>
  <c r="AP61" i="3" a="1"/>
  <c r="AP61" i="3" s="1"/>
  <c r="AP48" i="3" a="1"/>
  <c r="AP48" i="3" s="1"/>
  <c r="AQ49" i="3" s="1"/>
  <c r="AP49" i="3" a="1"/>
  <c r="AP49" i="3" s="1"/>
  <c r="AQ48" i="3" a="1"/>
  <c r="AQ48" i="3" s="1"/>
  <c r="AQ38" i="3" a="1"/>
  <c r="AQ38" i="3" s="1"/>
  <c r="AP39" i="3" a="1"/>
  <c r="AP39" i="3" s="1"/>
  <c r="AP38" i="3" a="1"/>
  <c r="AP38" i="3" s="1"/>
  <c r="AQ39" i="3" s="1"/>
  <c r="AP31" i="3" a="1"/>
  <c r="AP31" i="3" s="1"/>
  <c r="AP30" i="3" a="1"/>
  <c r="AP30" i="3" s="1"/>
  <c r="AQ31" i="3" s="1"/>
  <c r="AQ30" i="3" a="1"/>
  <c r="AQ30" i="3" s="1"/>
  <c r="AQ32" i="3" a="1"/>
  <c r="AQ32" i="3" s="1"/>
  <c r="AP33" i="3" a="1"/>
  <c r="AP33" i="3" s="1"/>
  <c r="AP32" i="3" a="1"/>
  <c r="AP32" i="3" s="1"/>
  <c r="AQ33" i="3" s="1"/>
  <c r="AP34" i="3" a="1"/>
  <c r="AP34" i="3" s="1"/>
  <c r="AQ35" i="3" s="1"/>
  <c r="AP35" i="3" a="1"/>
  <c r="AP35" i="3" s="1"/>
  <c r="AQ34" i="3" a="1"/>
  <c r="AQ34" i="3" s="1"/>
  <c r="AQ68" i="3" a="1"/>
  <c r="AQ68" i="3" s="1"/>
  <c r="AP68" i="3" a="1"/>
  <c r="AP68" i="3" s="1"/>
  <c r="AQ69" i="3" s="1"/>
  <c r="AP69" i="3" a="1"/>
  <c r="AP69" i="3" s="1"/>
  <c r="AO14" i="3" a="1"/>
  <c r="AN15" i="3" a="1"/>
  <c r="AN21" i="3" a="1"/>
  <c r="AO20" i="3" a="1"/>
  <c r="AN23" i="3" a="1"/>
  <c r="AO22" i="3" a="1"/>
  <c r="AO26" i="3" a="1"/>
  <c r="AN27" i="3" a="1"/>
  <c r="AO24" i="3" a="1"/>
  <c r="AN25" i="3" a="1"/>
  <c r="AP29" i="3" a="1"/>
  <c r="AQ28" i="3" a="1"/>
  <c r="AN19" i="3" a="1"/>
  <c r="AO18" i="3" a="1"/>
  <c r="AQ12" i="3" a="1"/>
  <c r="AP13" i="3" a="1"/>
  <c r="AP17" i="3" a="1"/>
  <c r="AQ16" i="3" a="1"/>
  <c r="AN40" i="3" l="1" a="1"/>
  <c r="AN40" i="3" s="1"/>
  <c r="AO41" i="3" s="1"/>
  <c r="AO40" i="3" a="1"/>
  <c r="AO40" i="3" s="1"/>
  <c r="AN41" i="3" a="1"/>
  <c r="AN41" i="3" s="1"/>
  <c r="AO18" i="3"/>
  <c r="AN19" i="3"/>
  <c r="AQ28" i="3"/>
  <c r="AR28" i="3" s="1" a="1"/>
  <c r="AR28" i="3" s="1"/>
  <c r="AS29" i="3" s="1"/>
  <c r="AP29" i="3"/>
  <c r="AN25" i="3"/>
  <c r="AO24" i="3"/>
  <c r="AN27" i="3"/>
  <c r="AO26" i="3"/>
  <c r="AO22" i="3"/>
  <c r="AN23" i="3"/>
  <c r="AO20" i="3"/>
  <c r="AN21" i="3"/>
  <c r="AN15" i="3"/>
  <c r="AO14" i="3"/>
  <c r="AN46" i="3" a="1"/>
  <c r="AN46" i="3" s="1"/>
  <c r="AO47" i="3" s="1"/>
  <c r="AN47" i="3" a="1"/>
  <c r="AN47" i="3" s="1"/>
  <c r="AO46" i="3" a="1"/>
  <c r="AO46" i="3" s="1"/>
  <c r="AN18" i="3" a="1"/>
  <c r="AN18" i="3" s="1"/>
  <c r="AO19" i="3" s="1"/>
  <c r="AN44" i="3" a="1"/>
  <c r="AN44" i="3" s="1"/>
  <c r="AO45" i="3" s="1"/>
  <c r="AO44" i="3" a="1"/>
  <c r="AO44" i="3" s="1"/>
  <c r="AN45" i="3" a="1"/>
  <c r="AN45" i="3" s="1"/>
  <c r="AN54" i="3" a="1"/>
  <c r="AN54" i="3" s="1"/>
  <c r="AO55" i="3" s="1"/>
  <c r="AN55" i="3" a="1"/>
  <c r="AN55" i="3" s="1"/>
  <c r="AO54" i="3" a="1"/>
  <c r="AO54" i="3" s="1"/>
  <c r="AN24" i="3" a="1"/>
  <c r="AN24" i="3" s="1"/>
  <c r="AO25" i="3" s="1"/>
  <c r="AN52" i="3" a="1"/>
  <c r="AN52" i="3" s="1"/>
  <c r="AO53" i="3" s="1"/>
  <c r="AN53" i="3" a="1"/>
  <c r="AN53" i="3" s="1"/>
  <c r="AO52" i="3" a="1"/>
  <c r="AO52" i="3" s="1"/>
  <c r="AN65" i="3" a="1"/>
  <c r="AN65" i="3" s="1"/>
  <c r="AN64" i="3" a="1"/>
  <c r="AN64" i="3" s="1"/>
  <c r="AO65" i="3" s="1"/>
  <c r="AO64" i="3" a="1"/>
  <c r="AO64" i="3" s="1"/>
  <c r="AN67" i="3" a="1"/>
  <c r="AN67" i="3" s="1"/>
  <c r="AN66" i="3" a="1"/>
  <c r="AN66" i="3" s="1"/>
  <c r="AO67" i="3" s="1"/>
  <c r="AO66" i="3" a="1"/>
  <c r="AO66" i="3" s="1"/>
  <c r="AN26" i="3" a="1"/>
  <c r="AN26" i="3" s="1"/>
  <c r="AO27" i="3" s="1"/>
  <c r="AN22" i="3" a="1"/>
  <c r="AN22" i="3" s="1"/>
  <c r="AO23" i="3" s="1"/>
  <c r="AN63" i="3" a="1"/>
  <c r="AN63" i="3" s="1"/>
  <c r="AN62" i="3" a="1"/>
  <c r="AN62" i="3" s="1"/>
  <c r="AO63" i="3" s="1"/>
  <c r="AO62" i="3" a="1"/>
  <c r="AO62" i="3" s="1"/>
  <c r="AN36" i="3" a="1"/>
  <c r="AN36" i="3" s="1"/>
  <c r="AO37" i="3" s="1"/>
  <c r="AO36" i="3" a="1"/>
  <c r="AO36" i="3" s="1"/>
  <c r="AN37" i="3" a="1"/>
  <c r="AN37" i="3" s="1"/>
  <c r="AN58" i="3" a="1"/>
  <c r="AN58" i="3" s="1"/>
  <c r="AO59" i="3" s="1"/>
  <c r="AO58" i="3" a="1"/>
  <c r="AO58" i="3" s="1"/>
  <c r="AN59" i="3" a="1"/>
  <c r="AN59" i="3" s="1"/>
  <c r="AN50" i="3" a="1"/>
  <c r="AN50" i="3" s="1"/>
  <c r="AO51" i="3" s="1"/>
  <c r="AN51" i="3" a="1"/>
  <c r="AN51" i="3" s="1"/>
  <c r="AO50" i="3" a="1"/>
  <c r="AO50" i="3" s="1"/>
  <c r="AN56" i="3" a="1"/>
  <c r="AN56" i="3" s="1"/>
  <c r="AO57" i="3" s="1"/>
  <c r="AO56" i="3" a="1"/>
  <c r="AO56" i="3" s="1"/>
  <c r="AN57" i="3" a="1"/>
  <c r="AN57" i="3" s="1"/>
  <c r="AN20" i="3" a="1"/>
  <c r="AN20" i="3" s="1"/>
  <c r="AO21" i="3" s="1"/>
  <c r="AN71" i="3" a="1"/>
  <c r="AN71" i="3" s="1"/>
  <c r="AN70" i="3" a="1"/>
  <c r="AN70" i="3" s="1"/>
  <c r="AO71" i="3" s="1"/>
  <c r="AO70" i="3" a="1"/>
  <c r="AO70" i="3" s="1"/>
  <c r="AN42" i="3" a="1"/>
  <c r="AN42" i="3" s="1"/>
  <c r="AO43" i="3" s="1"/>
  <c r="AN43" i="3" a="1"/>
  <c r="AN43" i="3" s="1"/>
  <c r="AO42" i="3" a="1"/>
  <c r="AO42" i="3" s="1"/>
  <c r="AN14" i="3" a="1"/>
  <c r="AN14" i="3" s="1"/>
  <c r="AO15" i="3" s="1"/>
  <c r="AP13" i="3"/>
  <c r="AQ12" i="3"/>
  <c r="AR12" i="3" s="1" a="1"/>
  <c r="AR12" i="3" s="1"/>
  <c r="AS13" i="3" s="1"/>
  <c r="AR61" i="3" a="1"/>
  <c r="AR61" i="3" s="1"/>
  <c r="AS60" i="3" a="1"/>
  <c r="AS60" i="3" s="1"/>
  <c r="AR60" i="3" a="1"/>
  <c r="AR60" i="3" s="1"/>
  <c r="AS61" i="3" s="1"/>
  <c r="AR39" i="3" a="1"/>
  <c r="AR39" i="3" s="1"/>
  <c r="AS38" i="3" a="1"/>
  <c r="AS38" i="3" s="1"/>
  <c r="AR38" i="3" a="1"/>
  <c r="AR38" i="3" s="1"/>
  <c r="AS39" i="3" s="1"/>
  <c r="AS34" i="3" a="1"/>
  <c r="AS34" i="3" s="1"/>
  <c r="AR34" i="3" a="1"/>
  <c r="AR34" i="3" s="1"/>
  <c r="AS35" i="3" s="1"/>
  <c r="AR35" i="3" a="1"/>
  <c r="AR35" i="3" s="1"/>
  <c r="AR48" i="3" a="1"/>
  <c r="AR48" i="3" s="1"/>
  <c r="AS49" i="3" s="1"/>
  <c r="AR49" i="3" a="1"/>
  <c r="AR49" i="3" s="1"/>
  <c r="AS48" i="3" a="1"/>
  <c r="AS48" i="3" s="1"/>
  <c r="AR33" i="3" a="1"/>
  <c r="AR33" i="3" s="1"/>
  <c r="AS32" i="3" a="1"/>
  <c r="AS32" i="3" s="1"/>
  <c r="AR32" i="3" a="1"/>
  <c r="AR32" i="3" s="1"/>
  <c r="AS33" i="3" s="1"/>
  <c r="AR30" i="3" a="1"/>
  <c r="AR30" i="3" s="1"/>
  <c r="AS31" i="3" s="1"/>
  <c r="AS30" i="3" a="1"/>
  <c r="AS30" i="3" s="1"/>
  <c r="AR31" i="3" a="1"/>
  <c r="AR31" i="3" s="1"/>
  <c r="AS68" i="3" a="1"/>
  <c r="AS68" i="3" s="1"/>
  <c r="AR68" i="3" a="1"/>
  <c r="AR68" i="3" s="1"/>
  <c r="AS69" i="3" s="1"/>
  <c r="AR69" i="3" a="1"/>
  <c r="AR69" i="3" s="1"/>
  <c r="AQ16" i="3"/>
  <c r="AP17" i="3"/>
  <c r="AP19" i="3" a="1"/>
  <c r="AQ18" i="3" a="1"/>
  <c r="AP23" i="3" a="1"/>
  <c r="AQ22" i="3" a="1"/>
  <c r="AR29" i="3" a="1"/>
  <c r="AS28" i="3" a="1"/>
  <c r="AP21" i="3" a="1"/>
  <c r="AQ20" i="3" a="1"/>
  <c r="AP25" i="3" a="1"/>
  <c r="AQ24" i="3" a="1"/>
  <c r="AP15" i="3" a="1"/>
  <c r="AQ14" i="3" a="1"/>
  <c r="AQ26" i="3" a="1"/>
  <c r="AP27" i="3" a="1"/>
  <c r="AR13" i="3" a="1"/>
  <c r="AS12" i="3" a="1"/>
  <c r="AP40" i="3" l="1" a="1"/>
  <c r="AP40" i="3" s="1"/>
  <c r="AQ41" i="3" s="1"/>
  <c r="AQ40" i="3" a="1"/>
  <c r="AQ40" i="3" s="1"/>
  <c r="AP41" i="3" a="1"/>
  <c r="AP41" i="3" s="1"/>
  <c r="AP27" i="3"/>
  <c r="AQ26" i="3"/>
  <c r="AR26" i="3" s="1" a="1"/>
  <c r="AR26" i="3" s="1"/>
  <c r="AQ14" i="3"/>
  <c r="AP15" i="3"/>
  <c r="AQ24" i="3"/>
  <c r="AP25" i="3"/>
  <c r="AQ20" i="3"/>
  <c r="AP21" i="3"/>
  <c r="AS28" i="3"/>
  <c r="AT28" i="3" s="1" a="1"/>
  <c r="AT28" i="3" s="1"/>
  <c r="AU29" i="3" s="1"/>
  <c r="AR29" i="3"/>
  <c r="AQ22" i="3"/>
  <c r="AP23" i="3"/>
  <c r="AQ18" i="3"/>
  <c r="AP19" i="3"/>
  <c r="AQ54" i="3" a="1"/>
  <c r="AQ54" i="3" s="1"/>
  <c r="AP55" i="3" a="1"/>
  <c r="AP55" i="3" s="1"/>
  <c r="AP54" i="3" a="1"/>
  <c r="AP54" i="3" s="1"/>
  <c r="AQ55" i="3" s="1"/>
  <c r="AP26" i="3" a="1"/>
  <c r="AP26" i="3" s="1"/>
  <c r="AQ27" i="3" s="1"/>
  <c r="AQ70" i="3" a="1"/>
  <c r="AQ70" i="3" s="1"/>
  <c r="AP70" i="3" a="1"/>
  <c r="AP70" i="3" s="1"/>
  <c r="AQ71" i="3" s="1"/>
  <c r="AP71" i="3" a="1"/>
  <c r="AP71" i="3" s="1"/>
  <c r="AQ62" i="3" a="1"/>
  <c r="AQ62" i="3" s="1"/>
  <c r="AP62" i="3" a="1"/>
  <c r="AP62" i="3" s="1"/>
  <c r="AQ63" i="3" s="1"/>
  <c r="AP63" i="3" a="1"/>
  <c r="AP63" i="3" s="1"/>
  <c r="AP14" i="3" a="1"/>
  <c r="AP14" i="3" s="1"/>
  <c r="AQ15" i="3" s="1"/>
  <c r="AP24" i="3" a="1"/>
  <c r="AP24" i="3" s="1"/>
  <c r="AQ25" i="3" s="1"/>
  <c r="AP65" i="3" a="1"/>
  <c r="AP65" i="3" s="1"/>
  <c r="AP64" i="3" a="1"/>
  <c r="AP64" i="3" s="1"/>
  <c r="AQ65" i="3" s="1"/>
  <c r="AQ64" i="3" a="1"/>
  <c r="AQ64" i="3" s="1"/>
  <c r="AQ58" i="3" a="1"/>
  <c r="AQ58" i="3" s="1"/>
  <c r="AP58" i="3" a="1"/>
  <c r="AP58" i="3" s="1"/>
  <c r="AQ59" i="3" s="1"/>
  <c r="AP59" i="3" a="1"/>
  <c r="AP59" i="3" s="1"/>
  <c r="AP52" i="3" a="1"/>
  <c r="AP52" i="3" s="1"/>
  <c r="AQ53" i="3" s="1"/>
  <c r="AP53" i="3" a="1"/>
  <c r="AP53" i="3" s="1"/>
  <c r="AQ52" i="3" a="1"/>
  <c r="AQ52" i="3" s="1"/>
  <c r="AQ44" i="3" a="1"/>
  <c r="AQ44" i="3" s="1"/>
  <c r="AP45" i="3" a="1"/>
  <c r="AP45" i="3" s="1"/>
  <c r="AP44" i="3" a="1"/>
  <c r="AP44" i="3" s="1"/>
  <c r="AQ45" i="3" s="1"/>
  <c r="AP20" i="3" a="1"/>
  <c r="AP20" i="3" s="1"/>
  <c r="AQ21" i="3" s="1"/>
  <c r="AP42" i="3" a="1"/>
  <c r="AP42" i="3" s="1"/>
  <c r="AQ43" i="3" s="1"/>
  <c r="AP43" i="3" a="1"/>
  <c r="AP43" i="3" s="1"/>
  <c r="AQ42" i="3" a="1"/>
  <c r="AQ42" i="3" s="1"/>
  <c r="AP56" i="3" a="1"/>
  <c r="AP56" i="3" s="1"/>
  <c r="AQ57" i="3" s="1"/>
  <c r="AP57" i="3" a="1"/>
  <c r="AP57" i="3" s="1"/>
  <c r="AQ56" i="3" a="1"/>
  <c r="AQ56" i="3" s="1"/>
  <c r="AP67" i="3" a="1"/>
  <c r="AP67" i="3" s="1"/>
  <c r="AP66" i="3" a="1"/>
  <c r="AP66" i="3" s="1"/>
  <c r="AQ67" i="3" s="1"/>
  <c r="AQ66" i="3" a="1"/>
  <c r="AQ66" i="3" s="1"/>
  <c r="AP50" i="3" a="1"/>
  <c r="AP50" i="3" s="1"/>
  <c r="AQ51" i="3" s="1"/>
  <c r="AQ50" i="3" a="1"/>
  <c r="AQ50" i="3" s="1"/>
  <c r="AP51" i="3" a="1"/>
  <c r="AP51" i="3" s="1"/>
  <c r="AQ36" i="3" a="1"/>
  <c r="AQ36" i="3" s="1"/>
  <c r="AP37" i="3" a="1"/>
  <c r="AP37" i="3" s="1"/>
  <c r="AP36" i="3" a="1"/>
  <c r="AP36" i="3" s="1"/>
  <c r="AQ37" i="3" s="1"/>
  <c r="AQ46" i="3" a="1"/>
  <c r="AQ46" i="3" s="1"/>
  <c r="AP47" i="3" a="1"/>
  <c r="AP47" i="3" s="1"/>
  <c r="AP46" i="3" a="1"/>
  <c r="AP46" i="3" s="1"/>
  <c r="AQ47" i="3" s="1"/>
  <c r="AP22" i="3" a="1"/>
  <c r="AP22" i="3" s="1"/>
  <c r="AQ23" i="3" s="1"/>
  <c r="AP18" i="3" a="1"/>
  <c r="AP18" i="3" s="1"/>
  <c r="AQ19" i="3" s="1"/>
  <c r="AS12" i="3"/>
  <c r="AT12" i="3" s="1" a="1"/>
  <c r="AT12" i="3" s="1"/>
  <c r="AU13" i="3" s="1"/>
  <c r="AR13" i="3"/>
  <c r="AT30" i="3" a="1"/>
  <c r="AT30" i="3" s="1"/>
  <c r="AU31" i="3" s="1"/>
  <c r="AU30" i="3" a="1"/>
  <c r="AU30" i="3" s="1"/>
  <c r="AT31" i="3" a="1"/>
  <c r="AT31" i="3" s="1"/>
  <c r="AU38" i="3" a="1"/>
  <c r="AU38" i="3" s="1"/>
  <c r="AT38" i="3" a="1"/>
  <c r="AT38" i="3" s="1"/>
  <c r="AU39" i="3" s="1"/>
  <c r="AT39" i="3" a="1"/>
  <c r="AT39" i="3" s="1"/>
  <c r="AT60" i="3" a="1"/>
  <c r="AT60" i="3" s="1"/>
  <c r="AU61" i="3" s="1"/>
  <c r="AU60" i="3" a="1"/>
  <c r="AU60" i="3" s="1"/>
  <c r="AT61" i="3" a="1"/>
  <c r="AT61" i="3" s="1"/>
  <c r="AU68" i="3" a="1"/>
  <c r="AU68" i="3" s="1"/>
  <c r="AT68" i="3" a="1"/>
  <c r="AT68" i="3" s="1"/>
  <c r="AU69" i="3" s="1"/>
  <c r="AT69" i="3" a="1"/>
  <c r="AT69" i="3" s="1"/>
  <c r="AT33" i="3" a="1"/>
  <c r="AT33" i="3" s="1"/>
  <c r="AU32" i="3" a="1"/>
  <c r="AU32" i="3" s="1"/>
  <c r="AT32" i="3" a="1"/>
  <c r="AT32" i="3" s="1"/>
  <c r="AU33" i="3" s="1"/>
  <c r="AT48" i="3" a="1"/>
  <c r="AT48" i="3" s="1"/>
  <c r="AU49" i="3" s="1"/>
  <c r="AT49" i="3" a="1"/>
  <c r="AT49" i="3" s="1"/>
  <c r="AU48" i="3" a="1"/>
  <c r="AU48" i="3" s="1"/>
  <c r="AT35" i="3" a="1"/>
  <c r="AT35" i="3" s="1"/>
  <c r="AU34" i="3" a="1"/>
  <c r="AU34" i="3" s="1"/>
  <c r="AT34" i="3" a="1"/>
  <c r="AT34" i="3" s="1"/>
  <c r="AU35" i="3" s="1"/>
  <c r="AR16" i="3" a="1"/>
  <c r="AR16" i="3" s="1"/>
  <c r="AS17" i="3" s="1"/>
  <c r="AU28" i="3" a="1"/>
  <c r="AT29" i="3" a="1"/>
  <c r="AS14" i="3" a="1"/>
  <c r="AR15" i="3" a="1"/>
  <c r="AR23" i="3" a="1"/>
  <c r="AS22" i="3" a="1"/>
  <c r="AS24" i="3" a="1"/>
  <c r="AR25" i="3" a="1"/>
  <c r="AR19" i="3" a="1"/>
  <c r="AS18" i="3" a="1"/>
  <c r="AS20" i="3" a="1"/>
  <c r="AR21" i="3" a="1"/>
  <c r="AT13" i="3" a="1"/>
  <c r="AU12" i="3" a="1"/>
  <c r="AR17" i="3" a="1"/>
  <c r="AS16" i="3" a="1"/>
  <c r="AR27" i="3" a="1"/>
  <c r="AS26" i="3" a="1"/>
  <c r="AR40" i="3" l="1" a="1"/>
  <c r="AR40" i="3" s="1"/>
  <c r="AS41" i="3" s="1"/>
  <c r="AR41" i="3" a="1"/>
  <c r="AR41" i="3" s="1"/>
  <c r="AS40" i="3" a="1"/>
  <c r="AS40" i="3" s="1"/>
  <c r="AR21" i="3"/>
  <c r="AS20" i="3"/>
  <c r="AS18" i="3"/>
  <c r="AR19" i="3"/>
  <c r="AR25" i="3"/>
  <c r="AS24" i="3"/>
  <c r="AS22" i="3"/>
  <c r="AR23" i="3"/>
  <c r="AR15" i="3"/>
  <c r="AS14" i="3"/>
  <c r="AT29" i="3"/>
  <c r="AU28" i="3"/>
  <c r="AV28" i="3" s="1" a="1"/>
  <c r="AV28" i="3" s="1"/>
  <c r="AW29" i="3" s="1"/>
  <c r="AR20" i="3" a="1"/>
  <c r="AR20" i="3" s="1"/>
  <c r="AS21" i="3" s="1"/>
  <c r="AR58" i="3" a="1"/>
  <c r="AR58" i="3" s="1"/>
  <c r="AS59" i="3" s="1"/>
  <c r="AS58" i="3" a="1"/>
  <c r="AS58" i="3" s="1"/>
  <c r="AR59" i="3" a="1"/>
  <c r="AR59" i="3" s="1"/>
  <c r="AS62" i="3" a="1"/>
  <c r="AS62" i="3" s="1"/>
  <c r="AR62" i="3" a="1"/>
  <c r="AR62" i="3" s="1"/>
  <c r="AS63" i="3" s="1"/>
  <c r="AR63" i="3" a="1"/>
  <c r="AR63" i="3" s="1"/>
  <c r="AR67" i="3" a="1"/>
  <c r="AR67" i="3" s="1"/>
  <c r="AS66" i="3" a="1"/>
  <c r="AS66" i="3" s="1"/>
  <c r="AR66" i="3" a="1"/>
  <c r="AR66" i="3" s="1"/>
  <c r="AS67" i="3" s="1"/>
  <c r="AS46" i="3" a="1"/>
  <c r="AS46" i="3" s="1"/>
  <c r="AR46" i="3" a="1"/>
  <c r="AR46" i="3" s="1"/>
  <c r="AS47" i="3" s="1"/>
  <c r="AR47" i="3" a="1"/>
  <c r="AR47" i="3" s="1"/>
  <c r="AS54" i="3" a="1"/>
  <c r="AS54" i="3" s="1"/>
  <c r="AR55" i="3" a="1"/>
  <c r="AR55" i="3" s="1"/>
  <c r="AR54" i="3" a="1"/>
  <c r="AR54" i="3" s="1"/>
  <c r="AS55" i="3" s="1"/>
  <c r="AS56" i="3" a="1"/>
  <c r="AS56" i="3" s="1"/>
  <c r="AR56" i="3" a="1"/>
  <c r="AR56" i="3" s="1"/>
  <c r="AS57" i="3" s="1"/>
  <c r="AR57" i="3" a="1"/>
  <c r="AR57" i="3" s="1"/>
  <c r="AR64" i="3" a="1"/>
  <c r="AR64" i="3" s="1"/>
  <c r="AS65" i="3" s="1"/>
  <c r="AS64" i="3" a="1"/>
  <c r="AS64" i="3" s="1"/>
  <c r="AR65" i="3" a="1"/>
  <c r="AR65" i="3" s="1"/>
  <c r="AR18" i="3" a="1"/>
  <c r="AR18" i="3" s="1"/>
  <c r="AS19" i="3" s="1"/>
  <c r="AR24" i="3" a="1"/>
  <c r="AR24" i="3" s="1"/>
  <c r="AS25" i="3" s="1"/>
  <c r="AS36" i="3" a="1"/>
  <c r="AS36" i="3" s="1"/>
  <c r="AR37" i="3" a="1"/>
  <c r="AR37" i="3" s="1"/>
  <c r="AR36" i="3" a="1"/>
  <c r="AR36" i="3" s="1"/>
  <c r="AS37" i="3" s="1"/>
  <c r="AS44" i="3" a="1"/>
  <c r="AS44" i="3" s="1"/>
  <c r="AR44" i="3" a="1"/>
  <c r="AR44" i="3" s="1"/>
  <c r="AS45" i="3" s="1"/>
  <c r="AR45" i="3" a="1"/>
  <c r="AR45" i="3" s="1"/>
  <c r="AR52" i="3" a="1"/>
  <c r="AR52" i="3" s="1"/>
  <c r="AS53" i="3" s="1"/>
  <c r="AS52" i="3" a="1"/>
  <c r="AS52" i="3" s="1"/>
  <c r="AR53" i="3" a="1"/>
  <c r="AR53" i="3" s="1"/>
  <c r="AR71" i="3" a="1"/>
  <c r="AR71" i="3" s="1"/>
  <c r="AR70" i="3" a="1"/>
  <c r="AR70" i="3" s="1"/>
  <c r="AS71" i="3" s="1"/>
  <c r="AS70" i="3" a="1"/>
  <c r="AS70" i="3" s="1"/>
  <c r="AR22" i="3" a="1"/>
  <c r="AR22" i="3" s="1"/>
  <c r="AS23" i="3" s="1"/>
  <c r="AR14" i="3" a="1"/>
  <c r="AR14" i="3" s="1"/>
  <c r="AS15" i="3" s="1"/>
  <c r="AS50" i="3" a="1"/>
  <c r="AS50" i="3" s="1"/>
  <c r="AR51" i="3" a="1"/>
  <c r="AR51" i="3" s="1"/>
  <c r="AR50" i="3" a="1"/>
  <c r="AR50" i="3" s="1"/>
  <c r="AS51" i="3" s="1"/>
  <c r="AS42" i="3" a="1"/>
  <c r="AS42" i="3" s="1"/>
  <c r="AR43" i="3" a="1"/>
  <c r="AR43" i="3" s="1"/>
  <c r="AR42" i="3" a="1"/>
  <c r="AR42" i="3" s="1"/>
  <c r="AS43" i="3" s="1"/>
  <c r="AU12" i="3"/>
  <c r="AV12" i="3" s="1" a="1"/>
  <c r="AV12" i="3" s="1"/>
  <c r="AW13" i="3" s="1"/>
  <c r="AT13" i="3"/>
  <c r="AS27" i="3"/>
  <c r="AV61" i="3" a="1"/>
  <c r="AV61" i="3" s="1"/>
  <c r="AW60" i="3" a="1"/>
  <c r="AW60" i="3" s="1"/>
  <c r="AV60" i="3" a="1"/>
  <c r="AV60" i="3" s="1"/>
  <c r="AW61" i="3" s="1"/>
  <c r="AV34" i="3" a="1"/>
  <c r="AV34" i="3" s="1"/>
  <c r="AW35" i="3" s="1"/>
  <c r="AW34" i="3" a="1"/>
  <c r="AW34" i="3" s="1"/>
  <c r="AV35" i="3" a="1"/>
  <c r="AV35" i="3" s="1"/>
  <c r="AV49" i="3" a="1"/>
  <c r="AV49" i="3" s="1"/>
  <c r="AW48" i="3" a="1"/>
  <c r="AW48" i="3" s="1"/>
  <c r="AV48" i="3" a="1"/>
  <c r="AV48" i="3" s="1"/>
  <c r="AW49" i="3" s="1"/>
  <c r="AV39" i="3" a="1"/>
  <c r="AV39" i="3" s="1"/>
  <c r="AW38" i="3" a="1"/>
  <c r="AW38" i="3" s="1"/>
  <c r="AV38" i="3" a="1"/>
  <c r="AV38" i="3" s="1"/>
  <c r="AW39" i="3" s="1"/>
  <c r="AV31" i="3" a="1"/>
  <c r="AV31" i="3" s="1"/>
  <c r="AW30" i="3" a="1"/>
  <c r="AW30" i="3" s="1"/>
  <c r="AV30" i="3" a="1"/>
  <c r="AV30" i="3" s="1"/>
  <c r="AW31" i="3" s="1"/>
  <c r="AV68" i="3" a="1"/>
  <c r="AV68" i="3" s="1"/>
  <c r="AW69" i="3" s="1"/>
  <c r="AW68" i="3" a="1"/>
  <c r="AW68" i="3" s="1"/>
  <c r="AV69" i="3" a="1"/>
  <c r="AV69" i="3" s="1"/>
  <c r="AW32" i="3" a="1"/>
  <c r="AW32" i="3" s="1"/>
  <c r="AV32" i="3" a="1"/>
  <c r="AV32" i="3" s="1"/>
  <c r="AW33" i="3" s="1"/>
  <c r="AV33" i="3" a="1"/>
  <c r="AV33" i="3" s="1"/>
  <c r="AS26" i="3"/>
  <c r="AR27" i="3"/>
  <c r="AS16" i="3"/>
  <c r="AR17" i="3"/>
  <c r="AT21" i="3" a="1"/>
  <c r="AU20" i="3" a="1"/>
  <c r="AT15" i="3" a="1"/>
  <c r="AU14" i="3" a="1"/>
  <c r="AU18" i="3" a="1"/>
  <c r="AT19" i="3" a="1"/>
  <c r="AV29" i="3" a="1"/>
  <c r="AW28" i="3" a="1"/>
  <c r="AT25" i="3" a="1"/>
  <c r="AU24" i="3" a="1"/>
  <c r="AU22" i="3" a="1"/>
  <c r="AT23" i="3" a="1"/>
  <c r="AV13" i="3" a="1"/>
  <c r="AW12" i="3" a="1"/>
  <c r="AT40" i="3" l="1" a="1"/>
  <c r="AT40" i="3" s="1"/>
  <c r="AU41" i="3" s="1"/>
  <c r="AT41" i="3" a="1"/>
  <c r="AT41" i="3" s="1"/>
  <c r="AU40" i="3" a="1"/>
  <c r="AU40" i="3" s="1"/>
  <c r="AT23" i="3"/>
  <c r="AU22" i="3"/>
  <c r="AV22" i="3" s="1" a="1"/>
  <c r="AV22" i="3" s="1"/>
  <c r="AU24" i="3"/>
  <c r="AT25" i="3"/>
  <c r="AW28" i="3"/>
  <c r="AX28" i="3" s="1" a="1"/>
  <c r="AX28" i="3" s="1"/>
  <c r="AY29" i="3" s="1"/>
  <c r="AV29" i="3"/>
  <c r="AT19" i="3"/>
  <c r="AU18" i="3"/>
  <c r="AV18" i="3" s="1" a="1"/>
  <c r="AV18" i="3" s="1"/>
  <c r="AW19" i="3" s="1"/>
  <c r="AU14" i="3"/>
  <c r="AT15" i="3"/>
  <c r="AU20" i="3"/>
  <c r="AT21" i="3"/>
  <c r="AT70" i="3" a="1"/>
  <c r="AT70" i="3" s="1"/>
  <c r="AU71" i="3" s="1"/>
  <c r="AT71" i="3" a="1"/>
  <c r="AT71" i="3" s="1"/>
  <c r="AU70" i="3" a="1"/>
  <c r="AU70" i="3" s="1"/>
  <c r="AT47" i="3" a="1"/>
  <c r="AT47" i="3" s="1"/>
  <c r="AU46" i="3" a="1"/>
  <c r="AU46" i="3" s="1"/>
  <c r="AT46" i="3" a="1"/>
  <c r="AT46" i="3" s="1"/>
  <c r="AU47" i="3" s="1"/>
  <c r="AU58" i="3" a="1"/>
  <c r="AU58" i="3" s="1"/>
  <c r="AT59" i="3" a="1"/>
  <c r="AT59" i="3" s="1"/>
  <c r="AT58" i="3" a="1"/>
  <c r="AT58" i="3" s="1"/>
  <c r="AU59" i="3" s="1"/>
  <c r="AT22" i="3" a="1"/>
  <c r="AT22" i="3" s="1"/>
  <c r="AU23" i="3" s="1"/>
  <c r="AT45" i="3" a="1"/>
  <c r="AT45" i="3" s="1"/>
  <c r="AU44" i="3" a="1"/>
  <c r="AU44" i="3" s="1"/>
  <c r="AT44" i="3" a="1"/>
  <c r="AT44" i="3" s="1"/>
  <c r="AU45" i="3" s="1"/>
  <c r="AT43" i="3" a="1"/>
  <c r="AT43" i="3" s="1"/>
  <c r="AT42" i="3" a="1"/>
  <c r="AT42" i="3" s="1"/>
  <c r="AU43" i="3" s="1"/>
  <c r="AU42" i="3" a="1"/>
  <c r="AU42" i="3" s="1"/>
  <c r="AT24" i="3" a="1"/>
  <c r="AT24" i="3" s="1"/>
  <c r="AU25" i="3" s="1"/>
  <c r="AU36" i="3" a="1"/>
  <c r="AU36" i="3" s="1"/>
  <c r="AT37" i="3" a="1"/>
  <c r="AT37" i="3" s="1"/>
  <c r="AT36" i="3" a="1"/>
  <c r="AT36" i="3" s="1"/>
  <c r="AU37" i="3" s="1"/>
  <c r="AU56" i="3" a="1"/>
  <c r="AU56" i="3" s="1"/>
  <c r="AT57" i="3" a="1"/>
  <c r="AT57" i="3" s="1"/>
  <c r="AT56" i="3" a="1"/>
  <c r="AT56" i="3" s="1"/>
  <c r="AU57" i="3" s="1"/>
  <c r="AT66" i="3" a="1"/>
  <c r="AT66" i="3" s="1"/>
  <c r="AU67" i="3" s="1"/>
  <c r="AT67" i="3" a="1"/>
  <c r="AT67" i="3" s="1"/>
  <c r="AU66" i="3" a="1"/>
  <c r="AU66" i="3" s="1"/>
  <c r="AT52" i="3" a="1"/>
  <c r="AT52" i="3" s="1"/>
  <c r="AU53" i="3" s="1"/>
  <c r="AU52" i="3" a="1"/>
  <c r="AU52" i="3" s="1"/>
  <c r="AT53" i="3" a="1"/>
  <c r="AT53" i="3" s="1"/>
  <c r="AT51" i="3" a="1"/>
  <c r="AT51" i="3" s="1"/>
  <c r="AU50" i="3" a="1"/>
  <c r="AU50" i="3" s="1"/>
  <c r="AT50" i="3" a="1"/>
  <c r="AT50" i="3" s="1"/>
  <c r="AU51" i="3" s="1"/>
  <c r="AT18" i="3" a="1"/>
  <c r="AT18" i="3" s="1"/>
  <c r="AU19" i="3" s="1"/>
  <c r="AU54" i="3" a="1"/>
  <c r="AU54" i="3" s="1"/>
  <c r="AT54" i="3" a="1"/>
  <c r="AT54" i="3" s="1"/>
  <c r="AU55" i="3" s="1"/>
  <c r="AT55" i="3" a="1"/>
  <c r="AT55" i="3" s="1"/>
  <c r="AT14" i="3" a="1"/>
  <c r="AT14" i="3" s="1"/>
  <c r="AU15" i="3" s="1"/>
  <c r="AT20" i="3" a="1"/>
  <c r="AT20" i="3" s="1"/>
  <c r="AU21" i="3" s="1"/>
  <c r="AT65" i="3" a="1"/>
  <c r="AT65" i="3" s="1"/>
  <c r="AU64" i="3" a="1"/>
  <c r="AU64" i="3" s="1"/>
  <c r="AT64" i="3" a="1"/>
  <c r="AT64" i="3" s="1"/>
  <c r="AU65" i="3" s="1"/>
  <c r="AU62" i="3" a="1"/>
  <c r="AU62" i="3" s="1"/>
  <c r="AT62" i="3" a="1"/>
  <c r="AT62" i="3" s="1"/>
  <c r="AU63" i="3" s="1"/>
  <c r="AT63" i="3" a="1"/>
  <c r="AT63" i="3" s="1"/>
  <c r="AW12" i="3"/>
  <c r="AV13" i="3"/>
  <c r="AY34" i="3" a="1"/>
  <c r="AY34" i="3" s="1"/>
  <c r="AX34" i="3" a="1"/>
  <c r="AX34" i="3" s="1"/>
  <c r="AY35" i="3" s="1"/>
  <c r="AX35" i="3" a="1"/>
  <c r="AX35" i="3" s="1"/>
  <c r="AX69" i="3" a="1"/>
  <c r="AX69" i="3" s="1"/>
  <c r="AY68" i="3" a="1"/>
  <c r="AY68" i="3" s="1"/>
  <c r="AX68" i="3" a="1"/>
  <c r="AX68" i="3" s="1"/>
  <c r="AY69" i="3" s="1"/>
  <c r="AX61" i="3" a="1"/>
  <c r="AX61" i="3" s="1"/>
  <c r="AX60" i="3" a="1"/>
  <c r="AX60" i="3" s="1"/>
  <c r="AY61" i="3" s="1"/>
  <c r="AY60" i="3" a="1"/>
  <c r="AY60" i="3" s="1"/>
  <c r="AX49" i="3" a="1"/>
  <c r="AX49" i="3" s="1"/>
  <c r="AY48" i="3" a="1"/>
  <c r="AY48" i="3" s="1"/>
  <c r="AX48" i="3" a="1"/>
  <c r="AX48" i="3" s="1"/>
  <c r="AY49" i="3" s="1"/>
  <c r="AY30" i="3" a="1"/>
  <c r="AY30" i="3" s="1"/>
  <c r="AX31" i="3" a="1"/>
  <c r="AX31" i="3" s="1"/>
  <c r="AX30" i="3" a="1"/>
  <c r="AX30" i="3" s="1"/>
  <c r="AY31" i="3" s="1"/>
  <c r="AX39" i="3" a="1"/>
  <c r="AX39" i="3" s="1"/>
  <c r="AY38" i="3" a="1"/>
  <c r="AY38" i="3" s="1"/>
  <c r="AX38" i="3" a="1"/>
  <c r="AX38" i="3" s="1"/>
  <c r="AY39" i="3" s="1"/>
  <c r="AX33" i="3" a="1"/>
  <c r="AX33" i="3" s="1"/>
  <c r="AY32" i="3" a="1"/>
  <c r="AY32" i="3" s="1"/>
  <c r="AX32" i="3" a="1"/>
  <c r="AX32" i="3" s="1"/>
  <c r="AY33" i="3" s="1"/>
  <c r="AT26" i="3" a="1"/>
  <c r="AT26" i="3" s="1"/>
  <c r="AT16" i="3" a="1"/>
  <c r="AT16" i="3" s="1"/>
  <c r="AU17" i="3" s="1"/>
  <c r="AV15" i="3" a="1"/>
  <c r="AW14" i="3" a="1"/>
  <c r="AV25" i="3" a="1"/>
  <c r="AW24" i="3" a="1"/>
  <c r="AV21" i="3" a="1"/>
  <c r="AW20" i="3" a="1"/>
  <c r="AX29" i="3" a="1"/>
  <c r="AY28" i="3" a="1"/>
  <c r="AY12" i="3" a="1"/>
  <c r="AX13" i="3" a="1"/>
  <c r="AW18" i="3" a="1"/>
  <c r="AV19" i="3" a="1"/>
  <c r="AT27" i="3" a="1"/>
  <c r="AV23" i="3" a="1"/>
  <c r="AU26" i="3" a="1"/>
  <c r="AT17" i="3" a="1"/>
  <c r="AW22" i="3" a="1"/>
  <c r="AU16" i="3" a="1"/>
  <c r="AW40" i="3" l="1" a="1"/>
  <c r="AW40" i="3" s="1"/>
  <c r="AV41" i="3" a="1"/>
  <c r="AV41" i="3" s="1"/>
  <c r="AV40" i="3" a="1"/>
  <c r="AV40" i="3" s="1"/>
  <c r="AW41" i="3" s="1"/>
  <c r="AY28" i="3"/>
  <c r="AZ28" i="3" s="1" a="1"/>
  <c r="AZ28" i="3" s="1"/>
  <c r="BA29" i="3" s="1"/>
  <c r="AX29" i="3"/>
  <c r="AW20" i="3"/>
  <c r="AV21" i="3"/>
  <c r="AW24" i="3"/>
  <c r="AV25" i="3"/>
  <c r="AW14" i="3"/>
  <c r="AV15" i="3"/>
  <c r="AV53" i="3" a="1"/>
  <c r="AV53" i="3" s="1"/>
  <c r="AW52" i="3" a="1"/>
  <c r="AW52" i="3" s="1"/>
  <c r="AV52" i="3" a="1"/>
  <c r="AV52" i="3" s="1"/>
  <c r="AW53" i="3" s="1"/>
  <c r="AV44" i="3" a="1"/>
  <c r="AV44" i="3" s="1"/>
  <c r="AW45" i="3" s="1"/>
  <c r="AW44" i="3" a="1"/>
  <c r="AW44" i="3" s="1"/>
  <c r="AV45" i="3" a="1"/>
  <c r="AV45" i="3" s="1"/>
  <c r="AV71" i="3" a="1"/>
  <c r="AV71" i="3" s="1"/>
  <c r="AW70" i="3" a="1"/>
  <c r="AW70" i="3" s="1"/>
  <c r="AV70" i="3" a="1"/>
  <c r="AV70" i="3" s="1"/>
  <c r="AW71" i="3" s="1"/>
  <c r="AV63" i="3" a="1"/>
  <c r="AV63" i="3" s="1"/>
  <c r="AV62" i="3" a="1"/>
  <c r="AV62" i="3" s="1"/>
  <c r="AW63" i="3" s="1"/>
  <c r="AW62" i="3" a="1"/>
  <c r="AW62" i="3" s="1"/>
  <c r="AV55" i="3" a="1"/>
  <c r="AV55" i="3" s="1"/>
  <c r="AW54" i="3" a="1"/>
  <c r="AW54" i="3" s="1"/>
  <c r="AV54" i="3" a="1"/>
  <c r="AV54" i="3" s="1"/>
  <c r="AW55" i="3" s="1"/>
  <c r="AV66" i="3" a="1"/>
  <c r="AV66" i="3" s="1"/>
  <c r="AW67" i="3" s="1"/>
  <c r="AW66" i="3" a="1"/>
  <c r="AW66" i="3" s="1"/>
  <c r="AV67" i="3" a="1"/>
  <c r="AV67" i="3" s="1"/>
  <c r="AW36" i="3" a="1"/>
  <c r="AW36" i="3" s="1"/>
  <c r="AV37" i="3" a="1"/>
  <c r="AV37" i="3" s="1"/>
  <c r="AV36" i="3" a="1"/>
  <c r="AV36" i="3" s="1"/>
  <c r="AW37" i="3" s="1"/>
  <c r="AV65" i="3" a="1"/>
  <c r="AV65" i="3" s="1"/>
  <c r="AV64" i="3" a="1"/>
  <c r="AV64" i="3" s="1"/>
  <c r="AW65" i="3" s="1"/>
  <c r="AW64" i="3" a="1"/>
  <c r="AW64" i="3" s="1"/>
  <c r="AW42" i="3" a="1"/>
  <c r="AW42" i="3" s="1"/>
  <c r="AV43" i="3" a="1"/>
  <c r="AV43" i="3" s="1"/>
  <c r="AV42" i="3" a="1"/>
  <c r="AV42" i="3" s="1"/>
  <c r="AW43" i="3" s="1"/>
  <c r="AW50" i="3" a="1"/>
  <c r="AW50" i="3" s="1"/>
  <c r="AV50" i="3" a="1"/>
  <c r="AV50" i="3" s="1"/>
  <c r="AW51" i="3" s="1"/>
  <c r="AV51" i="3" a="1"/>
  <c r="AV51" i="3" s="1"/>
  <c r="AV58" i="3" a="1"/>
  <c r="AV58" i="3" s="1"/>
  <c r="AW59" i="3" s="1"/>
  <c r="AW58" i="3" a="1"/>
  <c r="AW58" i="3" s="1"/>
  <c r="AV59" i="3" a="1"/>
  <c r="AV59" i="3" s="1"/>
  <c r="AV20" i="3" a="1"/>
  <c r="AV20" i="3" s="1"/>
  <c r="AW21" i="3" s="1"/>
  <c r="AV24" i="3" a="1"/>
  <c r="AV24" i="3" s="1"/>
  <c r="AW25" i="3" s="1"/>
  <c r="AV56" i="3" a="1"/>
  <c r="AV56" i="3" s="1"/>
  <c r="AW57" i="3" s="1"/>
  <c r="AW56" i="3" a="1"/>
  <c r="AW56" i="3" s="1"/>
  <c r="AV57" i="3" a="1"/>
  <c r="AV57" i="3" s="1"/>
  <c r="AW46" i="3" a="1"/>
  <c r="AW46" i="3" s="1"/>
  <c r="AV47" i="3" a="1"/>
  <c r="AV47" i="3" s="1"/>
  <c r="AV46" i="3" a="1"/>
  <c r="AV46" i="3" s="1"/>
  <c r="AW47" i="3" s="1"/>
  <c r="AV14" i="3" a="1"/>
  <c r="AV14" i="3" s="1"/>
  <c r="AW15" i="3" s="1"/>
  <c r="AX13" i="3"/>
  <c r="AY12" i="3"/>
  <c r="AZ12" i="3" s="1" a="1"/>
  <c r="AZ12" i="3" s="1"/>
  <c r="BA13" i="3" s="1"/>
  <c r="AX12" i="3" a="1"/>
  <c r="AX12" i="3" s="1"/>
  <c r="AY13" i="3" s="1"/>
  <c r="AU27" i="3"/>
  <c r="AW23" i="3"/>
  <c r="BA32" i="3" a="1"/>
  <c r="BA32" i="3" s="1"/>
  <c r="AZ32" i="3" a="1"/>
  <c r="AZ32" i="3" s="1"/>
  <c r="BA33" i="3" s="1"/>
  <c r="AZ33" i="3" a="1"/>
  <c r="AZ33" i="3" s="1"/>
  <c r="BA48" i="3" a="1"/>
  <c r="BA48" i="3" s="1"/>
  <c r="AZ49" i="3" a="1"/>
  <c r="AZ49" i="3" s="1"/>
  <c r="AZ48" i="3" a="1"/>
  <c r="AZ48" i="3" s="1"/>
  <c r="BA49" i="3" s="1"/>
  <c r="BA38" i="3" a="1"/>
  <c r="BA38" i="3" s="1"/>
  <c r="AZ39" i="3" a="1"/>
  <c r="AZ39" i="3" s="1"/>
  <c r="AZ38" i="3" a="1"/>
  <c r="AZ38" i="3" s="1"/>
  <c r="BA39" i="3" s="1"/>
  <c r="AZ30" i="3" a="1"/>
  <c r="AZ30" i="3" s="1"/>
  <c r="BA31" i="3" s="1"/>
  <c r="BA30" i="3" a="1"/>
  <c r="BA30" i="3" s="1"/>
  <c r="AZ31" i="3" a="1"/>
  <c r="AZ31" i="3" s="1"/>
  <c r="BA34" i="3" a="1"/>
  <c r="BA34" i="3" s="1"/>
  <c r="AZ34" i="3" a="1"/>
  <c r="AZ34" i="3" s="1"/>
  <c r="BA35" i="3" s="1"/>
  <c r="AZ35" i="3" a="1"/>
  <c r="AZ35" i="3" s="1"/>
  <c r="AZ61" i="3" a="1"/>
  <c r="AZ61" i="3" s="1"/>
  <c r="BA60" i="3" a="1"/>
  <c r="BA60" i="3" s="1"/>
  <c r="AZ60" i="3" a="1"/>
  <c r="AZ60" i="3" s="1"/>
  <c r="BA61" i="3" s="1"/>
  <c r="AZ68" i="3" a="1"/>
  <c r="AZ68" i="3" s="1"/>
  <c r="BA69" i="3" s="1"/>
  <c r="AZ69" i="3" a="1"/>
  <c r="AZ69" i="3" s="1"/>
  <c r="BA68" i="3" a="1"/>
  <c r="BA68" i="3" s="1"/>
  <c r="AU16" i="3"/>
  <c r="AW22" i="3"/>
  <c r="AT17" i="3"/>
  <c r="AU26" i="3"/>
  <c r="AV23" i="3"/>
  <c r="AT27" i="3"/>
  <c r="AV19" i="3"/>
  <c r="AW18" i="3"/>
  <c r="AZ29" i="3" a="1"/>
  <c r="BA28" i="3" a="1"/>
  <c r="AX21" i="3" a="1"/>
  <c r="AY20" i="3" a="1"/>
  <c r="AY24" i="3" a="1"/>
  <c r="AX25" i="3" a="1"/>
  <c r="AX15" i="3" a="1"/>
  <c r="AY14" i="3" a="1"/>
  <c r="AZ13" i="3" a="1"/>
  <c r="BA12" i="3" a="1"/>
  <c r="AY40" i="3" l="1" a="1"/>
  <c r="AY40" i="3" s="1"/>
  <c r="AX41" i="3" a="1"/>
  <c r="AX41" i="3" s="1"/>
  <c r="AX40" i="3" a="1"/>
  <c r="AX40" i="3" s="1"/>
  <c r="AY41" i="3" s="1"/>
  <c r="AY14" i="3"/>
  <c r="AX15" i="3"/>
  <c r="AX25" i="3"/>
  <c r="AY24" i="3"/>
  <c r="AY20" i="3"/>
  <c r="AZ20" i="3" s="1" a="1"/>
  <c r="AZ20" i="3" s="1"/>
  <c r="AX21" i="3"/>
  <c r="BA28" i="3"/>
  <c r="BB28" i="3" s="1" a="1"/>
  <c r="BB28" i="3" s="1"/>
  <c r="BC29" i="3" s="1"/>
  <c r="AZ29" i="3"/>
  <c r="AX47" i="3" a="1"/>
  <c r="AX47" i="3" s="1"/>
  <c r="AX46" i="3" a="1"/>
  <c r="AX46" i="3" s="1"/>
  <c r="AY47" i="3" s="1"/>
  <c r="AY46" i="3" a="1"/>
  <c r="AY46" i="3" s="1"/>
  <c r="AX14" i="3" a="1"/>
  <c r="AX14" i="3" s="1"/>
  <c r="AY15" i="3" s="1"/>
  <c r="AY70" i="3" a="1"/>
  <c r="AY70" i="3" s="1"/>
  <c r="AX70" i="3" a="1"/>
  <c r="AX70" i="3" s="1"/>
  <c r="AY71" i="3" s="1"/>
  <c r="AX71" i="3" a="1"/>
  <c r="AX71" i="3" s="1"/>
  <c r="AX54" i="3" a="1"/>
  <c r="AX54" i="3" s="1"/>
  <c r="AY55" i="3" s="1"/>
  <c r="AY54" i="3" a="1"/>
  <c r="AY54" i="3" s="1"/>
  <c r="AX55" i="3" a="1"/>
  <c r="AX55" i="3" s="1"/>
  <c r="AX57" i="3" a="1"/>
  <c r="AX57" i="3" s="1"/>
  <c r="AY56" i="3" a="1"/>
  <c r="AY56" i="3" s="1"/>
  <c r="AX56" i="3" a="1"/>
  <c r="AX56" i="3" s="1"/>
  <c r="AY57" i="3" s="1"/>
  <c r="AX45" i="3" a="1"/>
  <c r="AX45" i="3" s="1"/>
  <c r="AX44" i="3" a="1"/>
  <c r="AX44" i="3" s="1"/>
  <c r="AY45" i="3" s="1"/>
  <c r="AY44" i="3" a="1"/>
  <c r="AY44" i="3" s="1"/>
  <c r="AX24" i="3" a="1"/>
  <c r="AX24" i="3" s="1"/>
  <c r="AY25" i="3" s="1"/>
  <c r="AX51" i="3" a="1"/>
  <c r="AX51" i="3" s="1"/>
  <c r="AX50" i="3" a="1"/>
  <c r="AX50" i="3" s="1"/>
  <c r="AY51" i="3" s="1"/>
  <c r="AY50" i="3" a="1"/>
  <c r="AY50" i="3" s="1"/>
  <c r="AX62" i="3" a="1"/>
  <c r="AX62" i="3" s="1"/>
  <c r="AY63" i="3" s="1"/>
  <c r="AY62" i="3" a="1"/>
  <c r="AY62" i="3" s="1"/>
  <c r="AX63" i="3" a="1"/>
  <c r="AX63" i="3" s="1"/>
  <c r="AX58" i="3" a="1"/>
  <c r="AX58" i="3" s="1"/>
  <c r="AY59" i="3" s="1"/>
  <c r="AY58" i="3" a="1"/>
  <c r="AY58" i="3" s="1"/>
  <c r="AX59" i="3" a="1"/>
  <c r="AX59" i="3" s="1"/>
  <c r="AY36" i="3" a="1"/>
  <c r="AY36" i="3" s="1"/>
  <c r="AX36" i="3" a="1"/>
  <c r="AX36" i="3" s="1"/>
  <c r="AY37" i="3" s="1"/>
  <c r="AX37" i="3" a="1"/>
  <c r="AX37" i="3" s="1"/>
  <c r="AX20" i="3" a="1"/>
  <c r="AX20" i="3" s="1"/>
  <c r="AY21" i="3" s="1"/>
  <c r="AX53" i="3" a="1"/>
  <c r="AX53" i="3" s="1"/>
  <c r="AY52" i="3" a="1"/>
  <c r="AY52" i="3" s="1"/>
  <c r="AX52" i="3" a="1"/>
  <c r="AX52" i="3" s="1"/>
  <c r="AY53" i="3" s="1"/>
  <c r="AY64" i="3" a="1"/>
  <c r="AY64" i="3" s="1"/>
  <c r="AX64" i="3" a="1"/>
  <c r="AX64" i="3" s="1"/>
  <c r="AY65" i="3" s="1"/>
  <c r="AX65" i="3" a="1"/>
  <c r="AX65" i="3" s="1"/>
  <c r="AX42" i="3" a="1"/>
  <c r="AX42" i="3" s="1"/>
  <c r="AY43" i="3" s="1"/>
  <c r="AX43" i="3" a="1"/>
  <c r="AX43" i="3" s="1"/>
  <c r="AY42" i="3" a="1"/>
  <c r="AY42" i="3" s="1"/>
  <c r="AX67" i="3" a="1"/>
  <c r="AX67" i="3" s="1"/>
  <c r="AX66" i="3" a="1"/>
  <c r="AX66" i="3" s="1"/>
  <c r="AY67" i="3" s="1"/>
  <c r="AY66" i="3" a="1"/>
  <c r="AY66" i="3" s="1"/>
  <c r="BB32" i="3" a="1"/>
  <c r="BB32" i="3" s="1"/>
  <c r="BC33" i="3" s="1"/>
  <c r="BB33" i="3" a="1"/>
  <c r="BB33" i="3" s="1"/>
  <c r="BC32" i="3" a="1"/>
  <c r="BC32" i="3" s="1"/>
  <c r="BB35" i="3" a="1"/>
  <c r="BB35" i="3" s="1"/>
  <c r="BC34" i="3" a="1"/>
  <c r="BC34" i="3" s="1"/>
  <c r="BB34" i="3" a="1"/>
  <c r="BB34" i="3" s="1"/>
  <c r="BC35" i="3" s="1"/>
  <c r="BB30" i="3" a="1"/>
  <c r="BB30" i="3" s="1"/>
  <c r="BC31" i="3" s="1"/>
  <c r="BC30" i="3" a="1"/>
  <c r="BC30" i="3" s="1"/>
  <c r="BB31" i="3" a="1"/>
  <c r="BB31" i="3" s="1"/>
  <c r="BB39" i="3" a="1"/>
  <c r="BB39" i="3" s="1"/>
  <c r="BC38" i="3" a="1"/>
  <c r="BC38" i="3" s="1"/>
  <c r="BB38" i="3" a="1"/>
  <c r="BB38" i="3" s="1"/>
  <c r="BC39" i="3" s="1"/>
  <c r="BC48" i="3" a="1"/>
  <c r="BC48" i="3" s="1"/>
  <c r="BB48" i="3" a="1"/>
  <c r="BB48" i="3" s="1"/>
  <c r="BC49" i="3" s="1"/>
  <c r="BB49" i="3" a="1"/>
  <c r="BB49" i="3" s="1"/>
  <c r="BB60" i="3" a="1"/>
  <c r="BB60" i="3" s="1"/>
  <c r="BC61" i="3" s="1"/>
  <c r="BC60" i="3" a="1"/>
  <c r="BC60" i="3" s="1"/>
  <c r="BB61" i="3" a="1"/>
  <c r="BB61" i="3" s="1"/>
  <c r="BC68" i="3" a="1"/>
  <c r="BC68" i="3" s="1"/>
  <c r="BB69" i="3" a="1"/>
  <c r="BB69" i="3" s="1"/>
  <c r="BB68" i="3" a="1"/>
  <c r="BB68" i="3" s="1"/>
  <c r="BC69" i="3" s="1"/>
  <c r="BA12" i="3"/>
  <c r="AZ13" i="3"/>
  <c r="AX18" i="3" a="1"/>
  <c r="AX18" i="3" s="1"/>
  <c r="AY19" i="3" s="1"/>
  <c r="AV26" i="3" a="1"/>
  <c r="AV26" i="3" s="1"/>
  <c r="AX22" i="3" a="1"/>
  <c r="AX22" i="3" s="1"/>
  <c r="AV16" i="3" a="1"/>
  <c r="AV16" i="3" s="1"/>
  <c r="AW17" i="3" s="1"/>
  <c r="BA14" i="3" a="1"/>
  <c r="AZ15" i="3" a="1"/>
  <c r="AZ25" i="3" a="1"/>
  <c r="BA24" i="3" a="1"/>
  <c r="BC28" i="3" a="1"/>
  <c r="BB29" i="3" a="1"/>
  <c r="AV27" i="3" a="1"/>
  <c r="AW26" i="3" a="1"/>
  <c r="AY22" i="3" a="1"/>
  <c r="AZ21" i="3" a="1"/>
  <c r="AX23" i="3" a="1"/>
  <c r="AY18" i="3" a="1"/>
  <c r="AX19" i="3" a="1"/>
  <c r="BA20" i="3" a="1"/>
  <c r="AW16" i="3" a="1"/>
  <c r="AV17" i="3" a="1"/>
  <c r="BA40" i="3" l="1" a="1"/>
  <c r="BA40" i="3" s="1"/>
  <c r="AZ40" i="3" a="1"/>
  <c r="AZ40" i="3" s="1"/>
  <c r="BA41" i="3" s="1"/>
  <c r="AZ41" i="3" a="1"/>
  <c r="AZ41" i="3" s="1"/>
  <c r="BB29" i="3"/>
  <c r="BC28" i="3"/>
  <c r="BD28" i="3" s="1" a="1"/>
  <c r="BD28" i="3" s="1"/>
  <c r="BE29" i="3" s="1"/>
  <c r="BA24" i="3"/>
  <c r="AZ25" i="3"/>
  <c r="AZ15" i="3"/>
  <c r="BA14" i="3"/>
  <c r="AZ53" i="3" a="1"/>
  <c r="AZ53" i="3" s="1"/>
  <c r="AZ52" i="3" a="1"/>
  <c r="AZ52" i="3" s="1"/>
  <c r="BA53" i="3" s="1"/>
  <c r="BA52" i="3" a="1"/>
  <c r="BA52" i="3" s="1"/>
  <c r="AZ45" i="3" a="1"/>
  <c r="AZ45" i="3" s="1"/>
  <c r="AZ44" i="3" a="1"/>
  <c r="AZ44" i="3" s="1"/>
  <c r="BA45" i="3" s="1"/>
  <c r="BA44" i="3" a="1"/>
  <c r="BA44" i="3" s="1"/>
  <c r="AZ43" i="3" a="1"/>
  <c r="AZ43" i="3" s="1"/>
  <c r="BA42" i="3" a="1"/>
  <c r="BA42" i="3" s="1"/>
  <c r="AZ42" i="3" a="1"/>
  <c r="AZ42" i="3" s="1"/>
  <c r="BA43" i="3" s="1"/>
  <c r="AZ62" i="3" a="1"/>
  <c r="AZ62" i="3" s="1"/>
  <c r="BA63" i="3" s="1"/>
  <c r="AZ63" i="3" a="1"/>
  <c r="AZ63" i="3" s="1"/>
  <c r="BA62" i="3" a="1"/>
  <c r="BA62" i="3" s="1"/>
  <c r="AZ71" i="3" a="1"/>
  <c r="AZ71" i="3" s="1"/>
  <c r="BA70" i="3" a="1"/>
  <c r="BA70" i="3" s="1"/>
  <c r="AZ70" i="3" a="1"/>
  <c r="AZ70" i="3" s="1"/>
  <c r="BA71" i="3" s="1"/>
  <c r="AZ24" i="3" a="1"/>
  <c r="AZ24" i="3" s="1"/>
  <c r="BA25" i="3" s="1"/>
  <c r="AZ50" i="3" a="1"/>
  <c r="AZ50" i="3" s="1"/>
  <c r="BA51" i="3" s="1"/>
  <c r="BA50" i="3" a="1"/>
  <c r="BA50" i="3" s="1"/>
  <c r="AZ51" i="3" a="1"/>
  <c r="AZ51" i="3" s="1"/>
  <c r="BA56" i="3" a="1"/>
  <c r="BA56" i="3" s="1"/>
  <c r="AZ57" i="3" a="1"/>
  <c r="AZ57" i="3" s="1"/>
  <c r="AZ56" i="3" a="1"/>
  <c r="AZ56" i="3" s="1"/>
  <c r="BA57" i="3" s="1"/>
  <c r="BA36" i="3" a="1"/>
  <c r="BA36" i="3" s="1"/>
  <c r="AZ37" i="3" a="1"/>
  <c r="AZ37" i="3" s="1"/>
  <c r="AZ36" i="3" a="1"/>
  <c r="AZ36" i="3" s="1"/>
  <c r="BA37" i="3" s="1"/>
  <c r="BA46" i="3" a="1"/>
  <c r="BA46" i="3" s="1"/>
  <c r="AZ46" i="3" a="1"/>
  <c r="AZ46" i="3" s="1"/>
  <c r="BA47" i="3" s="1"/>
  <c r="AZ47" i="3" a="1"/>
  <c r="AZ47" i="3" s="1"/>
  <c r="BA66" i="3" a="1"/>
  <c r="BA66" i="3" s="1"/>
  <c r="AZ66" i="3" a="1"/>
  <c r="AZ66" i="3" s="1"/>
  <c r="BA67" i="3" s="1"/>
  <c r="AZ67" i="3" a="1"/>
  <c r="AZ67" i="3" s="1"/>
  <c r="AZ64" i="3" a="1"/>
  <c r="AZ64" i="3" s="1"/>
  <c r="BA65" i="3" s="1"/>
  <c r="BA64" i="3" a="1"/>
  <c r="BA64" i="3" s="1"/>
  <c r="AZ65" i="3" a="1"/>
  <c r="AZ65" i="3" s="1"/>
  <c r="BA58" i="3" a="1"/>
  <c r="BA58" i="3" s="1"/>
  <c r="AZ58" i="3" a="1"/>
  <c r="AZ58" i="3" s="1"/>
  <c r="BA59" i="3" s="1"/>
  <c r="AZ59" i="3" a="1"/>
  <c r="AZ59" i="3" s="1"/>
  <c r="BA54" i="3" a="1"/>
  <c r="BA54" i="3" s="1"/>
  <c r="AZ54" i="3" a="1"/>
  <c r="AZ54" i="3" s="1"/>
  <c r="BA55" i="3" s="1"/>
  <c r="AZ55" i="3" a="1"/>
  <c r="AZ55" i="3" s="1"/>
  <c r="AZ14" i="3" a="1"/>
  <c r="AZ14" i="3" s="1"/>
  <c r="BA15" i="3" s="1"/>
  <c r="AY23" i="3"/>
  <c r="BA21" i="3"/>
  <c r="AW27" i="3"/>
  <c r="BD69" i="3" a="1"/>
  <c r="BD69" i="3" s="1"/>
  <c r="BE68" i="3" a="1"/>
  <c r="BE68" i="3" s="1"/>
  <c r="BD68" i="3" a="1"/>
  <c r="BD68" i="3" s="1"/>
  <c r="BE69" i="3" s="1"/>
  <c r="BD61" i="3" a="1"/>
  <c r="BD61" i="3" s="1"/>
  <c r="BD60" i="3" a="1"/>
  <c r="BD60" i="3" s="1"/>
  <c r="BE61" i="3" s="1"/>
  <c r="BE60" i="3" a="1"/>
  <c r="BE60" i="3" s="1"/>
  <c r="BE38" i="3" a="1"/>
  <c r="BE38" i="3" s="1"/>
  <c r="BD38" i="3" a="1"/>
  <c r="BD38" i="3" s="1"/>
  <c r="BE39" i="3" s="1"/>
  <c r="BD39" i="3" a="1"/>
  <c r="BD39" i="3" s="1"/>
  <c r="BD32" i="3" a="1"/>
  <c r="BD32" i="3" s="1"/>
  <c r="BE33" i="3" s="1"/>
  <c r="BD33" i="3" a="1"/>
  <c r="BD33" i="3" s="1"/>
  <c r="BE32" i="3" a="1"/>
  <c r="BE32" i="3" s="1"/>
  <c r="BD34" i="3" a="1"/>
  <c r="BD34" i="3" s="1"/>
  <c r="BE35" i="3" s="1"/>
  <c r="BD35" i="3" a="1"/>
  <c r="BD35" i="3" s="1"/>
  <c r="BE34" i="3" a="1"/>
  <c r="BE34" i="3" s="1"/>
  <c r="BD30" i="3" a="1"/>
  <c r="BD30" i="3" s="1"/>
  <c r="BE31" i="3" s="1"/>
  <c r="BE30" i="3" a="1"/>
  <c r="BE30" i="3" s="1"/>
  <c r="BD31" i="3" a="1"/>
  <c r="BD31" i="3" s="1"/>
  <c r="BE48" i="3" a="1"/>
  <c r="BE48" i="3" s="1"/>
  <c r="BD49" i="3" a="1"/>
  <c r="BD49" i="3" s="1"/>
  <c r="BD48" i="3" a="1"/>
  <c r="BD48" i="3" s="1"/>
  <c r="BE49" i="3" s="1"/>
  <c r="AV17" i="3"/>
  <c r="AW16" i="3"/>
  <c r="BA20" i="3"/>
  <c r="AX19" i="3"/>
  <c r="AY18" i="3"/>
  <c r="AX23" i="3"/>
  <c r="AZ21" i="3"/>
  <c r="AY22" i="3"/>
  <c r="AW26" i="3"/>
  <c r="AV27" i="3"/>
  <c r="BB12" i="3" a="1"/>
  <c r="BB12" i="3" s="1"/>
  <c r="BC13" i="3" s="1"/>
  <c r="BE28" i="3" a="1"/>
  <c r="BD29" i="3" a="1"/>
  <c r="BB25" i="3" a="1"/>
  <c r="BC24" i="3" a="1"/>
  <c r="BB15" i="3" a="1"/>
  <c r="BC14" i="3" a="1"/>
  <c r="BC12" i="3" a="1"/>
  <c r="BB13" i="3" a="1"/>
  <c r="BB40" i="3" l="1" a="1"/>
  <c r="BB40" i="3" s="1"/>
  <c r="BC41" i="3" s="1"/>
  <c r="BB41" i="3" a="1"/>
  <c r="BB41" i="3" s="1"/>
  <c r="BC40" i="3" a="1"/>
  <c r="BC40" i="3" s="1"/>
  <c r="BC14" i="3"/>
  <c r="BB15" i="3"/>
  <c r="BC24" i="3"/>
  <c r="BB25" i="3"/>
  <c r="BD29" i="3"/>
  <c r="BE28" i="3"/>
  <c r="BF28" i="3" s="1" a="1"/>
  <c r="BF28" i="3" s="1"/>
  <c r="BG29" i="3" s="1"/>
  <c r="BB65" i="3" a="1"/>
  <c r="BB65" i="3" s="1"/>
  <c r="BB64" i="3" a="1"/>
  <c r="BB64" i="3" s="1"/>
  <c r="BC65" i="3" s="1"/>
  <c r="BC64" i="3" a="1"/>
  <c r="BC64" i="3" s="1"/>
  <c r="BB14" i="3" a="1"/>
  <c r="BB14" i="3" s="1"/>
  <c r="BC15" i="3" s="1"/>
  <c r="BB37" i="3" a="1"/>
  <c r="BB37" i="3" s="1"/>
  <c r="BC36" i="3" a="1"/>
  <c r="BC36" i="3" s="1"/>
  <c r="BB36" i="3" a="1"/>
  <c r="BB36" i="3" s="1"/>
  <c r="BC37" i="3" s="1"/>
  <c r="BB46" i="3" a="1"/>
  <c r="BB46" i="3" s="1"/>
  <c r="BC47" i="3" s="1"/>
  <c r="BB47" i="3" a="1"/>
  <c r="BB47" i="3" s="1"/>
  <c r="BC46" i="3" a="1"/>
  <c r="BC46" i="3" s="1"/>
  <c r="BB50" i="3" a="1"/>
  <c r="BB50" i="3" s="1"/>
  <c r="BC51" i="3" s="1"/>
  <c r="BB51" i="3" a="1"/>
  <c r="BB51" i="3" s="1"/>
  <c r="BC50" i="3" a="1"/>
  <c r="BC50" i="3" s="1"/>
  <c r="BB43" i="3" a="1"/>
  <c r="BB43" i="3" s="1"/>
  <c r="BC42" i="3" a="1"/>
  <c r="BC42" i="3" s="1"/>
  <c r="BB42" i="3" a="1"/>
  <c r="BB42" i="3" s="1"/>
  <c r="BC43" i="3" s="1"/>
  <c r="BB54" i="3" a="1"/>
  <c r="BB54" i="3" s="1"/>
  <c r="BC55" i="3" s="1"/>
  <c r="BC54" i="3" a="1"/>
  <c r="BC54" i="3" s="1"/>
  <c r="BB55" i="3" a="1"/>
  <c r="BB55" i="3" s="1"/>
  <c r="BB70" i="3" a="1"/>
  <c r="BB70" i="3" s="1"/>
  <c r="BC71" i="3" s="1"/>
  <c r="BC70" i="3" a="1"/>
  <c r="BC70" i="3" s="1"/>
  <c r="BB71" i="3" a="1"/>
  <c r="BB71" i="3" s="1"/>
  <c r="BC44" i="3" a="1"/>
  <c r="BC44" i="3" s="1"/>
  <c r="BB44" i="3" a="1"/>
  <c r="BB44" i="3" s="1"/>
  <c r="BC45" i="3" s="1"/>
  <c r="BB45" i="3" a="1"/>
  <c r="BB45" i="3" s="1"/>
  <c r="BC66" i="3" a="1"/>
  <c r="BC66" i="3" s="1"/>
  <c r="BB67" i="3" a="1"/>
  <c r="BB67" i="3" s="1"/>
  <c r="BB66" i="3" a="1"/>
  <c r="BB66" i="3" s="1"/>
  <c r="BC67" i="3" s="1"/>
  <c r="BB24" i="3" a="1"/>
  <c r="BB24" i="3" s="1"/>
  <c r="BC25" i="3" s="1"/>
  <c r="BB57" i="3" a="1"/>
  <c r="BB57" i="3" s="1"/>
  <c r="BB56" i="3" a="1"/>
  <c r="BB56" i="3" s="1"/>
  <c r="BC57" i="3" s="1"/>
  <c r="BC56" i="3" a="1"/>
  <c r="BC56" i="3" s="1"/>
  <c r="BB63" i="3" a="1"/>
  <c r="BB63" i="3" s="1"/>
  <c r="BB62" i="3" a="1"/>
  <c r="BB62" i="3" s="1"/>
  <c r="BC63" i="3" s="1"/>
  <c r="BC62" i="3" a="1"/>
  <c r="BC62" i="3" s="1"/>
  <c r="BB58" i="3" a="1"/>
  <c r="BB58" i="3" s="1"/>
  <c r="BC59" i="3" s="1"/>
  <c r="BB59" i="3" a="1"/>
  <c r="BB59" i="3" s="1"/>
  <c r="BC58" i="3" a="1"/>
  <c r="BC58" i="3" s="1"/>
  <c r="BB53" i="3" a="1"/>
  <c r="BB53" i="3" s="1"/>
  <c r="BB52" i="3" a="1"/>
  <c r="BB52" i="3" s="1"/>
  <c r="BC53" i="3" s="1"/>
  <c r="BC52" i="3" a="1"/>
  <c r="BC52" i="3" s="1"/>
  <c r="BG60" i="3" a="1"/>
  <c r="BG60" i="3" s="1"/>
  <c r="BF61" i="3" a="1"/>
  <c r="BF61" i="3" s="1"/>
  <c r="BF60" i="3" a="1"/>
  <c r="BF60" i="3" s="1"/>
  <c r="BG61" i="3" s="1"/>
  <c r="BF31" i="3" a="1"/>
  <c r="BF31" i="3" s="1"/>
  <c r="BG30" i="3" a="1"/>
  <c r="BG30" i="3" s="1"/>
  <c r="BF30" i="3" a="1"/>
  <c r="BF30" i="3" s="1"/>
  <c r="BG31" i="3" s="1"/>
  <c r="BG32" i="3" a="1"/>
  <c r="BG32" i="3" s="1"/>
  <c r="BF33" i="3" a="1"/>
  <c r="BF33" i="3" s="1"/>
  <c r="BF32" i="3" a="1"/>
  <c r="BF32" i="3" s="1"/>
  <c r="BG33" i="3" s="1"/>
  <c r="BG48" i="3" a="1"/>
  <c r="BG48" i="3" s="1"/>
  <c r="BF49" i="3" a="1"/>
  <c r="BF49" i="3" s="1"/>
  <c r="BF48" i="3" a="1"/>
  <c r="BF48" i="3" s="1"/>
  <c r="BG49" i="3" s="1"/>
  <c r="BF35" i="3" a="1"/>
  <c r="BF35" i="3" s="1"/>
  <c r="BF34" i="3" a="1"/>
  <c r="BF34" i="3" s="1"/>
  <c r="BG35" i="3" s="1"/>
  <c r="BG34" i="3" a="1"/>
  <c r="BG34" i="3" s="1"/>
  <c r="BG68" i="3" a="1"/>
  <c r="BG68" i="3" s="1"/>
  <c r="BF68" i="3" a="1"/>
  <c r="BF68" i="3" s="1"/>
  <c r="BG69" i="3" s="1"/>
  <c r="BF69" i="3" a="1"/>
  <c r="BF69" i="3" s="1"/>
  <c r="BF39" i="3" a="1"/>
  <c r="BF39" i="3" s="1"/>
  <c r="BG38" i="3" a="1"/>
  <c r="BG38" i="3" s="1"/>
  <c r="BF38" i="3" a="1"/>
  <c r="BF38" i="3" s="1"/>
  <c r="BG39" i="3" s="1"/>
  <c r="BB13" i="3"/>
  <c r="BC12" i="3"/>
  <c r="AX26" i="3" a="1"/>
  <c r="AX26" i="3" s="1"/>
  <c r="AZ18" i="3" a="1"/>
  <c r="AZ18" i="3" s="1"/>
  <c r="BA19" i="3" s="1"/>
  <c r="AZ22" i="3" a="1"/>
  <c r="AZ22" i="3" s="1"/>
  <c r="BB20" i="3" a="1"/>
  <c r="BB20" i="3" s="1"/>
  <c r="AX16" i="3" a="1"/>
  <c r="AX16" i="3" s="1"/>
  <c r="AY17" i="3" s="1"/>
  <c r="BD15" i="3" a="1"/>
  <c r="BE14" i="3" a="1"/>
  <c r="BE24" i="3" a="1"/>
  <c r="BD25" i="3" a="1"/>
  <c r="BG28" i="3" a="1"/>
  <c r="BF29" i="3" a="1"/>
  <c r="BC20" i="3" a="1"/>
  <c r="AZ23" i="3" a="1"/>
  <c r="AZ19" i="3" a="1"/>
  <c r="BB21" i="3" a="1"/>
  <c r="BA18" i="3" a="1"/>
  <c r="AX27" i="3" a="1"/>
  <c r="AY26" i="3" a="1"/>
  <c r="BA22" i="3" a="1"/>
  <c r="AY16" i="3" a="1"/>
  <c r="AX17" i="3" a="1"/>
  <c r="BE40" i="3" l="1" a="1"/>
  <c r="BE40" i="3" s="1"/>
  <c r="BD40" i="3" a="1"/>
  <c r="BD40" i="3" s="1"/>
  <c r="BE41" i="3" s="1"/>
  <c r="BD41" i="3" a="1"/>
  <c r="BD41" i="3" s="1"/>
  <c r="BF29" i="3"/>
  <c r="BG28" i="3"/>
  <c r="BH28" i="3" s="1" a="1"/>
  <c r="BH28" i="3" s="1"/>
  <c r="BI29" i="3" s="1"/>
  <c r="BD25" i="3"/>
  <c r="BE24" i="3"/>
  <c r="BE14" i="3"/>
  <c r="BD15" i="3"/>
  <c r="BD52" i="3" a="1"/>
  <c r="BD52" i="3" s="1"/>
  <c r="BE53" i="3" s="1"/>
  <c r="BE52" i="3" a="1"/>
  <c r="BE52" i="3" s="1"/>
  <c r="BD53" i="3" a="1"/>
  <c r="BD53" i="3" s="1"/>
  <c r="BE54" i="3" a="1"/>
  <c r="BE54" i="3" s="1"/>
  <c r="BD54" i="3" a="1"/>
  <c r="BD54" i="3" s="1"/>
  <c r="BE55" i="3" s="1"/>
  <c r="BD55" i="3" a="1"/>
  <c r="BD55" i="3" s="1"/>
  <c r="BD57" i="3" a="1"/>
  <c r="BD57" i="3" s="1"/>
  <c r="BE56" i="3" a="1"/>
  <c r="BE56" i="3" s="1"/>
  <c r="BD56" i="3" a="1"/>
  <c r="BD56" i="3" s="1"/>
  <c r="BE57" i="3" s="1"/>
  <c r="BE66" i="3" a="1"/>
  <c r="BE66" i="3" s="1"/>
  <c r="BD67" i="3" a="1"/>
  <c r="BD67" i="3" s="1"/>
  <c r="BD66" i="3" a="1"/>
  <c r="BD66" i="3" s="1"/>
  <c r="BE67" i="3" s="1"/>
  <c r="BD46" i="3" a="1"/>
  <c r="BD46" i="3" s="1"/>
  <c r="BE47" i="3" s="1"/>
  <c r="BE46" i="3" a="1"/>
  <c r="BE46" i="3" s="1"/>
  <c r="BD47" i="3" a="1"/>
  <c r="BD47" i="3" s="1"/>
  <c r="BD44" i="3" a="1"/>
  <c r="BD44" i="3" s="1"/>
  <c r="BE45" i="3" s="1"/>
  <c r="BE44" i="3" a="1"/>
  <c r="BE44" i="3" s="1"/>
  <c r="BD45" i="3" a="1"/>
  <c r="BD45" i="3" s="1"/>
  <c r="BD42" i="3" a="1"/>
  <c r="BD42" i="3" s="1"/>
  <c r="BE43" i="3" s="1"/>
  <c r="BE42" i="3" a="1"/>
  <c r="BE42" i="3" s="1"/>
  <c r="BD43" i="3" a="1"/>
  <c r="BD43" i="3" s="1"/>
  <c r="BD59" i="3" a="1"/>
  <c r="BD59" i="3" s="1"/>
  <c r="BE58" i="3" a="1"/>
  <c r="BE58" i="3" s="1"/>
  <c r="BD58" i="3" a="1"/>
  <c r="BD58" i="3" s="1"/>
  <c r="BE59" i="3" s="1"/>
  <c r="BD37" i="3" a="1"/>
  <c r="BD37" i="3" s="1"/>
  <c r="BD36" i="3" a="1"/>
  <c r="BD36" i="3" s="1"/>
  <c r="BE37" i="3" s="1"/>
  <c r="BE36" i="3" a="1"/>
  <c r="BE36" i="3" s="1"/>
  <c r="BE70" i="3" a="1"/>
  <c r="BE70" i="3" s="1"/>
  <c r="BD71" i="3" a="1"/>
  <c r="BD71" i="3" s="1"/>
  <c r="BD70" i="3" a="1"/>
  <c r="BD70" i="3" s="1"/>
  <c r="BE71" i="3" s="1"/>
  <c r="BD50" i="3" a="1"/>
  <c r="BD50" i="3" s="1"/>
  <c r="BE51" i="3" s="1"/>
  <c r="BE50" i="3" a="1"/>
  <c r="BE50" i="3" s="1"/>
  <c r="BD51" i="3" a="1"/>
  <c r="BD51" i="3" s="1"/>
  <c r="BD24" i="3" a="1"/>
  <c r="BD24" i="3" s="1"/>
  <c r="BE25" i="3" s="1"/>
  <c r="BD62" i="3" a="1"/>
  <c r="BD62" i="3" s="1"/>
  <c r="BE63" i="3" s="1"/>
  <c r="BE62" i="3" a="1"/>
  <c r="BE62" i="3" s="1"/>
  <c r="BD63" i="3" a="1"/>
  <c r="BD63" i="3" s="1"/>
  <c r="BD65" i="3" a="1"/>
  <c r="BD65" i="3" s="1"/>
  <c r="BE64" i="3" a="1"/>
  <c r="BE64" i="3" s="1"/>
  <c r="BD64" i="3" a="1"/>
  <c r="BD64" i="3" s="1"/>
  <c r="BE65" i="3" s="1"/>
  <c r="BD14" i="3" a="1"/>
  <c r="BD14" i="3" s="1"/>
  <c r="BE15" i="3" s="1"/>
  <c r="BC21" i="3"/>
  <c r="BA23" i="3"/>
  <c r="AY27" i="3"/>
  <c r="BI48" i="3" a="1"/>
  <c r="BI48" i="3" s="1"/>
  <c r="BH48" i="3" a="1"/>
  <c r="BH48" i="3" s="1"/>
  <c r="BI49" i="3" s="1"/>
  <c r="BH49" i="3" a="1"/>
  <c r="BH49" i="3" s="1"/>
  <c r="BH35" i="3" a="1"/>
  <c r="BH35" i="3" s="1"/>
  <c r="BH34" i="3" a="1"/>
  <c r="BH34" i="3" s="1"/>
  <c r="BI35" i="3" s="1"/>
  <c r="BI34" i="3" a="1"/>
  <c r="BI34" i="3" s="1"/>
  <c r="BH60" i="3" a="1"/>
  <c r="BH60" i="3" s="1"/>
  <c r="BI61" i="3" s="1"/>
  <c r="BH61" i="3" a="1"/>
  <c r="BH61" i="3" s="1"/>
  <c r="BI60" i="3" a="1"/>
  <c r="BI60" i="3" s="1"/>
  <c r="BH68" i="3" a="1"/>
  <c r="BH68" i="3" s="1"/>
  <c r="BI69" i="3" s="1"/>
  <c r="BH69" i="3" a="1"/>
  <c r="BH69" i="3" s="1"/>
  <c r="BI68" i="3" a="1"/>
  <c r="BI68" i="3" s="1"/>
  <c r="BH33" i="3" a="1"/>
  <c r="BH33" i="3" s="1"/>
  <c r="BH32" i="3" a="1"/>
  <c r="BH32" i="3" s="1"/>
  <c r="BI33" i="3" s="1"/>
  <c r="BI32" i="3" a="1"/>
  <c r="BI32" i="3" s="1"/>
  <c r="BI30" i="3" a="1"/>
  <c r="BI30" i="3" s="1"/>
  <c r="BH30" i="3" a="1"/>
  <c r="BH30" i="3" s="1"/>
  <c r="BI31" i="3" s="1"/>
  <c r="BH31" i="3" a="1"/>
  <c r="BH31" i="3" s="1"/>
  <c r="BH38" i="3" a="1"/>
  <c r="BH38" i="3" s="1"/>
  <c r="BI39" i="3" s="1"/>
  <c r="BH39" i="3" a="1"/>
  <c r="BH39" i="3" s="1"/>
  <c r="BI38" i="3" a="1"/>
  <c r="BI38" i="3" s="1"/>
  <c r="AX17" i="3"/>
  <c r="AY16" i="3"/>
  <c r="BA22" i="3"/>
  <c r="AY26" i="3"/>
  <c r="AX27" i="3"/>
  <c r="BA18" i="3"/>
  <c r="BB21" i="3"/>
  <c r="AZ19" i="3"/>
  <c r="AZ23" i="3"/>
  <c r="BC20" i="3"/>
  <c r="BD12" i="3" a="1"/>
  <c r="BD12" i="3" s="1"/>
  <c r="BE13" i="3" s="1"/>
  <c r="BI28" i="3" a="1"/>
  <c r="BH29" i="3" a="1"/>
  <c r="BF25" i="3" a="1"/>
  <c r="BG24" i="3" a="1"/>
  <c r="BG14" i="3" a="1"/>
  <c r="BF15" i="3" a="1"/>
  <c r="BD13" i="3" a="1"/>
  <c r="BE12" i="3" a="1"/>
  <c r="BG40" i="3" l="1" a="1"/>
  <c r="BG40" i="3" s="1"/>
  <c r="BF41" i="3" a="1"/>
  <c r="BF41" i="3" s="1"/>
  <c r="BF40" i="3" a="1"/>
  <c r="BF40" i="3" s="1"/>
  <c r="BG41" i="3" s="1"/>
  <c r="BF15" i="3"/>
  <c r="BG14" i="3"/>
  <c r="BG24" i="3"/>
  <c r="BF25" i="3"/>
  <c r="BH29" i="3"/>
  <c r="BI28" i="3"/>
  <c r="BJ28" i="3" s="1" a="1"/>
  <c r="BJ28" i="3" s="1"/>
  <c r="BK29" i="3" s="1"/>
  <c r="BF44" i="3" a="1"/>
  <c r="BF44" i="3" s="1"/>
  <c r="BG45" i="3" s="1"/>
  <c r="BF45" i="3" a="1"/>
  <c r="BF45" i="3" s="1"/>
  <c r="BG44" i="3" a="1"/>
  <c r="BG44" i="3" s="1"/>
  <c r="BG50" i="3" a="1"/>
  <c r="BG50" i="3" s="1"/>
  <c r="BF51" i="3" a="1"/>
  <c r="BF51" i="3" s="1"/>
  <c r="BF50" i="3" a="1"/>
  <c r="BF50" i="3" s="1"/>
  <c r="BG51" i="3" s="1"/>
  <c r="BF56" i="3" a="1"/>
  <c r="BF56" i="3" s="1"/>
  <c r="BG57" i="3" s="1"/>
  <c r="BG56" i="3" a="1"/>
  <c r="BG56" i="3" s="1"/>
  <c r="BF57" i="3" a="1"/>
  <c r="BF57" i="3" s="1"/>
  <c r="BF52" i="3" a="1"/>
  <c r="BF52" i="3" s="1"/>
  <c r="BG53" i="3" s="1"/>
  <c r="BG52" i="3" a="1"/>
  <c r="BG52" i="3" s="1"/>
  <c r="BF53" i="3" a="1"/>
  <c r="BF53" i="3" s="1"/>
  <c r="BG64" i="3" a="1"/>
  <c r="BG64" i="3" s="1"/>
  <c r="BF64" i="3" a="1"/>
  <c r="BF64" i="3" s="1"/>
  <c r="BG65" i="3" s="1"/>
  <c r="BF65" i="3" a="1"/>
  <c r="BF65" i="3" s="1"/>
  <c r="BG58" i="3" a="1"/>
  <c r="BG58" i="3" s="1"/>
  <c r="BF59" i="3" a="1"/>
  <c r="BF59" i="3" s="1"/>
  <c r="BF58" i="3" a="1"/>
  <c r="BF58" i="3" s="1"/>
  <c r="BG59" i="3" s="1"/>
  <c r="BF14" i="3" a="1"/>
  <c r="BF14" i="3" s="1"/>
  <c r="BG15" i="3" s="1"/>
  <c r="BF67" i="3" a="1"/>
  <c r="BF67" i="3" s="1"/>
  <c r="BF66" i="3" a="1"/>
  <c r="BF66" i="3" s="1"/>
  <c r="BG67" i="3" s="1"/>
  <c r="BG66" i="3" a="1"/>
  <c r="BG66" i="3" s="1"/>
  <c r="BG46" i="3" a="1"/>
  <c r="BG46" i="3" s="1"/>
  <c r="BF47" i="3" a="1"/>
  <c r="BF47" i="3" s="1"/>
  <c r="BF46" i="3" a="1"/>
  <c r="BF46" i="3" s="1"/>
  <c r="BG47" i="3" s="1"/>
  <c r="BF24" i="3" a="1"/>
  <c r="BF24" i="3" s="1"/>
  <c r="BG25" i="3" s="1"/>
  <c r="BF63" i="3" a="1"/>
  <c r="BF63" i="3" s="1"/>
  <c r="BG62" i="3" a="1"/>
  <c r="BG62" i="3" s="1"/>
  <c r="BF62" i="3" a="1"/>
  <c r="BF62" i="3" s="1"/>
  <c r="BG63" i="3" s="1"/>
  <c r="BG70" i="3" a="1"/>
  <c r="BG70" i="3" s="1"/>
  <c r="BF70" i="3" a="1"/>
  <c r="BF70" i="3" s="1"/>
  <c r="BG71" i="3" s="1"/>
  <c r="BF71" i="3" a="1"/>
  <c r="BF71" i="3" s="1"/>
  <c r="BG42" i="3" a="1"/>
  <c r="BG42" i="3" s="1"/>
  <c r="BF42" i="3" a="1"/>
  <c r="BF42" i="3" s="1"/>
  <c r="BG43" i="3" s="1"/>
  <c r="BF43" i="3" a="1"/>
  <c r="BF43" i="3" s="1"/>
  <c r="BF55" i="3" a="1"/>
  <c r="BF55" i="3" s="1"/>
  <c r="BF54" i="3" a="1"/>
  <c r="BF54" i="3" s="1"/>
  <c r="BG55" i="3" s="1"/>
  <c r="BG54" i="3" a="1"/>
  <c r="BG54" i="3" s="1"/>
  <c r="BF37" i="3" a="1"/>
  <c r="BF37" i="3" s="1"/>
  <c r="BG36" i="3" a="1"/>
  <c r="BG36" i="3" s="1"/>
  <c r="BF36" i="3" a="1"/>
  <c r="BF36" i="3" s="1"/>
  <c r="BG37" i="3" s="1"/>
  <c r="BK32" i="3" a="1"/>
  <c r="BK32" i="3" s="1"/>
  <c r="BJ33" i="3" a="1"/>
  <c r="BJ33" i="3" s="1"/>
  <c r="BJ32" i="3" a="1"/>
  <c r="BJ32" i="3" s="1"/>
  <c r="BK33" i="3" s="1"/>
  <c r="BJ30" i="3" a="1"/>
  <c r="BJ30" i="3" s="1"/>
  <c r="BK31" i="3" s="1"/>
  <c r="BK30" i="3" a="1"/>
  <c r="BK30" i="3" s="1"/>
  <c r="BJ31" i="3" a="1"/>
  <c r="BJ31" i="3" s="1"/>
  <c r="BJ35" i="3" a="1"/>
  <c r="BJ35" i="3" s="1"/>
  <c r="BJ34" i="3" a="1"/>
  <c r="BJ34" i="3" s="1"/>
  <c r="BK35" i="3" s="1"/>
  <c r="BK34" i="3" a="1"/>
  <c r="BK34" i="3" s="1"/>
  <c r="BJ39" i="3" a="1"/>
  <c r="BJ39" i="3" s="1"/>
  <c r="BJ38" i="3" a="1"/>
  <c r="BJ38" i="3" s="1"/>
  <c r="BK39" i="3" s="1"/>
  <c r="BK38" i="3" a="1"/>
  <c r="BK38" i="3" s="1"/>
  <c r="BK68" i="3" a="1"/>
  <c r="BK68" i="3" s="1"/>
  <c r="BJ68" i="3" a="1"/>
  <c r="BJ68" i="3" s="1"/>
  <c r="BK69" i="3" s="1"/>
  <c r="BJ69" i="3" a="1"/>
  <c r="BJ69" i="3" s="1"/>
  <c r="BK60" i="3" a="1"/>
  <c r="BK60" i="3" s="1"/>
  <c r="BJ61" i="3" a="1"/>
  <c r="BJ61" i="3" s="1"/>
  <c r="BJ60" i="3" a="1"/>
  <c r="BJ60" i="3" s="1"/>
  <c r="BK61" i="3" s="1"/>
  <c r="BJ49" i="3" a="1"/>
  <c r="BJ49" i="3" s="1"/>
  <c r="BK48" i="3" a="1"/>
  <c r="BK48" i="3" s="1"/>
  <c r="BJ48" i="3" a="1"/>
  <c r="BJ48" i="3" s="1"/>
  <c r="BK49" i="3" s="1"/>
  <c r="BE12" i="3"/>
  <c r="BD13" i="3"/>
  <c r="BD20" i="3" a="1"/>
  <c r="BD20" i="3" s="1"/>
  <c r="BB22" i="3" a="1"/>
  <c r="BB22" i="3" s="1"/>
  <c r="AZ26" i="3" a="1"/>
  <c r="AZ26" i="3" s="1"/>
  <c r="AZ16" i="3" a="1"/>
  <c r="AZ16" i="3" s="1"/>
  <c r="BA17" i="3" s="1"/>
  <c r="BB18" i="3" a="1"/>
  <c r="BB18" i="3" s="1"/>
  <c r="BC19" i="3" s="1"/>
  <c r="BH15" i="3" a="1"/>
  <c r="BI14" i="3" a="1"/>
  <c r="BI24" i="3" a="1"/>
  <c r="BH25" i="3" a="1"/>
  <c r="BK28" i="3" a="1"/>
  <c r="BJ29" i="3" a="1"/>
  <c r="AZ27" i="3" a="1"/>
  <c r="BB19" i="3" a="1"/>
  <c r="BA26" i="3" a="1"/>
  <c r="BD21" i="3" a="1"/>
  <c r="AZ17" i="3" a="1"/>
  <c r="BC18" i="3" a="1"/>
  <c r="BC22" i="3" a="1"/>
  <c r="BA16" i="3" a="1"/>
  <c r="BE20" i="3" a="1"/>
  <c r="BB23" i="3" a="1"/>
  <c r="BH41" i="3" l="1" a="1"/>
  <c r="BH41" i="3" s="1"/>
  <c r="BH40" i="3" a="1"/>
  <c r="BH40" i="3" s="1"/>
  <c r="BI41" i="3" s="1"/>
  <c r="BI40" i="3" a="1"/>
  <c r="BI40" i="3" s="1"/>
  <c r="BJ29" i="3"/>
  <c r="BK28" i="3"/>
  <c r="BL28" i="3" s="1" a="1"/>
  <c r="BL28" i="3" s="1"/>
  <c r="BM29" i="3" s="1"/>
  <c r="BH25" i="3"/>
  <c r="BI24" i="3"/>
  <c r="BI14" i="3"/>
  <c r="BH15" i="3"/>
  <c r="BI42" i="3" a="1"/>
  <c r="BI42" i="3" s="1"/>
  <c r="BH42" i="3" a="1"/>
  <c r="BH42" i="3" s="1"/>
  <c r="BI43" i="3" s="1"/>
  <c r="BH43" i="3" a="1"/>
  <c r="BH43" i="3" s="1"/>
  <c r="BH37" i="3" a="1"/>
  <c r="BH37" i="3" s="1"/>
  <c r="BI36" i="3" a="1"/>
  <c r="BI36" i="3" s="1"/>
  <c r="BH36" i="3" a="1"/>
  <c r="BH36" i="3" s="1"/>
  <c r="BI37" i="3" s="1"/>
  <c r="BH58" i="3" a="1"/>
  <c r="BH58" i="3" s="1"/>
  <c r="BI59" i="3" s="1"/>
  <c r="BH59" i="3" a="1"/>
  <c r="BH59" i="3" s="1"/>
  <c r="BI58" i="3" a="1"/>
  <c r="BI58" i="3" s="1"/>
  <c r="BI56" i="3" a="1"/>
  <c r="BI56" i="3" s="1"/>
  <c r="BH57" i="3" a="1"/>
  <c r="BH57" i="3" s="1"/>
  <c r="BH56" i="3" a="1"/>
  <c r="BH56" i="3" s="1"/>
  <c r="BI57" i="3" s="1"/>
  <c r="BH47" i="3" a="1"/>
  <c r="BH47" i="3" s="1"/>
  <c r="BI46" i="3" a="1"/>
  <c r="BI46" i="3" s="1"/>
  <c r="BH46" i="3" a="1"/>
  <c r="BH46" i="3" s="1"/>
  <c r="BI47" i="3" s="1"/>
  <c r="BI54" i="3" a="1"/>
  <c r="BI54" i="3" s="1"/>
  <c r="BH54" i="3" a="1"/>
  <c r="BH54" i="3" s="1"/>
  <c r="BI55" i="3" s="1"/>
  <c r="BH55" i="3" a="1"/>
  <c r="BH55" i="3" s="1"/>
  <c r="BH70" i="3" a="1"/>
  <c r="BH70" i="3" s="1"/>
  <c r="BI71" i="3" s="1"/>
  <c r="BH71" i="3" a="1"/>
  <c r="BH71" i="3" s="1"/>
  <c r="BI70" i="3" a="1"/>
  <c r="BI70" i="3" s="1"/>
  <c r="BH66" i="3" a="1"/>
  <c r="BH66" i="3" s="1"/>
  <c r="BI67" i="3" s="1"/>
  <c r="BH67" i="3" a="1"/>
  <c r="BH67" i="3" s="1"/>
  <c r="BI66" i="3" a="1"/>
  <c r="BI66" i="3" s="1"/>
  <c r="BH65" i="3" a="1"/>
  <c r="BH65" i="3" s="1"/>
  <c r="BI64" i="3" a="1"/>
  <c r="BI64" i="3" s="1"/>
  <c r="BH64" i="3" a="1"/>
  <c r="BH64" i="3" s="1"/>
  <c r="BI65" i="3" s="1"/>
  <c r="BH24" i="3" a="1"/>
  <c r="BH24" i="3" s="1"/>
  <c r="BI25" i="3" s="1"/>
  <c r="BH62" i="3" a="1"/>
  <c r="BH62" i="3" s="1"/>
  <c r="BI63" i="3" s="1"/>
  <c r="BI62" i="3" a="1"/>
  <c r="BI62" i="3" s="1"/>
  <c r="BH63" i="3" a="1"/>
  <c r="BH63" i="3" s="1"/>
  <c r="BH51" i="3" a="1"/>
  <c r="BH51" i="3" s="1"/>
  <c r="BI50" i="3" a="1"/>
  <c r="BI50" i="3" s="1"/>
  <c r="BH50" i="3" a="1"/>
  <c r="BH50" i="3" s="1"/>
  <c r="BI51" i="3" s="1"/>
  <c r="BH14" i="3" a="1"/>
  <c r="BH14" i="3" s="1"/>
  <c r="BI15" i="3" s="1"/>
  <c r="BH52" i="3" a="1"/>
  <c r="BH52" i="3" s="1"/>
  <c r="BI53" i="3" s="1"/>
  <c r="BI52" i="3" a="1"/>
  <c r="BI52" i="3" s="1"/>
  <c r="BH53" i="3" a="1"/>
  <c r="BH53" i="3" s="1"/>
  <c r="BH44" i="3" a="1"/>
  <c r="BH44" i="3" s="1"/>
  <c r="BI45" i="3" s="1"/>
  <c r="BI44" i="3" a="1"/>
  <c r="BI44" i="3" s="1"/>
  <c r="BH45" i="3" a="1"/>
  <c r="BH45" i="3" s="1"/>
  <c r="BC23" i="3"/>
  <c r="BE21" i="3"/>
  <c r="BA27" i="3"/>
  <c r="BL33" i="3" a="1"/>
  <c r="BL33" i="3" s="1"/>
  <c r="BM32" i="3" a="1"/>
  <c r="BM32" i="3" s="1"/>
  <c r="BL32" i="3" a="1"/>
  <c r="BL32" i="3" s="1"/>
  <c r="BM33" i="3" s="1"/>
  <c r="BM48" i="3" a="1"/>
  <c r="BM48" i="3" s="1"/>
  <c r="BL49" i="3" a="1"/>
  <c r="BL49" i="3" s="1"/>
  <c r="BL48" i="3" a="1"/>
  <c r="BL48" i="3" s="1"/>
  <c r="BM49" i="3" s="1"/>
  <c r="BL69" i="3" a="1"/>
  <c r="BL69" i="3" s="1"/>
  <c r="BM68" i="3" a="1"/>
  <c r="BM68" i="3" s="1"/>
  <c r="BL68" i="3" a="1"/>
  <c r="BL68" i="3" s="1"/>
  <c r="BM69" i="3" s="1"/>
  <c r="BL35" i="3" a="1"/>
  <c r="BL35" i="3" s="1"/>
  <c r="BM34" i="3" a="1"/>
  <c r="BM34" i="3" s="1"/>
  <c r="BL34" i="3" a="1"/>
  <c r="BL34" i="3" s="1"/>
  <c r="BM35" i="3" s="1"/>
  <c r="BM60" i="3" a="1"/>
  <c r="BM60" i="3" s="1"/>
  <c r="BL61" i="3" a="1"/>
  <c r="BL61" i="3" s="1"/>
  <c r="BL60" i="3" a="1"/>
  <c r="BL60" i="3" s="1"/>
  <c r="BM61" i="3" s="1"/>
  <c r="BL30" i="3" a="1"/>
  <c r="BL30" i="3" s="1"/>
  <c r="BM31" i="3" s="1"/>
  <c r="BL31" i="3" a="1"/>
  <c r="BL31" i="3" s="1"/>
  <c r="BM30" i="3" a="1"/>
  <c r="BM30" i="3" s="1"/>
  <c r="BL38" i="3" a="1"/>
  <c r="BL38" i="3" s="1"/>
  <c r="BM39" i="3" s="1"/>
  <c r="BL39" i="3" a="1"/>
  <c r="BL39" i="3" s="1"/>
  <c r="BM38" i="3" a="1"/>
  <c r="BM38" i="3" s="1"/>
  <c r="BB23" i="3"/>
  <c r="BE20" i="3"/>
  <c r="BA16" i="3"/>
  <c r="BC22" i="3"/>
  <c r="BC18" i="3"/>
  <c r="AZ17" i="3"/>
  <c r="BD21" i="3"/>
  <c r="BA26" i="3"/>
  <c r="BB19" i="3"/>
  <c r="AZ27" i="3"/>
  <c r="BF12" i="3" a="1"/>
  <c r="BF12" i="3" s="1"/>
  <c r="BG13" i="3" s="1"/>
  <c r="BM28" i="3" a="1"/>
  <c r="BL29" i="3" a="1"/>
  <c r="BJ25" i="3" a="1"/>
  <c r="BK24" i="3" a="1"/>
  <c r="BJ15" i="3" a="1"/>
  <c r="BK14" i="3" a="1"/>
  <c r="BG12" i="3" a="1"/>
  <c r="BF13" i="3" a="1"/>
  <c r="BK40" i="3" l="1" a="1"/>
  <c r="BK40" i="3" s="1"/>
  <c r="BJ41" i="3" a="1"/>
  <c r="BJ41" i="3" s="1"/>
  <c r="BJ40" i="3" a="1"/>
  <c r="BJ40" i="3" s="1"/>
  <c r="BK41" i="3" s="1"/>
  <c r="BK14" i="3"/>
  <c r="BJ15" i="3"/>
  <c r="BK24" i="3"/>
  <c r="BJ25" i="3"/>
  <c r="BL29" i="3"/>
  <c r="BM28" i="3"/>
  <c r="BN28" i="3" s="1" a="1"/>
  <c r="BN28" i="3" s="1"/>
  <c r="BO29" i="3" s="1"/>
  <c r="BJ45" i="3" a="1"/>
  <c r="BJ45" i="3" s="1"/>
  <c r="BK44" i="3" a="1"/>
  <c r="BK44" i="3" s="1"/>
  <c r="BJ44" i="3" a="1"/>
  <c r="BJ44" i="3" s="1"/>
  <c r="BK45" i="3" s="1"/>
  <c r="BK66" i="3" a="1"/>
  <c r="BK66" i="3" s="1"/>
  <c r="BJ67" i="3" a="1"/>
  <c r="BJ67" i="3" s="1"/>
  <c r="BJ66" i="3" a="1"/>
  <c r="BJ66" i="3" s="1"/>
  <c r="BK67" i="3" s="1"/>
  <c r="BJ55" i="3" a="1"/>
  <c r="BJ55" i="3" s="1"/>
  <c r="BK54" i="3" a="1"/>
  <c r="BK54" i="3" s="1"/>
  <c r="BJ54" i="3" a="1"/>
  <c r="BJ54" i="3" s="1"/>
  <c r="BK55" i="3" s="1"/>
  <c r="BJ57" i="3" a="1"/>
  <c r="BJ57" i="3" s="1"/>
  <c r="BK56" i="3" a="1"/>
  <c r="BK56" i="3" s="1"/>
  <c r="BJ56" i="3" a="1"/>
  <c r="BJ56" i="3" s="1"/>
  <c r="BK57" i="3" s="1"/>
  <c r="BJ43" i="3" a="1"/>
  <c r="BJ43" i="3" s="1"/>
  <c r="BJ42" i="3" a="1"/>
  <c r="BJ42" i="3" s="1"/>
  <c r="BK43" i="3" s="1"/>
  <c r="BK42" i="3" a="1"/>
  <c r="BK42" i="3" s="1"/>
  <c r="BJ14" i="3" a="1"/>
  <c r="BJ14" i="3" s="1"/>
  <c r="BK15" i="3" s="1"/>
  <c r="BK64" i="3" a="1"/>
  <c r="BK64" i="3" s="1"/>
  <c r="BJ64" i="3" a="1"/>
  <c r="BJ64" i="3" s="1"/>
  <c r="BK65" i="3" s="1"/>
  <c r="BJ65" i="3" a="1"/>
  <c r="BJ65" i="3" s="1"/>
  <c r="BK50" i="3" a="1"/>
  <c r="BK50" i="3" s="1"/>
  <c r="BJ50" i="3" a="1"/>
  <c r="BJ50" i="3" s="1"/>
  <c r="BK51" i="3" s="1"/>
  <c r="BJ51" i="3" a="1"/>
  <c r="BJ51" i="3" s="1"/>
  <c r="BJ59" i="3" a="1"/>
  <c r="BJ59" i="3" s="1"/>
  <c r="BK58" i="3" a="1"/>
  <c r="BK58" i="3" s="1"/>
  <c r="BJ58" i="3" a="1"/>
  <c r="BJ58" i="3" s="1"/>
  <c r="BK59" i="3" s="1"/>
  <c r="BJ63" i="3" a="1"/>
  <c r="BJ63" i="3" s="1"/>
  <c r="BJ62" i="3" a="1"/>
  <c r="BJ62" i="3" s="1"/>
  <c r="BK63" i="3" s="1"/>
  <c r="BK62" i="3" a="1"/>
  <c r="BK62" i="3" s="1"/>
  <c r="BK46" i="3" a="1"/>
  <c r="BK46" i="3" s="1"/>
  <c r="BJ46" i="3" a="1"/>
  <c r="BJ46" i="3" s="1"/>
  <c r="BK47" i="3" s="1"/>
  <c r="BJ47" i="3" a="1"/>
  <c r="BJ47" i="3" s="1"/>
  <c r="BJ24" i="3" a="1"/>
  <c r="BJ24" i="3" s="1"/>
  <c r="BK25" i="3" s="1"/>
  <c r="BJ52" i="3" a="1"/>
  <c r="BJ52" i="3" s="1"/>
  <c r="BK53" i="3" s="1"/>
  <c r="BJ53" i="3" a="1"/>
  <c r="BJ53" i="3" s="1"/>
  <c r="BK52" i="3" a="1"/>
  <c r="BK52" i="3" s="1"/>
  <c r="BJ71" i="3" a="1"/>
  <c r="BJ71" i="3" s="1"/>
  <c r="BK70" i="3" a="1"/>
  <c r="BK70" i="3" s="1"/>
  <c r="BJ70" i="3" a="1"/>
  <c r="BJ70" i="3" s="1"/>
  <c r="BK71" i="3" s="1"/>
  <c r="BJ36" i="3" a="1"/>
  <c r="BJ36" i="3" s="1"/>
  <c r="BK37" i="3" s="1"/>
  <c r="BK36" i="3" a="1"/>
  <c r="BK36" i="3" s="1"/>
  <c r="BJ37" i="3" a="1"/>
  <c r="BJ37" i="3" s="1"/>
  <c r="BO68" i="3" a="1"/>
  <c r="BO68" i="3" s="1"/>
  <c r="BN68" i="3" a="1"/>
  <c r="BN68" i="3" s="1"/>
  <c r="BO69" i="3" s="1"/>
  <c r="BN69" i="3" a="1"/>
  <c r="BN69" i="3" s="1"/>
  <c r="BN32" i="3" a="1"/>
  <c r="BN32" i="3" s="1"/>
  <c r="BO33" i="3" s="1"/>
  <c r="BO32" i="3" a="1"/>
  <c r="BO32" i="3" s="1"/>
  <c r="BN33" i="3" a="1"/>
  <c r="BN33" i="3" s="1"/>
  <c r="BN31" i="3" a="1"/>
  <c r="BN31" i="3" s="1"/>
  <c r="BO30" i="3" a="1"/>
  <c r="BO30" i="3" s="1"/>
  <c r="BN30" i="3" a="1"/>
  <c r="BN30" i="3" s="1"/>
  <c r="BO31" i="3" s="1"/>
  <c r="BN60" i="3" a="1"/>
  <c r="BN60" i="3" s="1"/>
  <c r="BO61" i="3" s="1"/>
  <c r="BO60" i="3" a="1"/>
  <c r="BO60" i="3" s="1"/>
  <c r="BN61" i="3" a="1"/>
  <c r="BN61" i="3" s="1"/>
  <c r="BO38" i="3" a="1"/>
  <c r="BO38" i="3" s="1"/>
  <c r="BN39" i="3" a="1"/>
  <c r="BN39" i="3" s="1"/>
  <c r="BN38" i="3" a="1"/>
  <c r="BN38" i="3" s="1"/>
  <c r="BO39" i="3" s="1"/>
  <c r="BN35" i="3" a="1"/>
  <c r="BN35" i="3" s="1"/>
  <c r="BO34" i="3" a="1"/>
  <c r="BO34" i="3" s="1"/>
  <c r="BN34" i="3" a="1"/>
  <c r="BN34" i="3" s="1"/>
  <c r="BO35" i="3" s="1"/>
  <c r="BN49" i="3" a="1"/>
  <c r="BN49" i="3" s="1"/>
  <c r="BO48" i="3" a="1"/>
  <c r="BO48" i="3" s="1"/>
  <c r="BN48" i="3" a="1"/>
  <c r="BN48" i="3" s="1"/>
  <c r="BO49" i="3" s="1"/>
  <c r="BF13" i="3"/>
  <c r="BG12" i="3"/>
  <c r="BD18" i="3" a="1"/>
  <c r="BD18" i="3" s="1"/>
  <c r="BE19" i="3" s="1"/>
  <c r="BD22" i="3" a="1"/>
  <c r="BD22" i="3" s="1"/>
  <c r="BB16" i="3" a="1"/>
  <c r="BB16" i="3" s="1"/>
  <c r="BC17" i="3" s="1"/>
  <c r="BF20" i="3" a="1"/>
  <c r="BF20" i="3" s="1"/>
  <c r="BB26" i="3" a="1"/>
  <c r="BB26" i="3" s="1"/>
  <c r="BL15" i="3" a="1"/>
  <c r="BM14" i="3" a="1"/>
  <c r="BM24" i="3" a="1"/>
  <c r="BL25" i="3" a="1"/>
  <c r="BN29" i="3" a="1"/>
  <c r="BO28" i="3" a="1"/>
  <c r="BE22" i="3" a="1"/>
  <c r="BF21" i="3" a="1"/>
  <c r="BC16" i="3" a="1"/>
  <c r="BD23" i="3" a="1"/>
  <c r="BB27" i="3" a="1"/>
  <c r="BC26" i="3" a="1"/>
  <c r="BB17" i="3" a="1"/>
  <c r="BG20" i="3" a="1"/>
  <c r="BE18" i="3" a="1"/>
  <c r="BD19" i="3" a="1"/>
  <c r="BL41" i="3" l="1" a="1"/>
  <c r="BL41" i="3" s="1"/>
  <c r="BM40" i="3" a="1"/>
  <c r="BM40" i="3" s="1"/>
  <c r="BL40" i="3" a="1"/>
  <c r="BL40" i="3" s="1"/>
  <c r="BM41" i="3" s="1"/>
  <c r="BO28" i="3"/>
  <c r="BP28" i="3" s="1" a="1"/>
  <c r="BP28" i="3" s="1"/>
  <c r="BQ29" i="3" s="1"/>
  <c r="BN29" i="3"/>
  <c r="BL25" i="3"/>
  <c r="BM24" i="3"/>
  <c r="BM14" i="3"/>
  <c r="BL15" i="3"/>
  <c r="BM44" i="3" a="1"/>
  <c r="BM44" i="3" s="1"/>
  <c r="BL44" i="3" a="1"/>
  <c r="BL44" i="3" s="1"/>
  <c r="BM45" i="3" s="1"/>
  <c r="BL45" i="3" a="1"/>
  <c r="BL45" i="3" s="1"/>
  <c r="BM64" i="3" a="1"/>
  <c r="BM64" i="3" s="1"/>
  <c r="BL64" i="3" a="1"/>
  <c r="BL64" i="3" s="1"/>
  <c r="BM65" i="3" s="1"/>
  <c r="BL65" i="3" a="1"/>
  <c r="BL65" i="3" s="1"/>
  <c r="BL54" i="3" a="1"/>
  <c r="BL54" i="3" s="1"/>
  <c r="BM55" i="3" s="1"/>
  <c r="BM54" i="3" a="1"/>
  <c r="BM54" i="3" s="1"/>
  <c r="BL55" i="3" a="1"/>
  <c r="BL55" i="3" s="1"/>
  <c r="BM42" i="3" a="1"/>
  <c r="BM42" i="3" s="1"/>
  <c r="BL43" i="3" a="1"/>
  <c r="BL43" i="3" s="1"/>
  <c r="BL42" i="3" a="1"/>
  <c r="BL42" i="3" s="1"/>
  <c r="BM43" i="3" s="1"/>
  <c r="BL37" i="3" a="1"/>
  <c r="BL37" i="3" s="1"/>
  <c r="BM36" i="3" a="1"/>
  <c r="BM36" i="3" s="1"/>
  <c r="BL36" i="3" a="1"/>
  <c r="BL36" i="3" s="1"/>
  <c r="BM37" i="3" s="1"/>
  <c r="BL58" i="3" a="1"/>
  <c r="BL58" i="3" s="1"/>
  <c r="BM59" i="3" s="1"/>
  <c r="BL59" i="3" a="1"/>
  <c r="BL59" i="3" s="1"/>
  <c r="BM58" i="3" a="1"/>
  <c r="BM58" i="3" s="1"/>
  <c r="BL70" i="3" a="1"/>
  <c r="BL70" i="3" s="1"/>
  <c r="BM71" i="3" s="1"/>
  <c r="BM70" i="3" a="1"/>
  <c r="BM70" i="3" s="1"/>
  <c r="BL71" i="3" a="1"/>
  <c r="BL71" i="3" s="1"/>
  <c r="BM46" i="3" a="1"/>
  <c r="BM46" i="3" s="1"/>
  <c r="BL47" i="3" a="1"/>
  <c r="BL47" i="3" s="1"/>
  <c r="BL46" i="3" a="1"/>
  <c r="BL46" i="3" s="1"/>
  <c r="BM47" i="3" s="1"/>
  <c r="BL24" i="3" a="1"/>
  <c r="BL24" i="3" s="1"/>
  <c r="BM25" i="3" s="1"/>
  <c r="BM62" i="3" a="1"/>
  <c r="BM62" i="3" s="1"/>
  <c r="BL62" i="3" a="1"/>
  <c r="BL62" i="3" s="1"/>
  <c r="BM63" i="3" s="1"/>
  <c r="BL63" i="3" a="1"/>
  <c r="BL63" i="3" s="1"/>
  <c r="BL51" i="3" a="1"/>
  <c r="BL51" i="3" s="1"/>
  <c r="BM50" i="3" a="1"/>
  <c r="BM50" i="3" s="1"/>
  <c r="BL50" i="3" a="1"/>
  <c r="BL50" i="3" s="1"/>
  <c r="BM51" i="3" s="1"/>
  <c r="BL67" i="3" a="1"/>
  <c r="BL67" i="3" s="1"/>
  <c r="BM66" i="3" a="1"/>
  <c r="BM66" i="3" s="1"/>
  <c r="BL66" i="3" a="1"/>
  <c r="BL66" i="3" s="1"/>
  <c r="BM67" i="3" s="1"/>
  <c r="BM52" i="3" a="1"/>
  <c r="BM52" i="3" s="1"/>
  <c r="BL52" i="3" a="1"/>
  <c r="BL52" i="3" s="1"/>
  <c r="BM53" i="3" s="1"/>
  <c r="BL53" i="3" a="1"/>
  <c r="BL53" i="3" s="1"/>
  <c r="BL56" i="3" a="1"/>
  <c r="BL56" i="3" s="1"/>
  <c r="BM57" i="3" s="1"/>
  <c r="BM56" i="3" a="1"/>
  <c r="BM56" i="3" s="1"/>
  <c r="BL57" i="3" a="1"/>
  <c r="BL57" i="3" s="1"/>
  <c r="BL14" i="3" a="1"/>
  <c r="BL14" i="3" s="1"/>
  <c r="BM15" i="3" s="1"/>
  <c r="BC27" i="3"/>
  <c r="BG21" i="3"/>
  <c r="BE23" i="3"/>
  <c r="BP31" i="3" a="1"/>
  <c r="BP31" i="3" s="1"/>
  <c r="BQ30" i="3" a="1"/>
  <c r="BQ30" i="3" s="1"/>
  <c r="BP30" i="3" a="1"/>
  <c r="BP30" i="3" s="1"/>
  <c r="BQ31" i="3" s="1"/>
  <c r="BP49" i="3" a="1"/>
  <c r="BP49" i="3" s="1"/>
  <c r="BP48" i="3" a="1"/>
  <c r="BP48" i="3" s="1"/>
  <c r="BQ49" i="3" s="1"/>
  <c r="BQ48" i="3" a="1"/>
  <c r="BQ48" i="3" s="1"/>
  <c r="BP39" i="3" a="1"/>
  <c r="BP39" i="3" s="1"/>
  <c r="BP38" i="3" a="1"/>
  <c r="BP38" i="3" s="1"/>
  <c r="BQ39" i="3" s="1"/>
  <c r="BQ38" i="3" a="1"/>
  <c r="BQ38" i="3" s="1"/>
  <c r="BQ32" i="3" a="1"/>
  <c r="BQ32" i="3" s="1"/>
  <c r="BP32" i="3" a="1"/>
  <c r="BP32" i="3" s="1"/>
  <c r="BQ33" i="3" s="1"/>
  <c r="BP33" i="3" a="1"/>
  <c r="BP33" i="3" s="1"/>
  <c r="BP60" i="3" a="1"/>
  <c r="BP60" i="3" s="1"/>
  <c r="BQ61" i="3" s="1"/>
  <c r="BP61" i="3" a="1"/>
  <c r="BP61" i="3" s="1"/>
  <c r="BQ60" i="3" a="1"/>
  <c r="BQ60" i="3" s="1"/>
  <c r="BP68" i="3" a="1"/>
  <c r="BP68" i="3" s="1"/>
  <c r="BQ69" i="3" s="1"/>
  <c r="BP69" i="3" a="1"/>
  <c r="BP69" i="3" s="1"/>
  <c r="BQ68" i="3" a="1"/>
  <c r="BQ68" i="3" s="1"/>
  <c r="BQ34" i="3" a="1"/>
  <c r="BQ34" i="3" s="1"/>
  <c r="BP34" i="3" a="1"/>
  <c r="BP34" i="3" s="1"/>
  <c r="BQ35" i="3" s="1"/>
  <c r="BP35" i="3" a="1"/>
  <c r="BP35" i="3" s="1"/>
  <c r="BD19" i="3"/>
  <c r="BE18" i="3"/>
  <c r="BG20" i="3"/>
  <c r="BB17" i="3"/>
  <c r="BC26" i="3"/>
  <c r="BB27" i="3"/>
  <c r="BD23" i="3"/>
  <c r="BC16" i="3"/>
  <c r="BF21" i="3"/>
  <c r="BE22" i="3"/>
  <c r="BH12" i="3" a="1"/>
  <c r="BH12" i="3" s="1"/>
  <c r="BI13" i="3" s="1"/>
  <c r="BP29" i="3" a="1"/>
  <c r="BQ28" i="3" a="1"/>
  <c r="BO24" i="3" a="1"/>
  <c r="BN25" i="3" a="1"/>
  <c r="BN15" i="3" a="1"/>
  <c r="BO14" i="3" a="1"/>
  <c r="BI12" i="3" a="1"/>
  <c r="BH13" i="3" a="1"/>
  <c r="BN40" i="3" l="1" a="1"/>
  <c r="BN40" i="3" s="1"/>
  <c r="BO41" i="3" s="1"/>
  <c r="BO40" i="3" a="1"/>
  <c r="BO40" i="3" s="1"/>
  <c r="BN41" i="3" a="1"/>
  <c r="BN41" i="3" s="1"/>
  <c r="BO14" i="3"/>
  <c r="BN15" i="3"/>
  <c r="BN25" i="3"/>
  <c r="BO24" i="3"/>
  <c r="BQ28" i="3"/>
  <c r="BR28" i="3" s="1" a="1"/>
  <c r="BR28" i="3" s="1"/>
  <c r="BS29" i="3" s="1"/>
  <c r="BP29" i="3"/>
  <c r="BO44" i="3" a="1"/>
  <c r="BO44" i="3" s="1"/>
  <c r="BN45" i="3" a="1"/>
  <c r="BN45" i="3" s="1"/>
  <c r="BN44" i="3" a="1"/>
  <c r="BN44" i="3" s="1"/>
  <c r="BO45" i="3" s="1"/>
  <c r="BO54" i="3" a="1"/>
  <c r="BO54" i="3" s="1"/>
  <c r="BN55" i="3" a="1"/>
  <c r="BN55" i="3" s="1"/>
  <c r="BN54" i="3" a="1"/>
  <c r="BN54" i="3" s="1"/>
  <c r="BO55" i="3" s="1"/>
  <c r="BO56" i="3" a="1"/>
  <c r="BO56" i="3" s="1"/>
  <c r="BN56" i="3" a="1"/>
  <c r="BN56" i="3" s="1"/>
  <c r="BO57" i="3" s="1"/>
  <c r="BN57" i="3" a="1"/>
  <c r="BN57" i="3" s="1"/>
  <c r="BN14" i="3" a="1"/>
  <c r="BN14" i="3" s="1"/>
  <c r="BO15" i="3" s="1"/>
  <c r="BN63" i="3" a="1"/>
  <c r="BN63" i="3" s="1"/>
  <c r="BO62" i="3" a="1"/>
  <c r="BO62" i="3" s="1"/>
  <c r="BN62" i="3" a="1"/>
  <c r="BN62" i="3" s="1"/>
  <c r="BO63" i="3" s="1"/>
  <c r="BN51" i="3" a="1"/>
  <c r="BN51" i="3" s="1"/>
  <c r="BO50" i="3" a="1"/>
  <c r="BO50" i="3" s="1"/>
  <c r="BN50" i="3" a="1"/>
  <c r="BN50" i="3" s="1"/>
  <c r="BO51" i="3" s="1"/>
  <c r="BO46" i="3" a="1"/>
  <c r="BO46" i="3" s="1"/>
  <c r="BN47" i="3" a="1"/>
  <c r="BN47" i="3" s="1"/>
  <c r="BN46" i="3" a="1"/>
  <c r="BN46" i="3" s="1"/>
  <c r="BO47" i="3" s="1"/>
  <c r="BN36" i="3" a="1"/>
  <c r="BN36" i="3" s="1"/>
  <c r="BO37" i="3" s="1"/>
  <c r="BO36" i="3" a="1"/>
  <c r="BO36" i="3" s="1"/>
  <c r="BN37" i="3" a="1"/>
  <c r="BN37" i="3" s="1"/>
  <c r="BN24" i="3" a="1"/>
  <c r="BN24" i="3" s="1"/>
  <c r="BO25" i="3" s="1"/>
  <c r="BO58" i="3" a="1"/>
  <c r="BO58" i="3" s="1"/>
  <c r="BN59" i="3" a="1"/>
  <c r="BN59" i="3" s="1"/>
  <c r="BN58" i="3" a="1"/>
  <c r="BN58" i="3" s="1"/>
  <c r="BO59" i="3" s="1"/>
  <c r="BO42" i="3" a="1"/>
  <c r="BO42" i="3" s="1"/>
  <c r="BN42" i="3" a="1"/>
  <c r="BN42" i="3" s="1"/>
  <c r="BO43" i="3" s="1"/>
  <c r="BN43" i="3" a="1"/>
  <c r="BN43" i="3" s="1"/>
  <c r="BN67" i="3" a="1"/>
  <c r="BN67" i="3" s="1"/>
  <c r="BN66" i="3" a="1"/>
  <c r="BN66" i="3" s="1"/>
  <c r="BO67" i="3" s="1"/>
  <c r="BO66" i="3" a="1"/>
  <c r="BO66" i="3" s="1"/>
  <c r="BO70" i="3" a="1"/>
  <c r="BO70" i="3" s="1"/>
  <c r="BN70" i="3" a="1"/>
  <c r="BN70" i="3" s="1"/>
  <c r="BO71" i="3" s="1"/>
  <c r="BN71" i="3" a="1"/>
  <c r="BN71" i="3" s="1"/>
  <c r="BO64" i="3" a="1"/>
  <c r="BO64" i="3" s="1"/>
  <c r="BN64" i="3" a="1"/>
  <c r="BN64" i="3" s="1"/>
  <c r="BO65" i="3" s="1"/>
  <c r="BN65" i="3" a="1"/>
  <c r="BN65" i="3" s="1"/>
  <c r="BN53" i="3" a="1"/>
  <c r="BN53" i="3" s="1"/>
  <c r="BN52" i="3" a="1"/>
  <c r="BN52" i="3" s="1"/>
  <c r="BO53" i="3" s="1"/>
  <c r="BO52" i="3" a="1"/>
  <c r="BO52" i="3" s="1"/>
  <c r="BR49" i="3" a="1"/>
  <c r="BR49" i="3" s="1"/>
  <c r="BR48" i="3" a="1"/>
  <c r="BR48" i="3" s="1"/>
  <c r="BS49" i="3" s="1"/>
  <c r="BS48" i="3" a="1"/>
  <c r="BS48" i="3" s="1"/>
  <c r="BS68" i="3" a="1"/>
  <c r="BS68" i="3" s="1"/>
  <c r="BR69" i="3" a="1"/>
  <c r="BR69" i="3" s="1"/>
  <c r="BR68" i="3" a="1"/>
  <c r="BR68" i="3" s="1"/>
  <c r="BS69" i="3" s="1"/>
  <c r="BR39" i="3" a="1"/>
  <c r="BR39" i="3" s="1"/>
  <c r="BS38" i="3" a="1"/>
  <c r="BS38" i="3" s="1"/>
  <c r="BR38" i="3" a="1"/>
  <c r="BR38" i="3" s="1"/>
  <c r="BS39" i="3" s="1"/>
  <c r="BR33" i="3" a="1"/>
  <c r="BR33" i="3" s="1"/>
  <c r="BR32" i="3" a="1"/>
  <c r="BR32" i="3" s="1"/>
  <c r="BS33" i="3" s="1"/>
  <c r="BS32" i="3" a="1"/>
  <c r="BS32" i="3" s="1"/>
  <c r="BS30" i="3" a="1"/>
  <c r="BS30" i="3" s="1"/>
  <c r="BR31" i="3" a="1"/>
  <c r="BR31" i="3" s="1"/>
  <c r="BR30" i="3" a="1"/>
  <c r="BR30" i="3" s="1"/>
  <c r="BS31" i="3" s="1"/>
  <c r="BR35" i="3" a="1"/>
  <c r="BR35" i="3" s="1"/>
  <c r="BS34" i="3" a="1"/>
  <c r="BS34" i="3" s="1"/>
  <c r="BR34" i="3" a="1"/>
  <c r="BR34" i="3" s="1"/>
  <c r="BS35" i="3" s="1"/>
  <c r="BR60" i="3" a="1"/>
  <c r="BR60" i="3" s="1"/>
  <c r="BS61" i="3" s="1"/>
  <c r="BR61" i="3" a="1"/>
  <c r="BR61" i="3" s="1"/>
  <c r="BS60" i="3" a="1"/>
  <c r="BS60" i="3" s="1"/>
  <c r="BH13" i="3"/>
  <c r="BI12" i="3"/>
  <c r="BF22" i="3" a="1"/>
  <c r="BF22" i="3" s="1"/>
  <c r="BF18" i="3" a="1"/>
  <c r="BF18" i="3" s="1"/>
  <c r="BG19" i="3" s="1"/>
  <c r="BD26" i="3" a="1"/>
  <c r="BD26" i="3" s="1"/>
  <c r="BH20" i="3" a="1"/>
  <c r="BH20" i="3" s="1"/>
  <c r="BD16" i="3" a="1"/>
  <c r="BD16" i="3" s="1"/>
  <c r="BE17" i="3" s="1"/>
  <c r="BP15" i="3" a="1"/>
  <c r="BQ14" i="3" a="1"/>
  <c r="BQ24" i="3" a="1"/>
  <c r="BP25" i="3" a="1"/>
  <c r="BS28" i="3" a="1"/>
  <c r="BR29" i="3" a="1"/>
  <c r="BH21" i="3" a="1"/>
  <c r="BE16" i="3" a="1"/>
  <c r="BG22" i="3" a="1"/>
  <c r="BD27" i="3" a="1"/>
  <c r="BF23" i="3" a="1"/>
  <c r="BD17" i="3" a="1"/>
  <c r="BE26" i="3" a="1"/>
  <c r="BF19" i="3" a="1"/>
  <c r="BG18" i="3" a="1"/>
  <c r="BI20" i="3" a="1"/>
  <c r="BQ40" i="3" l="1" a="1"/>
  <c r="BQ40" i="3" s="1"/>
  <c r="BP41" i="3" a="1"/>
  <c r="BP41" i="3" s="1"/>
  <c r="BP40" i="3" a="1"/>
  <c r="BP40" i="3" s="1"/>
  <c r="BQ41" i="3" s="1"/>
  <c r="BR29" i="3"/>
  <c r="BS28" i="3"/>
  <c r="BT28" i="3" s="1" a="1"/>
  <c r="BT28" i="3" s="1"/>
  <c r="BU29" i="3" s="1"/>
  <c r="BP25" i="3"/>
  <c r="BQ24" i="3"/>
  <c r="BQ14" i="3"/>
  <c r="BP15" i="3"/>
  <c r="BP52" i="3" a="1"/>
  <c r="BP52" i="3" s="1"/>
  <c r="BQ53" i="3" s="1"/>
  <c r="BP53" i="3" a="1"/>
  <c r="BP53" i="3" s="1"/>
  <c r="BQ52" i="3" a="1"/>
  <c r="BQ52" i="3" s="1"/>
  <c r="BP70" i="3" a="1"/>
  <c r="BP70" i="3" s="1"/>
  <c r="BQ71" i="3" s="1"/>
  <c r="BQ70" i="3" a="1"/>
  <c r="BQ70" i="3" s="1"/>
  <c r="BP71" i="3" a="1"/>
  <c r="BP71" i="3" s="1"/>
  <c r="BP46" i="3" a="1"/>
  <c r="BP46" i="3" s="1"/>
  <c r="BQ47" i="3" s="1"/>
  <c r="BP47" i="3" a="1"/>
  <c r="BP47" i="3" s="1"/>
  <c r="BQ46" i="3" a="1"/>
  <c r="BQ46" i="3" s="1"/>
  <c r="BQ44" i="3" a="1"/>
  <c r="BQ44" i="3" s="1"/>
  <c r="BP44" i="3" a="1"/>
  <c r="BP44" i="3" s="1"/>
  <c r="BQ45" i="3" s="1"/>
  <c r="BP45" i="3" a="1"/>
  <c r="BP45" i="3" s="1"/>
  <c r="BP51" i="3" a="1"/>
  <c r="BP51" i="3" s="1"/>
  <c r="BP50" i="3" a="1"/>
  <c r="BP50" i="3" s="1"/>
  <c r="BQ51" i="3" s="1"/>
  <c r="BQ50" i="3" a="1"/>
  <c r="BQ50" i="3" s="1"/>
  <c r="BP57" i="3" a="1"/>
  <c r="BP57" i="3" s="1"/>
  <c r="BP56" i="3" a="1"/>
  <c r="BP56" i="3" s="1"/>
  <c r="BQ57" i="3" s="1"/>
  <c r="BQ56" i="3" a="1"/>
  <c r="BQ56" i="3" s="1"/>
  <c r="BP24" i="3" a="1"/>
  <c r="BP24" i="3" s="1"/>
  <c r="BQ25" i="3" s="1"/>
  <c r="BP37" i="3" a="1"/>
  <c r="BP37" i="3" s="1"/>
  <c r="BQ36" i="3" a="1"/>
  <c r="BQ36" i="3" s="1"/>
  <c r="BP36" i="3" a="1"/>
  <c r="BP36" i="3" s="1"/>
  <c r="BQ37" i="3" s="1"/>
  <c r="BP65" i="3" a="1"/>
  <c r="BP65" i="3" s="1"/>
  <c r="BQ64" i="3" a="1"/>
  <c r="BQ64" i="3" s="1"/>
  <c r="BP64" i="3" a="1"/>
  <c r="BP64" i="3" s="1"/>
  <c r="BQ65" i="3" s="1"/>
  <c r="BP63" i="3" a="1"/>
  <c r="BP63" i="3" s="1"/>
  <c r="BP62" i="3" a="1"/>
  <c r="BP62" i="3" s="1"/>
  <c r="BQ63" i="3" s="1"/>
  <c r="BQ62" i="3" a="1"/>
  <c r="BQ62" i="3" s="1"/>
  <c r="BP54" i="3" a="1"/>
  <c r="BP54" i="3" s="1"/>
  <c r="BQ55" i="3" s="1"/>
  <c r="BQ54" i="3" a="1"/>
  <c r="BQ54" i="3" s="1"/>
  <c r="BP55" i="3" a="1"/>
  <c r="BP55" i="3" s="1"/>
  <c r="BP67" i="3" a="1"/>
  <c r="BP67" i="3" s="1"/>
  <c r="BP66" i="3" a="1"/>
  <c r="BP66" i="3" s="1"/>
  <c r="BQ67" i="3" s="1"/>
  <c r="BQ66" i="3" a="1"/>
  <c r="BQ66" i="3" s="1"/>
  <c r="BP58" i="3" a="1"/>
  <c r="BP58" i="3" s="1"/>
  <c r="BQ59" i="3" s="1"/>
  <c r="BQ58" i="3" a="1"/>
  <c r="BQ58" i="3" s="1"/>
  <c r="BP59" i="3" a="1"/>
  <c r="BP59" i="3" s="1"/>
  <c r="BP42" i="3" a="1"/>
  <c r="BP42" i="3" s="1"/>
  <c r="BQ43" i="3" s="1"/>
  <c r="BP43" i="3" a="1"/>
  <c r="BP43" i="3" s="1"/>
  <c r="BQ42" i="3" a="1"/>
  <c r="BQ42" i="3" s="1"/>
  <c r="BP14" i="3" a="1"/>
  <c r="BP14" i="3" s="1"/>
  <c r="BQ15" i="3" s="1"/>
  <c r="BI21" i="3"/>
  <c r="BE27" i="3"/>
  <c r="BG23" i="3"/>
  <c r="BT34" i="3" a="1"/>
  <c r="BT34" i="3" s="1"/>
  <c r="BU35" i="3" s="1"/>
  <c r="BU34" i="3" a="1"/>
  <c r="BU34" i="3" s="1"/>
  <c r="BT35" i="3" a="1"/>
  <c r="BT35" i="3" s="1"/>
  <c r="BT49" i="3" a="1"/>
  <c r="BT49" i="3" s="1"/>
  <c r="BU48" i="3" a="1"/>
  <c r="BU48" i="3" s="1"/>
  <c r="BT48" i="3" a="1"/>
  <c r="BT48" i="3" s="1"/>
  <c r="BU49" i="3" s="1"/>
  <c r="BT38" i="3" a="1"/>
  <c r="BT38" i="3" s="1"/>
  <c r="BU39" i="3" s="1"/>
  <c r="BT39" i="3" a="1"/>
  <c r="BT39" i="3" s="1"/>
  <c r="BU38" i="3" a="1"/>
  <c r="BU38" i="3" s="1"/>
  <c r="BT31" i="3" a="1"/>
  <c r="BT31" i="3" s="1"/>
  <c r="BT30" i="3" a="1"/>
  <c r="BT30" i="3" s="1"/>
  <c r="BU31" i="3" s="1"/>
  <c r="BU30" i="3" a="1"/>
  <c r="BU30" i="3" s="1"/>
  <c r="BT69" i="3" a="1"/>
  <c r="BT69" i="3" s="1"/>
  <c r="BU68" i="3" a="1"/>
  <c r="BU68" i="3" s="1"/>
  <c r="BT68" i="3" a="1"/>
  <c r="BT68" i="3" s="1"/>
  <c r="BU69" i="3" s="1"/>
  <c r="BT33" i="3" a="1"/>
  <c r="BT33" i="3" s="1"/>
  <c r="BT32" i="3" a="1"/>
  <c r="BT32" i="3" s="1"/>
  <c r="BU33" i="3" s="1"/>
  <c r="BU32" i="3" a="1"/>
  <c r="BU32" i="3" s="1"/>
  <c r="BT61" i="3" a="1"/>
  <c r="BT61" i="3" s="1"/>
  <c r="BT60" i="3" a="1"/>
  <c r="BT60" i="3" s="1"/>
  <c r="BU61" i="3" s="1"/>
  <c r="BU60" i="3" a="1"/>
  <c r="BU60" i="3" s="1"/>
  <c r="BI20" i="3"/>
  <c r="BG18" i="3"/>
  <c r="BF19" i="3"/>
  <c r="BE26" i="3"/>
  <c r="BD17" i="3"/>
  <c r="BF23" i="3"/>
  <c r="BD27" i="3"/>
  <c r="BG22" i="3"/>
  <c r="BE16" i="3"/>
  <c r="BH21" i="3"/>
  <c r="BJ12" i="3" a="1"/>
  <c r="BJ12" i="3" s="1"/>
  <c r="BK13" i="3" s="1"/>
  <c r="BU28" i="3" a="1"/>
  <c r="BT29" i="3" a="1"/>
  <c r="BR25" i="3" a="1"/>
  <c r="BS24" i="3" a="1"/>
  <c r="BS14" i="3" a="1"/>
  <c r="BR15" i="3" a="1"/>
  <c r="BJ13" i="3" a="1"/>
  <c r="BK12" i="3" a="1"/>
  <c r="BR41" i="3" l="1" a="1"/>
  <c r="BR41" i="3" s="1"/>
  <c r="BR40" i="3" a="1"/>
  <c r="BR40" i="3" s="1"/>
  <c r="BS41" i="3" s="1"/>
  <c r="BS40" i="3" a="1"/>
  <c r="BS40" i="3" s="1"/>
  <c r="BR15" i="3"/>
  <c r="BS14" i="3"/>
  <c r="BS24" i="3"/>
  <c r="BR25" i="3"/>
  <c r="BT29" i="3"/>
  <c r="BU28" i="3"/>
  <c r="BV28" i="3" s="1" a="1"/>
  <c r="BV28" i="3" s="1"/>
  <c r="BW29" i="3" s="1"/>
  <c r="BS46" i="3" a="1"/>
  <c r="BS46" i="3" s="1"/>
  <c r="BR47" i="3" a="1"/>
  <c r="BR47" i="3" s="1"/>
  <c r="BR46" i="3" a="1"/>
  <c r="BR46" i="3" s="1"/>
  <c r="BS47" i="3" s="1"/>
  <c r="BS66" i="3" a="1"/>
  <c r="BS66" i="3" s="1"/>
  <c r="BR66" i="3" a="1"/>
  <c r="BR66" i="3" s="1"/>
  <c r="BS67" i="3" s="1"/>
  <c r="BR67" i="3" a="1"/>
  <c r="BR67" i="3" s="1"/>
  <c r="BR44" i="3" a="1"/>
  <c r="BR44" i="3" s="1"/>
  <c r="BS45" i="3" s="1"/>
  <c r="BS44" i="3" a="1"/>
  <c r="BS44" i="3" s="1"/>
  <c r="BR45" i="3" a="1"/>
  <c r="BR45" i="3" s="1"/>
  <c r="BR43" i="3" a="1"/>
  <c r="BR43" i="3" s="1"/>
  <c r="BS42" i="3" a="1"/>
  <c r="BS42" i="3" s="1"/>
  <c r="BR42" i="3" a="1"/>
  <c r="BR42" i="3" s="1"/>
  <c r="BS43" i="3" s="1"/>
  <c r="BS64" i="3" a="1"/>
  <c r="BS64" i="3" s="1"/>
  <c r="BR64" i="3" a="1"/>
  <c r="BR64" i="3" s="1"/>
  <c r="BS65" i="3" s="1"/>
  <c r="BR65" i="3" a="1"/>
  <c r="BR65" i="3" s="1"/>
  <c r="BR51" i="3" a="1"/>
  <c r="BR51" i="3" s="1"/>
  <c r="BS50" i="3" a="1"/>
  <c r="BS50" i="3" s="1"/>
  <c r="BR50" i="3" a="1"/>
  <c r="BR50" i="3" s="1"/>
  <c r="BS51" i="3" s="1"/>
  <c r="BR14" i="3" a="1"/>
  <c r="BR14" i="3" s="1"/>
  <c r="BS15" i="3" s="1"/>
  <c r="BR56" i="3" a="1"/>
  <c r="BR56" i="3" s="1"/>
  <c r="BS57" i="3" s="1"/>
  <c r="BS56" i="3" a="1"/>
  <c r="BS56" i="3" s="1"/>
  <c r="BR57" i="3" a="1"/>
  <c r="BR57" i="3" s="1"/>
  <c r="BS54" i="3" a="1"/>
  <c r="BS54" i="3" s="1"/>
  <c r="BR54" i="3" a="1"/>
  <c r="BR54" i="3" s="1"/>
  <c r="BS55" i="3" s="1"/>
  <c r="BR55" i="3" a="1"/>
  <c r="BR55" i="3" s="1"/>
  <c r="BR24" i="3" a="1"/>
  <c r="BR24" i="3" s="1"/>
  <c r="BS25" i="3" s="1"/>
  <c r="BS36" i="3" a="1"/>
  <c r="BS36" i="3" s="1"/>
  <c r="BR37" i="3" a="1"/>
  <c r="BR37" i="3" s="1"/>
  <c r="BR36" i="3" a="1"/>
  <c r="BR36" i="3" s="1"/>
  <c r="BS37" i="3" s="1"/>
  <c r="BR70" i="3" a="1"/>
  <c r="BR70" i="3" s="1"/>
  <c r="BS71" i="3" s="1"/>
  <c r="BR71" i="3" a="1"/>
  <c r="BR71" i="3" s="1"/>
  <c r="BS70" i="3" a="1"/>
  <c r="BS70" i="3" s="1"/>
  <c r="BR59" i="3" a="1"/>
  <c r="BR59" i="3" s="1"/>
  <c r="BR58" i="3" a="1"/>
  <c r="BR58" i="3" s="1"/>
  <c r="BS59" i="3" s="1"/>
  <c r="BS58" i="3" a="1"/>
  <c r="BS58" i="3" s="1"/>
  <c r="BS62" i="3" a="1"/>
  <c r="BS62" i="3" s="1"/>
  <c r="BR62" i="3" a="1"/>
  <c r="BR62" i="3" s="1"/>
  <c r="BS63" i="3" s="1"/>
  <c r="BR63" i="3" a="1"/>
  <c r="BR63" i="3" s="1"/>
  <c r="BR53" i="3" a="1"/>
  <c r="BR53" i="3" s="1"/>
  <c r="BR52" i="3" a="1"/>
  <c r="BR52" i="3" s="1"/>
  <c r="BS53" i="3" s="1"/>
  <c r="BS52" i="3" a="1"/>
  <c r="BS52" i="3" s="1"/>
  <c r="BV60" i="3" a="1"/>
  <c r="BV60" i="3" s="1"/>
  <c r="BW61" i="3" s="1"/>
  <c r="BW60" i="3" a="1"/>
  <c r="BW60" i="3" s="1"/>
  <c r="BV61" i="3" a="1"/>
  <c r="BV61" i="3" s="1"/>
  <c r="BW32" i="3" a="1"/>
  <c r="BW32" i="3" s="1"/>
  <c r="BV32" i="3" a="1"/>
  <c r="BV32" i="3" s="1"/>
  <c r="BW33" i="3" s="1"/>
  <c r="BV33" i="3" a="1"/>
  <c r="BV33" i="3" s="1"/>
  <c r="BV48" i="3" a="1"/>
  <c r="BV48" i="3" s="1"/>
  <c r="BW49" i="3" s="1"/>
  <c r="BW48" i="3" a="1"/>
  <c r="BW48" i="3" s="1"/>
  <c r="BV49" i="3" a="1"/>
  <c r="BV49" i="3" s="1"/>
  <c r="BV30" i="3" a="1"/>
  <c r="BV30" i="3" s="1"/>
  <c r="BW31" i="3" s="1"/>
  <c r="BV31" i="3" a="1"/>
  <c r="BV31" i="3" s="1"/>
  <c r="BW30" i="3" a="1"/>
  <c r="BW30" i="3" s="1"/>
  <c r="BV68" i="3" a="1"/>
  <c r="BV68" i="3" s="1"/>
  <c r="BW69" i="3" s="1"/>
  <c r="BW68" i="3" a="1"/>
  <c r="BW68" i="3" s="1"/>
  <c r="BV69" i="3" a="1"/>
  <c r="BV69" i="3" s="1"/>
  <c r="BW38" i="3" a="1"/>
  <c r="BW38" i="3" s="1"/>
  <c r="BV39" i="3" a="1"/>
  <c r="BV39" i="3" s="1"/>
  <c r="BV38" i="3" a="1"/>
  <c r="BV38" i="3" s="1"/>
  <c r="BW39" i="3" s="1"/>
  <c r="BV35" i="3" a="1"/>
  <c r="BV35" i="3" s="1"/>
  <c r="BW34" i="3" a="1"/>
  <c r="BW34" i="3" s="1"/>
  <c r="BV34" i="3" a="1"/>
  <c r="BV34" i="3" s="1"/>
  <c r="BW35" i="3" s="1"/>
  <c r="BK12" i="3"/>
  <c r="BJ13" i="3"/>
  <c r="BF26" i="3" a="1"/>
  <c r="BF26" i="3" s="1"/>
  <c r="BF16" i="3" a="1"/>
  <c r="BF16" i="3" s="1"/>
  <c r="BG17" i="3" s="1"/>
  <c r="BH22" i="3" a="1"/>
  <c r="BH22" i="3" s="1"/>
  <c r="BH18" i="3" a="1"/>
  <c r="BH18" i="3" s="1"/>
  <c r="BI19" i="3" s="1"/>
  <c r="BJ20" i="3" a="1"/>
  <c r="BJ20" i="3" s="1"/>
  <c r="BU24" i="3" a="1"/>
  <c r="BT25" i="3" a="1"/>
  <c r="BU14" i="3" a="1"/>
  <c r="BT15" i="3" a="1"/>
  <c r="BW28" i="3" a="1"/>
  <c r="BV29" i="3" a="1"/>
  <c r="BH23" i="3" a="1"/>
  <c r="BG26" i="3" a="1"/>
  <c r="BF27" i="3" a="1"/>
  <c r="BJ21" i="3" a="1"/>
  <c r="BG16" i="3" a="1"/>
  <c r="BK20" i="3" a="1"/>
  <c r="BH19" i="3" a="1"/>
  <c r="BF17" i="3" a="1"/>
  <c r="BI22" i="3" a="1"/>
  <c r="BI18" i="3" a="1"/>
  <c r="BT41" i="3" l="1" a="1"/>
  <c r="BT41" i="3" s="1"/>
  <c r="BT40" i="3" a="1"/>
  <c r="BT40" i="3" s="1"/>
  <c r="BU41" i="3" s="1"/>
  <c r="BU40" i="3" a="1"/>
  <c r="BU40" i="3" s="1"/>
  <c r="BV29" i="3"/>
  <c r="BW28" i="3"/>
  <c r="BX28" i="3" s="1" a="1"/>
  <c r="BX28" i="3" s="1"/>
  <c r="BY29" i="3" s="1"/>
  <c r="BT15" i="3"/>
  <c r="BU14" i="3"/>
  <c r="BT25" i="3"/>
  <c r="BU24" i="3"/>
  <c r="BT53" i="3" a="1"/>
  <c r="BT53" i="3" s="1"/>
  <c r="BU52" i="3" a="1"/>
  <c r="BU52" i="3" s="1"/>
  <c r="BT52" i="3" a="1"/>
  <c r="BT52" i="3" s="1"/>
  <c r="BU53" i="3" s="1"/>
  <c r="BT50" i="3" a="1"/>
  <c r="BT50" i="3" s="1"/>
  <c r="BU51" i="3" s="1"/>
  <c r="BT51" i="3" a="1"/>
  <c r="BT51" i="3" s="1"/>
  <c r="BU50" i="3" a="1"/>
  <c r="BU50" i="3" s="1"/>
  <c r="BU46" i="3" a="1"/>
  <c r="BU46" i="3" s="1"/>
  <c r="BT47" i="3" a="1"/>
  <c r="BT47" i="3" s="1"/>
  <c r="BT46" i="3" a="1"/>
  <c r="BT46" i="3" s="1"/>
  <c r="BU47" i="3" s="1"/>
  <c r="BT70" i="3" a="1"/>
  <c r="BT70" i="3" s="1"/>
  <c r="BU71" i="3" s="1"/>
  <c r="BT71" i="3" a="1"/>
  <c r="BT71" i="3" s="1"/>
  <c r="BU70" i="3" a="1"/>
  <c r="BU70" i="3" s="1"/>
  <c r="BU44" i="3" a="1"/>
  <c r="BU44" i="3" s="1"/>
  <c r="BT45" i="3" a="1"/>
  <c r="BT45" i="3" s="1"/>
  <c r="BT44" i="3" a="1"/>
  <c r="BT44" i="3" s="1"/>
  <c r="BU45" i="3" s="1"/>
  <c r="BT62" i="3" a="1"/>
  <c r="BT62" i="3" s="1"/>
  <c r="BU63" i="3" s="1"/>
  <c r="BU62" i="3" a="1"/>
  <c r="BU62" i="3" s="1"/>
  <c r="BT63" i="3" a="1"/>
  <c r="BT63" i="3" s="1"/>
  <c r="BT66" i="3" a="1"/>
  <c r="BT66" i="3" s="1"/>
  <c r="BU67" i="3" s="1"/>
  <c r="BT67" i="3" a="1"/>
  <c r="BT67" i="3" s="1"/>
  <c r="BU66" i="3" a="1"/>
  <c r="BU66" i="3" s="1"/>
  <c r="BT14" i="3" a="1"/>
  <c r="BT14" i="3" s="1"/>
  <c r="BU15" i="3" s="1"/>
  <c r="BU58" i="3" a="1"/>
  <c r="BU58" i="3" s="1"/>
  <c r="BT59" i="3" a="1"/>
  <c r="BT59" i="3" s="1"/>
  <c r="BT58" i="3" a="1"/>
  <c r="BT58" i="3" s="1"/>
  <c r="BU59" i="3" s="1"/>
  <c r="BT36" i="3" a="1"/>
  <c r="BT36" i="3" s="1"/>
  <c r="BU37" i="3" s="1"/>
  <c r="BU36" i="3" a="1"/>
  <c r="BU36" i="3" s="1"/>
  <c r="BT37" i="3" a="1"/>
  <c r="BT37" i="3" s="1"/>
  <c r="BU54" i="3" a="1"/>
  <c r="BU54" i="3" s="1"/>
  <c r="BT54" i="3" a="1"/>
  <c r="BT54" i="3" s="1"/>
  <c r="BU55" i="3" s="1"/>
  <c r="BT55" i="3" a="1"/>
  <c r="BT55" i="3" s="1"/>
  <c r="BU56" i="3" a="1"/>
  <c r="BU56" i="3" s="1"/>
  <c r="BT56" i="3" a="1"/>
  <c r="BT56" i="3" s="1"/>
  <c r="BU57" i="3" s="1"/>
  <c r="BT57" i="3" a="1"/>
  <c r="BT57" i="3" s="1"/>
  <c r="BT65" i="3" a="1"/>
  <c r="BT65" i="3" s="1"/>
  <c r="BU64" i="3" a="1"/>
  <c r="BU64" i="3" s="1"/>
  <c r="BT64" i="3" a="1"/>
  <c r="BT64" i="3" s="1"/>
  <c r="BU65" i="3" s="1"/>
  <c r="BT24" i="3" a="1"/>
  <c r="BT24" i="3" s="1"/>
  <c r="BU25" i="3" s="1"/>
  <c r="BU42" i="3" a="1"/>
  <c r="BU42" i="3" s="1"/>
  <c r="BT43" i="3" a="1"/>
  <c r="BT43" i="3" s="1"/>
  <c r="BT42" i="3" a="1"/>
  <c r="BT42" i="3" s="1"/>
  <c r="BU43" i="3" s="1"/>
  <c r="BG27" i="3"/>
  <c r="BK21" i="3"/>
  <c r="BI23" i="3"/>
  <c r="BX68" i="3" a="1"/>
  <c r="BX68" i="3" s="1"/>
  <c r="BY69" i="3" s="1"/>
  <c r="BY68" i="3" a="1"/>
  <c r="BY68" i="3" s="1"/>
  <c r="BX69" i="3" a="1"/>
  <c r="BX69" i="3" s="1"/>
  <c r="BY38" i="3" a="1"/>
  <c r="BY38" i="3" s="1"/>
  <c r="BX39" i="3" a="1"/>
  <c r="BX39" i="3" s="1"/>
  <c r="BX38" i="3" a="1"/>
  <c r="BX38" i="3" s="1"/>
  <c r="BY39" i="3" s="1"/>
  <c r="BY34" i="3" a="1"/>
  <c r="BY34" i="3" s="1"/>
  <c r="BX34" i="3" a="1"/>
  <c r="BX34" i="3" s="1"/>
  <c r="BY35" i="3" s="1"/>
  <c r="BX35" i="3" a="1"/>
  <c r="BX35" i="3" s="1"/>
  <c r="BX30" i="3" a="1"/>
  <c r="BX30" i="3" s="1"/>
  <c r="BY31" i="3" s="1"/>
  <c r="BX31" i="3" a="1"/>
  <c r="BX31" i="3" s="1"/>
  <c r="BY30" i="3" a="1"/>
  <c r="BY30" i="3" s="1"/>
  <c r="BX60" i="3" a="1"/>
  <c r="BX60" i="3" s="1"/>
  <c r="BY61" i="3" s="1"/>
  <c r="BY60" i="3" a="1"/>
  <c r="BY60" i="3" s="1"/>
  <c r="BX61" i="3" a="1"/>
  <c r="BX61" i="3" s="1"/>
  <c r="BY48" i="3" a="1"/>
  <c r="BY48" i="3" s="1"/>
  <c r="BX48" i="3" a="1"/>
  <c r="BX48" i="3" s="1"/>
  <c r="BY49" i="3" s="1"/>
  <c r="BX49" i="3" a="1"/>
  <c r="BX49" i="3" s="1"/>
  <c r="BX33" i="3" a="1"/>
  <c r="BX33" i="3" s="1"/>
  <c r="BY32" i="3" a="1"/>
  <c r="BY32" i="3" s="1"/>
  <c r="BX32" i="3" a="1"/>
  <c r="BX32" i="3" s="1"/>
  <c r="BY33" i="3" s="1"/>
  <c r="BI18" i="3"/>
  <c r="BI22" i="3"/>
  <c r="BF17" i="3"/>
  <c r="BH19" i="3"/>
  <c r="BK20" i="3"/>
  <c r="BG16" i="3"/>
  <c r="BJ21" i="3"/>
  <c r="BF27" i="3"/>
  <c r="BG26" i="3"/>
  <c r="BH23" i="3"/>
  <c r="BL12" i="3" a="1"/>
  <c r="BL12" i="3" s="1"/>
  <c r="BM13" i="3" s="1"/>
  <c r="BY28" i="3" a="1"/>
  <c r="BX29" i="3" a="1"/>
  <c r="BW14" i="3" a="1"/>
  <c r="BV15" i="3" a="1"/>
  <c r="BV25" i="3" a="1"/>
  <c r="BW24" i="3" a="1"/>
  <c r="BM12" i="3" a="1"/>
  <c r="BL13" i="3" a="1"/>
  <c r="BV41" i="3" l="1" a="1"/>
  <c r="BV41" i="3" s="1"/>
  <c r="BV40" i="3" a="1"/>
  <c r="BV40" i="3" s="1"/>
  <c r="BW41" i="3" s="1"/>
  <c r="BW40" i="3" a="1"/>
  <c r="BW40" i="3" s="1"/>
  <c r="BW24" i="3"/>
  <c r="BV25" i="3"/>
  <c r="BV15" i="3"/>
  <c r="BW14" i="3"/>
  <c r="BX14" i="3" s="1" a="1"/>
  <c r="BX14" i="3" s="1"/>
  <c r="BX29" i="3"/>
  <c r="BY28" i="3"/>
  <c r="BV52" i="3" a="1"/>
  <c r="BV52" i="3" s="1"/>
  <c r="BW53" i="3" s="1"/>
  <c r="BV53" i="3" a="1"/>
  <c r="BV53" i="3" s="1"/>
  <c r="BW52" i="3" a="1"/>
  <c r="BW52" i="3" s="1"/>
  <c r="BV63" i="3" a="1"/>
  <c r="BV63" i="3" s="1"/>
  <c r="BV62" i="3" a="1"/>
  <c r="BV62" i="3" s="1"/>
  <c r="BW63" i="3" s="1"/>
  <c r="BW62" i="3" a="1"/>
  <c r="BW62" i="3" s="1"/>
  <c r="BV56" i="3" a="1"/>
  <c r="BV56" i="3" s="1"/>
  <c r="BW57" i="3" s="1"/>
  <c r="BV57" i="3" a="1"/>
  <c r="BV57" i="3" s="1"/>
  <c r="BW56" i="3" a="1"/>
  <c r="BW56" i="3" s="1"/>
  <c r="BV24" i="3" a="1"/>
  <c r="BV24" i="3" s="1"/>
  <c r="BW25" i="3" s="1"/>
  <c r="BV43" i="3" a="1"/>
  <c r="BV43" i="3" s="1"/>
  <c r="BW42" i="3" a="1"/>
  <c r="BW42" i="3" s="1"/>
  <c r="BV42" i="3" a="1"/>
  <c r="BV42" i="3" s="1"/>
  <c r="BW43" i="3" s="1"/>
  <c r="BV58" i="3" a="1"/>
  <c r="BV58" i="3" s="1"/>
  <c r="BW59" i="3" s="1"/>
  <c r="BV59" i="3" a="1"/>
  <c r="BV59" i="3" s="1"/>
  <c r="BW58" i="3" a="1"/>
  <c r="BW58" i="3" s="1"/>
  <c r="BV46" i="3" a="1"/>
  <c r="BV46" i="3" s="1"/>
  <c r="BW47" i="3" s="1"/>
  <c r="BV47" i="3" a="1"/>
  <c r="BV47" i="3" s="1"/>
  <c r="BW46" i="3" a="1"/>
  <c r="BW46" i="3" s="1"/>
  <c r="BV51" i="3" a="1"/>
  <c r="BV51" i="3" s="1"/>
  <c r="BW50" i="3" a="1"/>
  <c r="BW50" i="3" s="1"/>
  <c r="BV50" i="3" a="1"/>
  <c r="BV50" i="3" s="1"/>
  <c r="BW51" i="3" s="1"/>
  <c r="BV14" i="3" a="1"/>
  <c r="BV14" i="3" s="1"/>
  <c r="BW15" i="3" s="1"/>
  <c r="BV54" i="3" a="1"/>
  <c r="BV54" i="3" s="1"/>
  <c r="BW55" i="3" s="1"/>
  <c r="BV55" i="3" a="1"/>
  <c r="BV55" i="3" s="1"/>
  <c r="BW54" i="3" a="1"/>
  <c r="BW54" i="3" s="1"/>
  <c r="BV67" i="3" a="1"/>
  <c r="BV67" i="3" s="1"/>
  <c r="BV66" i="3" a="1"/>
  <c r="BV66" i="3" s="1"/>
  <c r="BW67" i="3" s="1"/>
  <c r="BW66" i="3" a="1"/>
  <c r="BW66" i="3" s="1"/>
  <c r="BV44" i="3" a="1"/>
  <c r="BV44" i="3" s="1"/>
  <c r="BW45" i="3" s="1"/>
  <c r="BV45" i="3" a="1"/>
  <c r="BV45" i="3" s="1"/>
  <c r="BW44" i="3" a="1"/>
  <c r="BW44" i="3" s="1"/>
  <c r="BW64" i="3" a="1"/>
  <c r="BW64" i="3" s="1"/>
  <c r="BV64" i="3" a="1"/>
  <c r="BV64" i="3" s="1"/>
  <c r="BW65" i="3" s="1"/>
  <c r="BV65" i="3" a="1"/>
  <c r="BV65" i="3" s="1"/>
  <c r="BW70" i="3" a="1"/>
  <c r="BW70" i="3" s="1"/>
  <c r="BV70" i="3" a="1"/>
  <c r="BV70" i="3" s="1"/>
  <c r="BW71" i="3" s="1"/>
  <c r="BV71" i="3" a="1"/>
  <c r="BV71" i="3" s="1"/>
  <c r="BV36" i="3" a="1"/>
  <c r="BV36" i="3" s="1"/>
  <c r="BW37" i="3" s="1"/>
  <c r="BV37" i="3" a="1"/>
  <c r="BV37" i="3" s="1"/>
  <c r="BW36" i="3" a="1"/>
  <c r="BW36" i="3" s="1"/>
  <c r="BL13" i="3"/>
  <c r="BM12" i="3"/>
  <c r="BJ22" i="3" a="1"/>
  <c r="BJ22" i="3" s="1"/>
  <c r="BL20" i="3" a="1"/>
  <c r="BL20" i="3" s="1"/>
  <c r="BH26" i="3" a="1"/>
  <c r="BH26" i="3" s="1"/>
  <c r="BJ18" i="3" a="1"/>
  <c r="BJ18" i="3" s="1"/>
  <c r="BK19" i="3" s="1"/>
  <c r="BH16" i="3" a="1"/>
  <c r="BH16" i="3" s="1"/>
  <c r="BI17" i="3" s="1"/>
  <c r="BX25" i="3" a="1"/>
  <c r="BY24" i="3" a="1"/>
  <c r="BL21" i="3" a="1"/>
  <c r="BK18" i="3" a="1"/>
  <c r="BI16" i="3" a="1"/>
  <c r="BX15" i="3" a="1"/>
  <c r="BH27" i="3" a="1"/>
  <c r="BH17" i="3" a="1"/>
  <c r="BJ23" i="3" a="1"/>
  <c r="BY14" i="3" a="1"/>
  <c r="BM20" i="3" a="1"/>
  <c r="BJ19" i="3" a="1"/>
  <c r="BI26" i="3" a="1"/>
  <c r="BK22" i="3" a="1"/>
  <c r="BY40" i="3" l="1" a="1"/>
  <c r="BY40" i="3" s="1"/>
  <c r="BX41" i="3" a="1"/>
  <c r="BX41" i="3" s="1"/>
  <c r="BX40" i="3" a="1"/>
  <c r="BX40" i="3" s="1"/>
  <c r="BY41" i="3" s="1"/>
  <c r="BY24" i="3"/>
  <c r="BX25" i="3"/>
  <c r="BX37" i="3" a="1"/>
  <c r="BX37" i="3" s="1"/>
  <c r="BY36" i="3" a="1"/>
  <c r="BY36" i="3" s="1"/>
  <c r="BX36" i="3" a="1"/>
  <c r="BX36" i="3" s="1"/>
  <c r="BY37" i="3" s="1"/>
  <c r="BY64" i="3" a="1"/>
  <c r="BY64" i="3" s="1"/>
  <c r="BX64" i="3" a="1"/>
  <c r="BX64" i="3" s="1"/>
  <c r="BY65" i="3" s="1"/>
  <c r="BX65" i="3" a="1"/>
  <c r="BX65" i="3" s="1"/>
  <c r="BY56" i="3" a="1"/>
  <c r="BY56" i="3" s="1"/>
  <c r="BX57" i="3" a="1"/>
  <c r="BX57" i="3" s="1"/>
  <c r="BX56" i="3" a="1"/>
  <c r="BX56" i="3" s="1"/>
  <c r="BY57" i="3" s="1"/>
  <c r="BY44" i="3" a="1"/>
  <c r="BY44" i="3" s="1"/>
  <c r="BX45" i="3" a="1"/>
  <c r="BX45" i="3" s="1"/>
  <c r="BX44" i="3" a="1"/>
  <c r="BX44" i="3" s="1"/>
  <c r="BY45" i="3" s="1"/>
  <c r="BX58" i="3" a="1"/>
  <c r="BX58" i="3" s="1"/>
  <c r="BY59" i="3" s="1"/>
  <c r="BX59" i="3" a="1"/>
  <c r="BX59" i="3" s="1"/>
  <c r="BY58" i="3" a="1"/>
  <c r="BY58" i="3" s="1"/>
  <c r="BX62" i="3" a="1"/>
  <c r="BX62" i="3" s="1"/>
  <c r="BY63" i="3" s="1"/>
  <c r="BX63" i="3" a="1"/>
  <c r="BX63" i="3" s="1"/>
  <c r="BY62" i="3" a="1"/>
  <c r="BY62" i="3" s="1"/>
  <c r="BY66" i="3" a="1"/>
  <c r="BY66" i="3" s="1"/>
  <c r="BX67" i="3" a="1"/>
  <c r="BX67" i="3" s="1"/>
  <c r="BX66" i="3" a="1"/>
  <c r="BX66" i="3" s="1"/>
  <c r="BY67" i="3" s="1"/>
  <c r="BX51" i="3" a="1"/>
  <c r="BX51" i="3" s="1"/>
  <c r="BX50" i="3" a="1"/>
  <c r="BX50" i="3" s="1"/>
  <c r="BY51" i="3" s="1"/>
  <c r="BY50" i="3" a="1"/>
  <c r="BY50" i="3" s="1"/>
  <c r="BX70" i="3" a="1"/>
  <c r="BX70" i="3" s="1"/>
  <c r="BY71" i="3" s="1"/>
  <c r="BY70" i="3" a="1"/>
  <c r="BY70" i="3" s="1"/>
  <c r="BX71" i="3" a="1"/>
  <c r="BX71" i="3" s="1"/>
  <c r="BX42" i="3" a="1"/>
  <c r="BX42" i="3" s="1"/>
  <c r="BY43" i="3" s="1"/>
  <c r="BY42" i="3" a="1"/>
  <c r="BY42" i="3" s="1"/>
  <c r="BX43" i="3" a="1"/>
  <c r="BX43" i="3" s="1"/>
  <c r="BX55" i="3" a="1"/>
  <c r="BX55" i="3" s="1"/>
  <c r="BY54" i="3" a="1"/>
  <c r="BY54" i="3" s="1"/>
  <c r="BX54" i="3" a="1"/>
  <c r="BX54" i="3" s="1"/>
  <c r="BY55" i="3" s="1"/>
  <c r="BY46" i="3" a="1"/>
  <c r="BY46" i="3" s="1"/>
  <c r="BX47" i="3" a="1"/>
  <c r="BX47" i="3" s="1"/>
  <c r="BX46" i="3" a="1"/>
  <c r="BX46" i="3" s="1"/>
  <c r="BY47" i="3" s="1"/>
  <c r="BX52" i="3" a="1"/>
  <c r="BX52" i="3" s="1"/>
  <c r="BY53" i="3" s="1"/>
  <c r="BY52" i="3" a="1"/>
  <c r="BY52" i="3" s="1"/>
  <c r="BX53" i="3" a="1"/>
  <c r="BX53" i="3" s="1"/>
  <c r="BX24" i="3" a="1"/>
  <c r="BX24" i="3" s="1"/>
  <c r="BY25" i="3" s="1"/>
  <c r="BI27" i="3"/>
  <c r="BK23" i="3"/>
  <c r="BM21" i="3"/>
  <c r="BY15" i="3"/>
  <c r="BK22" i="3"/>
  <c r="BI26" i="3"/>
  <c r="BJ19" i="3"/>
  <c r="BM20" i="3"/>
  <c r="BY14" i="3"/>
  <c r="BJ23" i="3"/>
  <c r="BH17" i="3"/>
  <c r="BH27" i="3"/>
  <c r="BX15" i="3"/>
  <c r="BI16" i="3"/>
  <c r="BK18" i="3"/>
  <c r="BL21" i="3"/>
  <c r="BN12" i="3" a="1"/>
  <c r="BN12" i="3" s="1"/>
  <c r="BO13" i="3" s="1"/>
  <c r="O14" i="3" a="1"/>
  <c r="BO12" i="3" a="1"/>
  <c r="BN13" i="3" a="1"/>
  <c r="O14" i="3" l="1"/>
  <c r="BN13" i="3"/>
  <c r="BO12" i="3"/>
  <c r="BN20" i="3" a="1"/>
  <c r="BN20" i="3" s="1"/>
  <c r="BL18" i="3" a="1"/>
  <c r="BL18" i="3" s="1"/>
  <c r="BM19" i="3" s="1"/>
  <c r="BJ16" i="3" a="1"/>
  <c r="BJ16" i="3" s="1"/>
  <c r="BK17" i="3" s="1"/>
  <c r="BJ26" i="3" a="1"/>
  <c r="BJ26" i="3" s="1"/>
  <c r="BL22" i="3" a="1"/>
  <c r="BL22" i="3" s="1"/>
  <c r="BK16" i="3" a="1"/>
  <c r="BM22" i="3" a="1"/>
  <c r="BN21" i="3" a="1"/>
  <c r="BJ17" i="3" a="1"/>
  <c r="BO20" i="3" a="1"/>
  <c r="BJ27" i="3" a="1"/>
  <c r="BL19" i="3" a="1"/>
  <c r="BK26" i="3" a="1"/>
  <c r="BM18" i="3" a="1"/>
  <c r="BL23" i="3" a="1"/>
  <c r="F19" i="2" l="1" a="1"/>
  <c r="F19" i="2" s="1"/>
  <c r="I15" i="3"/>
  <c r="I9" i="4" s="1"/>
  <c r="G9" i="4" s="1"/>
  <c r="K9" i="4" s="1"/>
  <c r="BM23" i="3"/>
  <c r="BK27" i="3"/>
  <c r="BO21" i="3"/>
  <c r="BL23" i="3"/>
  <c r="BM18" i="3"/>
  <c r="BK26" i="3"/>
  <c r="BL19" i="3"/>
  <c r="BJ27" i="3"/>
  <c r="BO20" i="3"/>
  <c r="BJ17" i="3"/>
  <c r="BN21" i="3"/>
  <c r="BM22" i="3"/>
  <c r="BK16" i="3"/>
  <c r="BP12" i="3" a="1"/>
  <c r="BP12" i="3" s="1"/>
  <c r="BQ13" i="3" s="1"/>
  <c r="BP13" i="3" a="1"/>
  <c r="BQ12" i="3" a="1"/>
  <c r="H9" i="5" l="1"/>
  <c r="I9" i="5" s="1"/>
  <c r="E9" i="5" s="1"/>
  <c r="E9" i="4"/>
  <c r="BQ12" i="3"/>
  <c r="BP13" i="3"/>
  <c r="BN22" i="3" a="1"/>
  <c r="BN22" i="3" s="1"/>
  <c r="BP20" i="3" a="1"/>
  <c r="BP20" i="3" s="1"/>
  <c r="BL26" i="3" a="1"/>
  <c r="BL26" i="3" s="1"/>
  <c r="BL16" i="3" a="1"/>
  <c r="BL16" i="3" s="1"/>
  <c r="BM17" i="3" s="1"/>
  <c r="BN18" i="3" a="1"/>
  <c r="BN18" i="3" s="1"/>
  <c r="BO19" i="3" s="1"/>
  <c r="BM26" i="3" a="1"/>
  <c r="BO18" i="3" a="1"/>
  <c r="BN23" i="3" a="1"/>
  <c r="BL17" i="3" a="1"/>
  <c r="BQ20" i="3" a="1"/>
  <c r="BL27" i="3" a="1"/>
  <c r="BN19" i="3" a="1"/>
  <c r="BO22" i="3" a="1"/>
  <c r="BP21" i="3" a="1"/>
  <c r="BM16" i="3" a="1"/>
  <c r="J9" i="5" l="1"/>
  <c r="BQ21" i="3"/>
  <c r="BM27" i="3"/>
  <c r="BO23" i="3"/>
  <c r="BM16" i="3"/>
  <c r="BP21" i="3"/>
  <c r="BO22" i="3"/>
  <c r="BN19" i="3"/>
  <c r="BL27" i="3"/>
  <c r="BQ20" i="3"/>
  <c r="BL17" i="3"/>
  <c r="BN23" i="3"/>
  <c r="BO18" i="3"/>
  <c r="BM26" i="3"/>
  <c r="BR12" i="3" a="1"/>
  <c r="BR12" i="3" s="1"/>
  <c r="BS13" i="3" s="1"/>
  <c r="BS12" i="3" a="1"/>
  <c r="BR13" i="3" a="1"/>
  <c r="BR13" i="3" l="1"/>
  <c r="BS12" i="3"/>
  <c r="BR20" i="3" a="1"/>
  <c r="BR20" i="3" s="1"/>
  <c r="BP22" i="3" a="1"/>
  <c r="BP22" i="3" s="1"/>
  <c r="BN26" i="3" a="1"/>
  <c r="BN26" i="3" s="1"/>
  <c r="BP18" i="3" a="1"/>
  <c r="BP18" i="3" s="1"/>
  <c r="BQ19" i="3" s="1"/>
  <c r="BN16" i="3" a="1"/>
  <c r="BN16" i="3" s="1"/>
  <c r="BO17" i="3" s="1"/>
  <c r="BO26" i="3" a="1"/>
  <c r="BS20" i="3" a="1"/>
  <c r="BR21" i="3" a="1"/>
  <c r="BQ18" i="3" a="1"/>
  <c r="BP19" i="3" a="1"/>
  <c r="BP23" i="3" a="1"/>
  <c r="BO16" i="3" a="1"/>
  <c r="BN27" i="3" a="1"/>
  <c r="BN17" i="3" a="1"/>
  <c r="BQ22" i="3" a="1"/>
  <c r="BO27" i="3" l="1"/>
  <c r="BQ23" i="3"/>
  <c r="BS21" i="3"/>
  <c r="BQ22" i="3"/>
  <c r="BN17" i="3"/>
  <c r="BN27" i="3"/>
  <c r="BO16" i="3"/>
  <c r="BP23" i="3"/>
  <c r="BP19" i="3"/>
  <c r="BQ18" i="3"/>
  <c r="BR21" i="3"/>
  <c r="BS20" i="3"/>
  <c r="BO26" i="3"/>
  <c r="BT12" i="3" a="1"/>
  <c r="BT12" i="3" s="1"/>
  <c r="BU13" i="3" s="1"/>
  <c r="BU12" i="3" a="1"/>
  <c r="BT13" i="3" a="1"/>
  <c r="BT13" i="3" l="1"/>
  <c r="BU12" i="3"/>
  <c r="BR18" i="3" a="1"/>
  <c r="BR18" i="3" s="1"/>
  <c r="BS19" i="3" s="1"/>
  <c r="BP16" i="3" a="1"/>
  <c r="BP16" i="3" s="1"/>
  <c r="BQ17" i="3" s="1"/>
  <c r="BP26" i="3" a="1"/>
  <c r="BP26" i="3" s="1"/>
  <c r="BT20" i="3" a="1"/>
  <c r="BT20" i="3" s="1"/>
  <c r="BR22" i="3" a="1"/>
  <c r="BR22" i="3" s="1"/>
  <c r="BP27" i="3" a="1"/>
  <c r="BR23" i="3" a="1"/>
  <c r="BR19" i="3" a="1"/>
  <c r="BQ26" i="3" a="1"/>
  <c r="BS18" i="3" a="1"/>
  <c r="BT21" i="3" a="1"/>
  <c r="BU20" i="3" a="1"/>
  <c r="BQ16" i="3" a="1"/>
  <c r="BS22" i="3" a="1"/>
  <c r="BP17" i="3" a="1"/>
  <c r="BQ27" i="3" l="1"/>
  <c r="BU21" i="3"/>
  <c r="BS23" i="3"/>
  <c r="BP17" i="3"/>
  <c r="BS22" i="3"/>
  <c r="BQ16" i="3"/>
  <c r="BU20" i="3"/>
  <c r="BT21" i="3"/>
  <c r="BS18" i="3"/>
  <c r="BQ26" i="3"/>
  <c r="BR19" i="3"/>
  <c r="BR23" i="3"/>
  <c r="BP27" i="3"/>
  <c r="BV12" i="3" a="1"/>
  <c r="BV12" i="3" s="1"/>
  <c r="BW13" i="3" s="1"/>
  <c r="BW12" i="3" a="1"/>
  <c r="BV13" i="3" a="1"/>
  <c r="BV13" i="3" l="1"/>
  <c r="BW12" i="3"/>
  <c r="BR26" i="3" a="1"/>
  <c r="BR26" i="3" s="1"/>
  <c r="BT18" i="3" a="1"/>
  <c r="BT18" i="3" s="1"/>
  <c r="BU19" i="3" s="1"/>
  <c r="BV20" i="3" a="1"/>
  <c r="BV20" i="3" s="1"/>
  <c r="BR16" i="3" a="1"/>
  <c r="BR16" i="3" s="1"/>
  <c r="BS17" i="3" s="1"/>
  <c r="BT22" i="3" a="1"/>
  <c r="BT22" i="3" s="1"/>
  <c r="BU22" i="3" a="1"/>
  <c r="BW20" i="3" a="1"/>
  <c r="BS26" i="3" a="1"/>
  <c r="BV21" i="3" a="1"/>
  <c r="BR17" i="3" a="1"/>
  <c r="BR27" i="3" a="1"/>
  <c r="BS16" i="3" a="1"/>
  <c r="BU18" i="3" a="1"/>
  <c r="BT23" i="3" a="1"/>
  <c r="BT19" i="3" a="1"/>
  <c r="BU23" i="3" l="1"/>
  <c r="BW21" i="3"/>
  <c r="BS27" i="3"/>
  <c r="BT19" i="3"/>
  <c r="BT23" i="3"/>
  <c r="BU18" i="3"/>
  <c r="BS16" i="3"/>
  <c r="BR27" i="3"/>
  <c r="BR17" i="3"/>
  <c r="BV21" i="3"/>
  <c r="BS26" i="3"/>
  <c r="BW20" i="3"/>
  <c r="BU22" i="3"/>
  <c r="BX12" i="3" a="1"/>
  <c r="BX12" i="3" s="1"/>
  <c r="BY13" i="3" s="1"/>
  <c r="BX13" i="3" a="1"/>
  <c r="BY12" i="3" a="1"/>
  <c r="BY12" i="3" l="1"/>
  <c r="BX13" i="3"/>
  <c r="BT26" i="3" a="1"/>
  <c r="BT26" i="3" s="1"/>
  <c r="BT16" i="3" a="1"/>
  <c r="BT16" i="3" s="1"/>
  <c r="BU17" i="3" s="1"/>
  <c r="BV18" i="3" a="1"/>
  <c r="BV18" i="3" s="1"/>
  <c r="BW19" i="3" s="1"/>
  <c r="BV22" i="3" a="1"/>
  <c r="BV22" i="3" s="1"/>
  <c r="BX20" i="3" a="1"/>
  <c r="BX20" i="3" s="1"/>
  <c r="BU16" i="3" a="1"/>
  <c r="BW22" i="3" a="1"/>
  <c r="BY20" i="3" a="1"/>
  <c r="BV19" i="3" a="1"/>
  <c r="BV23" i="3" a="1"/>
  <c r="BT27" i="3" a="1"/>
  <c r="BX21" i="3" a="1"/>
  <c r="BU26" i="3" a="1"/>
  <c r="BW18" i="3" a="1"/>
  <c r="BT17" i="3" a="1"/>
  <c r="BW23" i="3" l="1"/>
  <c r="BY21" i="3"/>
  <c r="BU27" i="3"/>
  <c r="BT17" i="3"/>
  <c r="BW18" i="3"/>
  <c r="BU26" i="3"/>
  <c r="BX21" i="3"/>
  <c r="BT27" i="3"/>
  <c r="BV23" i="3"/>
  <c r="BV19" i="3"/>
  <c r="BY20" i="3"/>
  <c r="BW22" i="3"/>
  <c r="BU16" i="3"/>
  <c r="O20" i="3" a="1"/>
  <c r="O20" i="3" l="1"/>
  <c r="BV16" i="3" a="1"/>
  <c r="BV16" i="3" s="1"/>
  <c r="BW17" i="3" s="1"/>
  <c r="BV26" i="3" a="1"/>
  <c r="BV26" i="3" s="1"/>
  <c r="BX22" i="3" a="1"/>
  <c r="BX22" i="3" s="1"/>
  <c r="BX18" i="3" a="1"/>
  <c r="BX18" i="3" s="1"/>
  <c r="BY19" i="3" s="1"/>
  <c r="BW26" i="3" a="1"/>
  <c r="BX23" i="3" a="1"/>
  <c r="BY22" i="3" a="1"/>
  <c r="BY18" i="3" a="1"/>
  <c r="BX19" i="3" a="1"/>
  <c r="BV27" i="3" a="1"/>
  <c r="BW16" i="3" a="1"/>
  <c r="BV17" i="3" a="1"/>
  <c r="I19" i="3" l="1"/>
  <c r="I13" i="4" s="1"/>
  <c r="G13" i="4" s="1"/>
  <c r="K13" i="4" s="1"/>
  <c r="E13" i="4" s="1"/>
  <c r="BY23" i="3"/>
  <c r="BW27" i="3"/>
  <c r="BV17" i="3"/>
  <c r="BW16" i="3"/>
  <c r="BV27" i="3"/>
  <c r="BX19" i="3"/>
  <c r="BY18" i="3"/>
  <c r="BY22" i="3"/>
  <c r="BX23" i="3"/>
  <c r="BW26" i="3"/>
  <c r="O22" i="3" a="1"/>
  <c r="H12" i="5" l="1"/>
  <c r="I12" i="5" s="1"/>
  <c r="E12" i="5" s="1"/>
  <c r="O22" i="3"/>
  <c r="BX16" i="3" a="1"/>
  <c r="BX16" i="3" s="1"/>
  <c r="BY17" i="3" s="1"/>
  <c r="BX26" i="3" a="1"/>
  <c r="BX26" i="3" s="1"/>
  <c r="BY16" i="3" a="1"/>
  <c r="BY26" i="3" a="1"/>
  <c r="BX17" i="3" a="1"/>
  <c r="BX27" i="3" a="1"/>
  <c r="I20" i="3" l="1"/>
  <c r="I14" i="4" s="1"/>
  <c r="G14" i="4" s="1"/>
  <c r="K14" i="4" s="1"/>
  <c r="E14" i="4" s="1"/>
  <c r="J12" i="5"/>
  <c r="BY27" i="3"/>
  <c r="BX27" i="3"/>
  <c r="BX17" i="3"/>
  <c r="BY26" i="3"/>
  <c r="BY16" i="3"/>
  <c r="O26" i="3" a="1"/>
  <c r="H13" i="5" l="1"/>
  <c r="I13" i="5" s="1"/>
  <c r="E13" i="5" s="1"/>
  <c r="O26" i="3"/>
  <c r="F26" i="2" l="1" a="1"/>
  <c r="F26" i="2" s="1"/>
  <c r="I23" i="3"/>
  <c r="I16" i="4" s="1"/>
  <c r="G16" i="4" s="1"/>
  <c r="K16" i="4" s="1"/>
  <c r="E16" i="4" s="1"/>
  <c r="J13" i="5"/>
  <c r="H15" i="5" l="1"/>
  <c r="I15" i="5" s="1"/>
  <c r="E15" i="5" s="1"/>
  <c r="O12" i="3" a="1"/>
  <c r="J15" i="5" l="1"/>
  <c r="O12" i="3"/>
  <c r="O66" i="3" a="1"/>
  <c r="F18" i="2" l="1" a="1"/>
  <c r="F18" i="2" s="1"/>
  <c r="I12" i="3"/>
  <c r="H8" i="5" s="1"/>
  <c r="O66" i="3"/>
  <c r="O68" i="3" a="1"/>
  <c r="I8" i="4" l="1"/>
  <c r="G8" i="4" s="1"/>
  <c r="I8" i="5"/>
  <c r="E8" i="5" s="1"/>
  <c r="O68" i="3"/>
  <c r="O70" i="3" a="1"/>
  <c r="K8" i="4" l="1"/>
  <c r="E8" i="4" s="1"/>
  <c r="J8" i="5"/>
  <c r="O70" i="3"/>
  <c r="O60" i="3" a="1"/>
  <c r="O60" i="3" l="1"/>
  <c r="O54" i="3" a="1"/>
  <c r="O54" i="3" l="1"/>
  <c r="O64" i="3" a="1"/>
  <c r="O64" i="3" l="1"/>
  <c r="O56" i="3" a="1"/>
  <c r="O56" i="3" l="1"/>
  <c r="O58" i="3" a="1"/>
  <c r="O58" i="3" l="1"/>
  <c r="O62" i="3" a="1"/>
  <c r="O62" i="3" l="1"/>
  <c r="O46" i="3" a="1"/>
  <c r="O46" i="3" l="1"/>
  <c r="O48" i="3" a="1"/>
  <c r="O48" i="3" l="1"/>
  <c r="O42" i="3" a="1"/>
  <c r="O42" i="3" l="1"/>
  <c r="O44" i="3" a="1"/>
  <c r="O44" i="3" l="1"/>
  <c r="O28" i="3" a="1"/>
  <c r="O28" i="3" l="1"/>
  <c r="O52" i="3" a="1"/>
  <c r="F27" i="2" l="1" a="1"/>
  <c r="F27" i="2" s="1"/>
  <c r="I24" i="3"/>
  <c r="I17" i="4" s="1"/>
  <c r="G17" i="4" s="1"/>
  <c r="K17" i="4" s="1"/>
  <c r="E17" i="4" s="1"/>
  <c r="O52" i="3"/>
  <c r="O50" i="3" a="1"/>
  <c r="H16" i="5" l="1"/>
  <c r="I16" i="5" s="1"/>
  <c r="E16" i="5" s="1"/>
  <c r="O50" i="3"/>
  <c r="O36" i="3" a="1"/>
  <c r="J16" i="5" l="1"/>
  <c r="O36" i="3"/>
  <c r="O40" i="3" a="1"/>
  <c r="O40" i="3" l="1"/>
  <c r="O38" i="3" a="1"/>
  <c r="O38" i="3" l="1"/>
  <c r="O34" i="3" a="1"/>
  <c r="O34" i="3" l="1"/>
  <c r="O32" i="3" a="1"/>
  <c r="O32" i="3" l="1"/>
  <c r="O24" i="3" a="1"/>
  <c r="O24" i="3" l="1"/>
  <c r="O30" i="3" a="1"/>
  <c r="F25" i="2" l="1" a="1"/>
  <c r="F25" i="2" s="1"/>
  <c r="I22" i="3"/>
  <c r="I15" i="4" s="1"/>
  <c r="G15" i="4" s="1"/>
  <c r="K15" i="4" s="1"/>
  <c r="E15" i="4" s="1"/>
  <c r="O30" i="3"/>
  <c r="O18" i="3" a="1"/>
  <c r="H14" i="5" l="1"/>
  <c r="I14" i="5" s="1"/>
  <c r="E14" i="5" s="1"/>
  <c r="O18" i="3"/>
  <c r="O16" i="3" a="1"/>
  <c r="F22" i="2" l="1" a="1"/>
  <c r="F22" i="2" s="1"/>
  <c r="I18" i="3"/>
  <c r="F24" i="2" s="1" a="1"/>
  <c r="F24" i="2" s="1"/>
  <c r="J14" i="5"/>
  <c r="O16" i="3"/>
  <c r="H11" i="5" l="1"/>
  <c r="I11" i="5" s="1"/>
  <c r="E11" i="5" s="1"/>
  <c r="I12" i="4"/>
  <c r="G12" i="4" s="1"/>
  <c r="K12" i="4" s="1"/>
  <c r="E12" i="4" s="1"/>
  <c r="F21" i="2" a="1"/>
  <c r="F21" i="2" s="1"/>
  <c r="I17" i="3"/>
  <c r="F23" i="2" s="1" a="1"/>
  <c r="F23" i="2" s="1"/>
  <c r="J11" i="5"/>
  <c r="H10" i="5" l="1"/>
  <c r="I10" i="5" s="1"/>
  <c r="J10" i="5" s="1"/>
  <c r="I11" i="4"/>
  <c r="G11" i="4" s="1"/>
  <c r="K11" i="4" s="1"/>
  <c r="E11" i="4" s="1"/>
  <c r="E5" i="4" l="1"/>
  <c r="E10" i="5"/>
  <c r="F5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<sst xmlns="http://schemas.openxmlformats.org/spreadsheetml/2006/main" count="5289" uniqueCount="643">
  <si>
    <t>2024年04月</t>
  </si>
  <si>
    <t>ふよう保育園</t>
  </si>
  <si>
    <t>シフト</t>
  </si>
  <si>
    <t>雇用形態</t>
  </si>
  <si>
    <t>07:08</t>
  </si>
  <si>
    <t>07:05</t>
  </si>
  <si>
    <t>07:07</t>
  </si>
  <si>
    <t>08:29</t>
  </si>
  <si>
    <t>10:37</t>
  </si>
  <si>
    <t>08:28</t>
  </si>
  <si>
    <t>07:09</t>
  </si>
  <si>
    <t>08:37</t>
  </si>
  <si>
    <t>07:11</t>
  </si>
  <si>
    <t>08:57</t>
  </si>
  <si>
    <t>07:10</t>
  </si>
  <si>
    <t>10:41</t>
  </si>
  <si>
    <t>07:12</t>
  </si>
  <si>
    <t>10:00</t>
  </si>
  <si>
    <t>07:13</t>
  </si>
  <si>
    <t>09:00</t>
  </si>
  <si>
    <t>10:44</t>
  </si>
  <si>
    <t>17:31</t>
  </si>
  <si>
    <t>14:44</t>
  </si>
  <si>
    <t>18:23</t>
  </si>
  <si>
    <t>18:59</t>
  </si>
  <si>
    <t>20:32</t>
  </si>
  <si>
    <t>17:38</t>
  </si>
  <si>
    <t>16:42</t>
  </si>
  <si>
    <t>17:49</t>
  </si>
  <si>
    <t>14:23</t>
  </si>
  <si>
    <t>18:22</t>
  </si>
  <si>
    <t>18:38</t>
  </si>
  <si>
    <t>20:16</t>
  </si>
  <si>
    <t>18:27</t>
  </si>
  <si>
    <t>14:09</t>
  </si>
  <si>
    <t>19:45</t>
  </si>
  <si>
    <t>08:45</t>
  </si>
  <si>
    <t>18:08</t>
  </si>
  <si>
    <t>18:03</t>
  </si>
  <si>
    <t>21:15</t>
  </si>
  <si>
    <t>21:00</t>
  </si>
  <si>
    <t>13:43</t>
  </si>
  <si>
    <t>08:43</t>
  </si>
  <si>
    <t>18:28</t>
  </si>
  <si>
    <t>08:51</t>
  </si>
  <si>
    <t>13:33</t>
  </si>
  <si>
    <t>13:38</t>
  </si>
  <si>
    <t>07:06</t>
  </si>
  <si>
    <t>13:36</t>
  </si>
  <si>
    <t>07:53</t>
  </si>
  <si>
    <t>14:47</t>
  </si>
  <si>
    <t>19:43</t>
  </si>
  <si>
    <t>19:52</t>
  </si>
  <si>
    <t>13:15</t>
  </si>
  <si>
    <t>16:16</t>
  </si>
  <si>
    <t>20:22</t>
  </si>
  <si>
    <t>16:01</t>
  </si>
  <si>
    <t>19:46</t>
  </si>
  <si>
    <t>13:45</t>
  </si>
  <si>
    <t>14:34</t>
  </si>
  <si>
    <t>09:31</t>
  </si>
  <si>
    <t>10:33</t>
  </si>
  <si>
    <t>10:32</t>
  </si>
  <si>
    <t>13:00</t>
  </si>
  <si>
    <t>10:35</t>
  </si>
  <si>
    <t>10:30</t>
  </si>
  <si>
    <t>10:39</t>
  </si>
  <si>
    <t>09:49</t>
  </si>
  <si>
    <t>10:34</t>
  </si>
  <si>
    <t>10:38</t>
  </si>
  <si>
    <t>13:30</t>
  </si>
  <si>
    <t>09:46</t>
  </si>
  <si>
    <t>14:02</t>
  </si>
  <si>
    <t>08:32</t>
  </si>
  <si>
    <t>19:40</t>
  </si>
  <si>
    <t>19:38</t>
  </si>
  <si>
    <t>19:41</t>
  </si>
  <si>
    <t>19:37</t>
  </si>
  <si>
    <t>19:36</t>
  </si>
  <si>
    <t>19:49</t>
  </si>
  <si>
    <t>19:28</t>
  </si>
  <si>
    <t>19:39</t>
  </si>
  <si>
    <t>19:50</t>
  </si>
  <si>
    <t>19:35</t>
  </si>
  <si>
    <t>19:32</t>
  </si>
  <si>
    <t>13:31</t>
  </si>
  <si>
    <t>08:17</t>
  </si>
  <si>
    <t>08:46</t>
  </si>
  <si>
    <t>07:48</t>
  </si>
  <si>
    <t>07:04</t>
  </si>
  <si>
    <t>10:31</t>
  </si>
  <si>
    <t>06:59</t>
  </si>
  <si>
    <t>09:16</t>
  </si>
  <si>
    <t>07:02</t>
  </si>
  <si>
    <t>07:44</t>
  </si>
  <si>
    <t>07:49</t>
  </si>
  <si>
    <t>17:08</t>
  </si>
  <si>
    <t>16:27</t>
  </si>
  <si>
    <t>18:10</t>
  </si>
  <si>
    <t>17:10</t>
  </si>
  <si>
    <t>16:19</t>
  </si>
  <si>
    <t>19:30</t>
  </si>
  <si>
    <t>16:35</t>
  </si>
  <si>
    <t>18:40</t>
  </si>
  <si>
    <t>16:40</t>
  </si>
  <si>
    <t>16:21</t>
  </si>
  <si>
    <t>14:16</t>
  </si>
  <si>
    <t>17:15</t>
  </si>
  <si>
    <t>08:34</t>
  </si>
  <si>
    <t>18:13</t>
  </si>
  <si>
    <t>08:42</t>
  </si>
  <si>
    <t>08:47</t>
  </si>
  <si>
    <t>13:37</t>
  </si>
  <si>
    <t>07:01</t>
  </si>
  <si>
    <t>08:56</t>
  </si>
  <si>
    <t>08:53</t>
  </si>
  <si>
    <t>08:55</t>
  </si>
  <si>
    <t>08:50</t>
  </si>
  <si>
    <t>08:22</t>
  </si>
  <si>
    <t>09:45</t>
  </si>
  <si>
    <t>08:21</t>
  </si>
  <si>
    <t>13:19</t>
  </si>
  <si>
    <t>18:05</t>
  </si>
  <si>
    <t>17:02</t>
  </si>
  <si>
    <t>16:22</t>
  </si>
  <si>
    <t>18:20</t>
  </si>
  <si>
    <t>14:04</t>
  </si>
  <si>
    <t>16:28</t>
  </si>
  <si>
    <t>17:37</t>
  </si>
  <si>
    <t>19:47</t>
  </si>
  <si>
    <t>17:30</t>
  </si>
  <si>
    <t>16:24</t>
  </si>
  <si>
    <t>17:00</t>
  </si>
  <si>
    <t>08:19</t>
  </si>
  <si>
    <t>08:36</t>
  </si>
  <si>
    <t>08:52</t>
  </si>
  <si>
    <t>08:24</t>
  </si>
  <si>
    <t>08:48</t>
  </si>
  <si>
    <t>08:27</t>
  </si>
  <si>
    <t>07:54</t>
  </si>
  <si>
    <t>08:16</t>
  </si>
  <si>
    <t>17:44</t>
  </si>
  <si>
    <t>16:26</t>
  </si>
  <si>
    <t>17:42</t>
  </si>
  <si>
    <t>17:53</t>
  </si>
  <si>
    <t>18:02</t>
  </si>
  <si>
    <t>17:20</t>
  </si>
  <si>
    <t>17:51</t>
  </si>
  <si>
    <t>17:18</t>
  </si>
  <si>
    <t>17:36</t>
  </si>
  <si>
    <t>17:58</t>
  </si>
  <si>
    <t>18:35</t>
  </si>
  <si>
    <t>18:09</t>
  </si>
  <si>
    <t>18:17</t>
  </si>
  <si>
    <t>17:56</t>
  </si>
  <si>
    <t>18:12</t>
  </si>
  <si>
    <t>08:44</t>
  </si>
  <si>
    <t>13:23</t>
  </si>
  <si>
    <t>12:30</t>
  </si>
  <si>
    <t>12:06</t>
  </si>
  <si>
    <t>12:11</t>
  </si>
  <si>
    <t>13:25</t>
  </si>
  <si>
    <t>13:16</t>
  </si>
  <si>
    <t>13:17</t>
  </si>
  <si>
    <t>13:18</t>
  </si>
  <si>
    <t>13:47</t>
  </si>
  <si>
    <t>07:03</t>
  </si>
  <si>
    <t>08:49</t>
  </si>
  <si>
    <t>07:33</t>
  </si>
  <si>
    <t>16:33</t>
  </si>
  <si>
    <t>16:15</t>
  </si>
  <si>
    <t>14:08</t>
  </si>
  <si>
    <t>17:03</t>
  </si>
  <si>
    <t>18:01</t>
  </si>
  <si>
    <t>15:03</t>
  </si>
  <si>
    <t>17:23</t>
  </si>
  <si>
    <t>17:01</t>
  </si>
  <si>
    <t>18:11</t>
  </si>
  <si>
    <t>14:17</t>
  </si>
  <si>
    <t>08:35</t>
  </si>
  <si>
    <t>15:32</t>
  </si>
  <si>
    <t>07:51</t>
  </si>
  <si>
    <t>12:04</t>
  </si>
  <si>
    <t>13:48</t>
  </si>
  <si>
    <t>14:00</t>
  </si>
  <si>
    <t>13:08</t>
  </si>
  <si>
    <t>13:05</t>
  </si>
  <si>
    <t>08:54</t>
  </si>
  <si>
    <t>14:24</t>
  </si>
  <si>
    <t>15:09</t>
  </si>
  <si>
    <t>14:06</t>
  </si>
  <si>
    <t>15:01</t>
  </si>
  <si>
    <t>14:12</t>
  </si>
  <si>
    <t>15:25</t>
  </si>
  <si>
    <t>14:20</t>
  </si>
  <si>
    <t>14:30</t>
  </si>
  <si>
    <t>15:28</t>
  </si>
  <si>
    <t>14:11</t>
  </si>
  <si>
    <t>15:00</t>
  </si>
  <si>
    <t>15:16</t>
  </si>
  <si>
    <t>08:04</t>
  </si>
  <si>
    <t>07:42</t>
  </si>
  <si>
    <t>08:03</t>
  </si>
  <si>
    <t>07:56</t>
  </si>
  <si>
    <t>07:47</t>
  </si>
  <si>
    <t>08:02</t>
  </si>
  <si>
    <t>07:43</t>
  </si>
  <si>
    <t>08:05</t>
  </si>
  <si>
    <t>07:40</t>
  </si>
  <si>
    <t>07:50</t>
  </si>
  <si>
    <t>07:55</t>
  </si>
  <si>
    <t>19:05</t>
  </si>
  <si>
    <t>19:06</t>
  </si>
  <si>
    <t>13:02</t>
  </si>
  <si>
    <t>17:34</t>
  </si>
  <si>
    <t>19:16</t>
  </si>
  <si>
    <t>13:06</t>
  </si>
  <si>
    <t>19:19</t>
  </si>
  <si>
    <t>19:08</t>
  </si>
  <si>
    <t>19:20</t>
  </si>
  <si>
    <t>19:07</t>
  </si>
  <si>
    <t>13:07</t>
  </si>
  <si>
    <t>17:57</t>
  </si>
  <si>
    <t>19:02</t>
  </si>
  <si>
    <t>07:46</t>
  </si>
  <si>
    <t>07:45</t>
  </si>
  <si>
    <t>19:01</t>
  </si>
  <si>
    <t>13:04</t>
  </si>
  <si>
    <t>19:00</t>
  </si>
  <si>
    <t>19:03</t>
  </si>
  <si>
    <t>18:00</t>
  </si>
  <si>
    <t>18:16</t>
  </si>
  <si>
    <t>19:12</t>
  </si>
  <si>
    <t>07:57</t>
  </si>
  <si>
    <t>07:58</t>
  </si>
  <si>
    <t>17:47</t>
  </si>
  <si>
    <t>17:06</t>
  </si>
  <si>
    <t>17:13</t>
  </si>
  <si>
    <t>17:28</t>
  </si>
  <si>
    <t>17:21</t>
  </si>
  <si>
    <t>17:09</t>
  </si>
  <si>
    <t>17:16</t>
  </si>
  <si>
    <t>17:12</t>
  </si>
  <si>
    <t>17:29</t>
  </si>
  <si>
    <t>12:13</t>
  </si>
  <si>
    <t>09:03</t>
  </si>
  <si>
    <t>07:37</t>
  </si>
  <si>
    <t>07:52</t>
  </si>
  <si>
    <t>07:35</t>
  </si>
  <si>
    <t>08:11</t>
  </si>
  <si>
    <t>09:08</t>
  </si>
  <si>
    <t>09:52</t>
  </si>
  <si>
    <t>09:30</t>
  </si>
  <si>
    <t>17:45</t>
  </si>
  <si>
    <t>07:38</t>
  </si>
  <si>
    <t>09:38</t>
  </si>
  <si>
    <t>07:30</t>
  </si>
  <si>
    <t>08:40</t>
  </si>
  <si>
    <t>08:10</t>
  </si>
  <si>
    <t>08:12</t>
  </si>
  <si>
    <t>08:23</t>
  </si>
  <si>
    <t>08:26</t>
  </si>
  <si>
    <t>08:25</t>
  </si>
  <si>
    <t>16:30</t>
  </si>
  <si>
    <t>08:00</t>
  </si>
  <si>
    <t>08:06</t>
  </si>
  <si>
    <t>08:18</t>
  </si>
  <si>
    <t>08:08</t>
  </si>
  <si>
    <t>08:09</t>
  </si>
  <si>
    <t>18:15</t>
  </si>
  <si>
    <t>08:20</t>
  </si>
  <si>
    <t>08:13</t>
  </si>
  <si>
    <t>08:30</t>
  </si>
  <si>
    <t>08:14</t>
  </si>
  <si>
    <t>08:15</t>
  </si>
  <si>
    <t>08:01</t>
  </si>
  <si>
    <t>09:05</t>
  </si>
  <si>
    <t>09:29</t>
  </si>
  <si>
    <t>18:30</t>
  </si>
  <si>
    <t>医療法人　輝松会</t>
  </si>
  <si>
    <t>かがやき保育園</t>
  </si>
  <si>
    <t>管理課長　松尾　智彦　様</t>
  </si>
  <si>
    <t>株式会社キッズコーポレーション</t>
  </si>
  <si>
    <t>受託保育事業部</t>
  </si>
  <si>
    <t xml:space="preserve">拝啓  
陽春の候、貴社におかれましてはますますご繁栄のことと存じます。  
この度、契約に基づき、下記のとおり【かがやき保育園】並びに【病児保育室ポピー】における  
職員の勤務時間詳細を報告申し上げます。  
各担当者の配置時間を明記しておりますので、何卒ご査収のほどお願い申し上げます。  
　　　　　　　　　　　　　　　　　　　　　　　　　　　　　　　　　　　　　　　　　　　　　　　　　　　　　　　敬具  </t>
  </si>
  <si>
    <t>保育士名</t>
  </si>
  <si>
    <t>備考</t>
  </si>
  <si>
    <t>3・4歳児</t>
  </si>
  <si>
    <t>1・2歳児</t>
  </si>
  <si>
    <t>乳児</t>
  </si>
  <si>
    <t>+</t>
  </si>
  <si>
    <t>=</t>
  </si>
  <si>
    <t>←保育士必要数</t>
  </si>
  <si>
    <t>ページ数</t>
  </si>
  <si>
    <t>必要保育従事者数
※一時預かり除く</t>
  </si>
  <si>
    <t>所定労働時間</t>
  </si>
  <si>
    <t>病児・一時</t>
  </si>
  <si>
    <t>出勤簿</t>
  </si>
  <si>
    <t>勤務時間</t>
  </si>
  <si>
    <t>みなし</t>
  </si>
  <si>
    <t>氏名</t>
  </si>
  <si>
    <t>▼保育士常勤換算</t>
  </si>
  <si>
    <t>常勤換算合計</t>
  </si>
  <si>
    <t>勤務体制</t>
  </si>
  <si>
    <t>時間数</t>
  </si>
  <si>
    <t>常勤換算</t>
  </si>
  <si>
    <t>2019030023</t>
  </si>
  <si>
    <t>北山</t>
  </si>
  <si>
    <t>真美子</t>
  </si>
  <si>
    <t>2024年04月01日〜2024年04月30日</t>
  </si>
  <si>
    <t>正社員(一般)・園長（配置内）</t>
  </si>
  <si>
    <t>日</t>
  </si>
  <si>
    <t>サ勤 イ務</t>
  </si>
  <si>
    <t>シ 始フ 業ト</t>
  </si>
  <si>
    <t>シ 終フ 業ト</t>
  </si>
  <si>
    <t>打 出刻</t>
  </si>
  <si>
    <t>打 退刻</t>
  </si>
  <si>
    <t>出社</t>
  </si>
  <si>
    <t>退社</t>
  </si>
  <si>
    <t>休 時憩</t>
  </si>
  <si>
    <t>シ 時フ 間ト</t>
  </si>
  <si>
    <t>実 時働</t>
  </si>
  <si>
    <t>勤 時務</t>
  </si>
  <si>
    <t>残法 業定 時内</t>
  </si>
  <si>
    <t>間超シ 過フ 時ト</t>
  </si>
  <si>
    <t>深夜</t>
  </si>
  <si>
    <t>遅早</t>
  </si>
  <si>
    <t>ン</t>
  </si>
  <si>
    <t>社</t>
  </si>
  <si>
    <t>間</t>
  </si>
  <si>
    <t>1(月)</t>
  </si>
  <si>
    <t>通常</t>
  </si>
  <si>
    <t>07:15</t>
  </si>
  <si>
    <t>60</t>
  </si>
  <si>
    <t>00:00</t>
  </si>
  <si>
    <t>01:16</t>
  </si>
  <si>
    <t>2(火)</t>
  </si>
  <si>
    <t>0</t>
  </si>
  <si>
    <t>06:00</t>
  </si>
  <si>
    <t>07:29</t>
  </si>
  <si>
    <t>01:29</t>
  </si>
  <si>
    <t>3(水)</t>
  </si>
  <si>
    <t>10:08</t>
  </si>
  <si>
    <t>02:08</t>
  </si>
  <si>
    <t>4(木)</t>
  </si>
  <si>
    <t>5(金)</t>
  </si>
  <si>
    <t>01:30</t>
  </si>
  <si>
    <t>6(土)</t>
  </si>
  <si>
    <t>7(日)</t>
  </si>
  <si>
    <t>8(月)</t>
  </si>
  <si>
    <t>9(火)</t>
  </si>
  <si>
    <t>10:45</t>
  </si>
  <si>
    <t>00:47</t>
  </si>
  <si>
    <t>10(水)</t>
  </si>
  <si>
    <t>11(木)</t>
  </si>
  <si>
    <t>12(金)</t>
  </si>
  <si>
    <t>13(土)</t>
  </si>
  <si>
    <t>01:08</t>
  </si>
  <si>
    <t>14(日)</t>
  </si>
  <si>
    <t>15(月)</t>
  </si>
  <si>
    <t>16(火)通常</t>
  </si>
  <si>
    <t>00:22</t>
  </si>
  <si>
    <t>17(水)</t>
  </si>
  <si>
    <t>10:23</t>
  </si>
  <si>
    <t>01:38</t>
  </si>
  <si>
    <t>18(木)</t>
  </si>
  <si>
    <t>08:31</t>
  </si>
  <si>
    <t>00:31</t>
  </si>
  <si>
    <t>19(金)</t>
  </si>
  <si>
    <t>00:27</t>
  </si>
  <si>
    <t>20(土)</t>
  </si>
  <si>
    <t>06:54</t>
  </si>
  <si>
    <t>00:54</t>
  </si>
  <si>
    <t>21(日)</t>
  </si>
  <si>
    <t>22(月)</t>
  </si>
  <si>
    <t>23(火)</t>
  </si>
  <si>
    <t>10:13</t>
  </si>
  <si>
    <t>00:13</t>
  </si>
  <si>
    <t>24(水)</t>
  </si>
  <si>
    <t>25(木)</t>
  </si>
  <si>
    <t>26(金)</t>
  </si>
  <si>
    <t>27(土)</t>
  </si>
  <si>
    <t>28(日)</t>
  </si>
  <si>
    <t>29(月)</t>
  </si>
  <si>
    <t>09:15</t>
  </si>
  <si>
    <t>01:15</t>
  </si>
  <si>
    <t>30(火)</t>
  </si>
  <si>
    <t>06:28</t>
  </si>
  <si>
    <t>00:28</t>
  </si>
  <si>
    <t>連絡事項</t>
  </si>
  <si>
    <t>日数</t>
  </si>
  <si>
    <t>出勤</t>
  </si>
  <si>
    <t>夜勤</t>
  </si>
  <si>
    <t>有休</t>
  </si>
  <si>
    <t>特休</t>
  </si>
  <si>
    <t>産前</t>
  </si>
  <si>
    <t>産後</t>
  </si>
  <si>
    <t>育児</t>
  </si>
  <si>
    <t>介護</t>
  </si>
  <si>
    <t>休業</t>
  </si>
  <si>
    <t>22</t>
  </si>
  <si>
    <t>0.0</t>
  </si>
  <si>
    <t>時間</t>
  </si>
  <si>
    <t>時間外</t>
  </si>
  <si>
    <t>実働</t>
  </si>
  <si>
    <t>勤務</t>
  </si>
  <si>
    <t>総労働</t>
  </si>
  <si>
    <t>法定内</t>
  </si>
  <si>
    <t>合計</t>
  </si>
  <si>
    <t>固定控除後</t>
  </si>
  <si>
    <t>174:15</t>
  </si>
  <si>
    <t>168:00</t>
  </si>
  <si>
    <t>191:30</t>
  </si>
  <si>
    <t>23:30</t>
  </si>
  <si>
    <t>2021040139</t>
  </si>
  <si>
    <t>菊地</t>
  </si>
  <si>
    <t>康子</t>
  </si>
  <si>
    <t>パート(社保 40H以内)・調理員</t>
  </si>
  <si>
    <t>間残法 業定 時外</t>
  </si>
  <si>
    <t>01:45</t>
  </si>
  <si>
    <t>02:00</t>
  </si>
  <si>
    <t>04:45</t>
  </si>
  <si>
    <t>00:15</t>
  </si>
  <si>
    <t>10:16</t>
  </si>
  <si>
    <t>02:16</t>
  </si>
  <si>
    <t>10:19</t>
  </si>
  <si>
    <t>02:19</t>
  </si>
  <si>
    <t>10:05</t>
  </si>
  <si>
    <t>02:05</t>
  </si>
  <si>
    <t>09:53</t>
  </si>
  <si>
    <t>01:53</t>
  </si>
  <si>
    <t>10:20</t>
  </si>
  <si>
    <t>02:20</t>
  </si>
  <si>
    <t>00:23</t>
  </si>
  <si>
    <t>01:52</t>
  </si>
  <si>
    <t>00:42</t>
  </si>
  <si>
    <t>19</t>
  </si>
  <si>
    <t>週</t>
  </si>
  <si>
    <t>153:45</t>
  </si>
  <si>
    <t>135:15</t>
  </si>
  <si>
    <t>157:00</t>
  </si>
  <si>
    <t>21:45</t>
  </si>
  <si>
    <t>2021040141</t>
  </si>
  <si>
    <t>手塚</t>
  </si>
  <si>
    <t>由起子</t>
  </si>
  <si>
    <t>05:00</t>
  </si>
  <si>
    <t>00:30</t>
  </si>
  <si>
    <t>01:00</t>
  </si>
  <si>
    <t>16(火)</t>
  </si>
  <si>
    <t>05:06</t>
  </si>
  <si>
    <t>00:06</t>
  </si>
  <si>
    <t>00:34</t>
  </si>
  <si>
    <t>167:30</t>
  </si>
  <si>
    <t>143:15</t>
  </si>
  <si>
    <t>169:15</t>
  </si>
  <si>
    <t>26:00</t>
  </si>
  <si>
    <t>2021040143</t>
  </si>
  <si>
    <t>髙坂</t>
  </si>
  <si>
    <t>千佳子</t>
  </si>
  <si>
    <t>パート(社保 29H以内)・保育士</t>
  </si>
  <si>
    <t>06:04</t>
  </si>
  <si>
    <t>00:04</t>
  </si>
  <si>
    <t>00:05</t>
  </si>
  <si>
    <t>07:00</t>
  </si>
  <si>
    <t>06:07</t>
  </si>
  <si>
    <t>00:07</t>
  </si>
  <si>
    <t>08:07</t>
  </si>
  <si>
    <t>00:20</t>
  </si>
  <si>
    <t>00:45</t>
  </si>
  <si>
    <t>00:09</t>
  </si>
  <si>
    <t>17</t>
  </si>
  <si>
    <t>15</t>
  </si>
  <si>
    <t>2.0</t>
  </si>
  <si>
    <t>127:00</t>
  </si>
  <si>
    <t>110:00</t>
  </si>
  <si>
    <t>112:15</t>
  </si>
  <si>
    <t>00:18</t>
  </si>
  <si>
    <t>02:30</t>
  </si>
  <si>
    <t>16:00</t>
  </si>
  <si>
    <t>128:15</t>
  </si>
  <si>
    <t>2021060013</t>
  </si>
  <si>
    <t>中原</t>
  </si>
  <si>
    <t>郁子</t>
  </si>
  <si>
    <t>パート(雇保無)・保育士</t>
  </si>
  <si>
    <t>12:53</t>
  </si>
  <si>
    <t>05:45</t>
  </si>
  <si>
    <t>06:26</t>
  </si>
  <si>
    <t>00:41</t>
  </si>
  <si>
    <t>14:28</t>
  </si>
  <si>
    <t>14:45</t>
  </si>
  <si>
    <t>04:52</t>
  </si>
  <si>
    <t>14:31</t>
  </si>
  <si>
    <t>04:58</t>
  </si>
  <si>
    <t>13:24</t>
  </si>
  <si>
    <t>14:15</t>
  </si>
  <si>
    <t>13:21</t>
  </si>
  <si>
    <t>05:54</t>
  </si>
  <si>
    <t>12:54</t>
  </si>
  <si>
    <t>05:55</t>
  </si>
  <si>
    <t>06:05</t>
  </si>
  <si>
    <t>14:01</t>
  </si>
  <si>
    <t>05:17</t>
  </si>
  <si>
    <t>13</t>
  </si>
  <si>
    <t>79:15</t>
  </si>
  <si>
    <t>78:00</t>
  </si>
  <si>
    <t>79:45</t>
  </si>
  <si>
    <t>01:41</t>
  </si>
  <si>
    <t>2021060057</t>
  </si>
  <si>
    <t>大中</t>
  </si>
  <si>
    <t>章子</t>
  </si>
  <si>
    <t>パート(雇保有)・保育士</t>
  </si>
  <si>
    <t>05:58</t>
  </si>
  <si>
    <t>20:15</t>
  </si>
  <si>
    <t>06:37</t>
  </si>
  <si>
    <t>00:52</t>
  </si>
  <si>
    <t>06:01</t>
  </si>
  <si>
    <t>00:01</t>
  </si>
  <si>
    <t>欠勤</t>
  </si>
  <si>
    <t>91:30</t>
  </si>
  <si>
    <t>81:15</t>
  </si>
  <si>
    <t>2021070030</t>
  </si>
  <si>
    <t>長利</t>
  </si>
  <si>
    <t>奈々</t>
  </si>
  <si>
    <t>パート(社保 40H以内)・保育士</t>
  </si>
  <si>
    <t>00:55</t>
  </si>
  <si>
    <t>05:43</t>
  </si>
  <si>
    <t>00:08</t>
  </si>
  <si>
    <t>00:12</t>
  </si>
  <si>
    <t>00:10</t>
  </si>
  <si>
    <t>00:25</t>
  </si>
  <si>
    <t>06:30</t>
  </si>
  <si>
    <t>21</t>
  </si>
  <si>
    <t>20</t>
  </si>
  <si>
    <t>1.0</t>
  </si>
  <si>
    <t>161:45</t>
  </si>
  <si>
    <t>152:15</t>
  </si>
  <si>
    <t>155:30</t>
  </si>
  <si>
    <t>00:53</t>
  </si>
  <si>
    <t>03:30</t>
  </si>
  <si>
    <t>163:30</t>
  </si>
  <si>
    <t>2022020011</t>
  </si>
  <si>
    <t>袴田</t>
  </si>
  <si>
    <t>香寿美</t>
  </si>
  <si>
    <t>04:00</t>
  </si>
  <si>
    <t>06:08</t>
  </si>
  <si>
    <t>12:15</t>
  </si>
  <si>
    <t>05:15</t>
  </si>
  <si>
    <t>12:00</t>
  </si>
  <si>
    <t>06:32</t>
  </si>
  <si>
    <t>00:32</t>
  </si>
  <si>
    <t>16</t>
  </si>
  <si>
    <t>14</t>
  </si>
  <si>
    <t>88:15</t>
  </si>
  <si>
    <t>80:30</t>
  </si>
  <si>
    <t>2022040189</t>
  </si>
  <si>
    <t>庄司</t>
  </si>
  <si>
    <t>愛未</t>
  </si>
  <si>
    <t>正社員(一般)・保育士</t>
  </si>
  <si>
    <t>00:14</t>
  </si>
  <si>
    <t>00:11</t>
  </si>
  <si>
    <t>01:05</t>
  </si>
  <si>
    <t>00:17</t>
  </si>
  <si>
    <t>00:26</t>
  </si>
  <si>
    <t>171:30</t>
  </si>
  <si>
    <t>160:00</t>
  </si>
  <si>
    <t>169:45</t>
  </si>
  <si>
    <t>177:45</t>
  </si>
  <si>
    <t>2022060005</t>
  </si>
  <si>
    <t>加藤</t>
  </si>
  <si>
    <t>優里絵</t>
  </si>
  <si>
    <t>パート(雇保無)・調理員</t>
  </si>
  <si>
    <t>05:24</t>
  </si>
  <si>
    <t>00:24</t>
  </si>
  <si>
    <t>06:09</t>
  </si>
  <si>
    <t>01:09</t>
  </si>
  <si>
    <t>01:01</t>
  </si>
  <si>
    <t>05:12</t>
  </si>
  <si>
    <t>06:25</t>
  </si>
  <si>
    <t>01:25</t>
  </si>
  <si>
    <t>05:20</t>
  </si>
  <si>
    <t>05:30</t>
  </si>
  <si>
    <t>01:28</t>
  </si>
  <si>
    <t>05:11</t>
  </si>
  <si>
    <t>120</t>
  </si>
  <si>
    <t>06:16</t>
  </si>
  <si>
    <t>介 休護</t>
  </si>
  <si>
    <t>&lt;</t>
  </si>
  <si>
    <t>2承 6日認 者 自用 己備</t>
  </si>
  <si>
    <t>都考 合&gt;</t>
  </si>
  <si>
    <t>業</t>
  </si>
  <si>
    <t>のため中抜けの為休憩時間変更をしています。</t>
  </si>
  <si>
    <t>12</t>
  </si>
  <si>
    <t>66:00</t>
  </si>
  <si>
    <t>67:15</t>
  </si>
  <si>
    <t>2022060006</t>
  </si>
  <si>
    <t>吉川</t>
  </si>
  <si>
    <t>乃恵子</t>
  </si>
  <si>
    <t>15:45</t>
  </si>
  <si>
    <t>03:53</t>
  </si>
  <si>
    <t>03:45</t>
  </si>
  <si>
    <t>05:51</t>
  </si>
  <si>
    <t>3.0</t>
  </si>
  <si>
    <t>90:00</t>
  </si>
  <si>
    <t>65:30</t>
  </si>
  <si>
    <t>24:00</t>
  </si>
  <si>
    <t>89:30</t>
  </si>
  <si>
    <t>2022110029</t>
  </si>
  <si>
    <t>奥崎</t>
  </si>
  <si>
    <t>智史</t>
  </si>
  <si>
    <t>09:43</t>
  </si>
  <si>
    <t>01:43</t>
  </si>
  <si>
    <t>00:40</t>
  </si>
  <si>
    <t>161:00</t>
  </si>
  <si>
    <t>167:00</t>
  </si>
  <si>
    <t>06:15</t>
  </si>
  <si>
    <t>2023040028</t>
  </si>
  <si>
    <t>福士</t>
  </si>
  <si>
    <t>静子</t>
  </si>
  <si>
    <t>05:08</t>
  </si>
  <si>
    <t>00:16</t>
  </si>
  <si>
    <t>03:00</t>
  </si>
  <si>
    <t>162:45</t>
  </si>
  <si>
    <t>166:15</t>
  </si>
  <si>
    <t>170:45</t>
  </si>
  <si>
    <t>05:02</t>
  </si>
  <si>
    <t>2023040029</t>
  </si>
  <si>
    <t>美奈子</t>
  </si>
  <si>
    <t>パート(社保 40H以内)・事務</t>
  </si>
  <si>
    <t>00:36</t>
  </si>
  <si>
    <t>00:21</t>
  </si>
  <si>
    <t>00:29</t>
  </si>
  <si>
    <t>04:13</t>
  </si>
  <si>
    <t>164:15</t>
  </si>
  <si>
    <t>169:30</t>
  </si>
  <si>
    <t>04:15</t>
  </si>
  <si>
    <t>氏名</t>
    <rPh sb="0" eb="2">
      <t>シメイ</t>
    </rPh>
    <phoneticPr fontId="2"/>
  </si>
  <si>
    <t>労働時間</t>
    <rPh sb="0" eb="4">
      <t>ロウドウジカン</t>
    </rPh>
    <phoneticPr fontId="2"/>
  </si>
  <si>
    <t>一時</t>
    <phoneticPr fontId="2"/>
  </si>
  <si>
    <t>※企業主導型の＋1</t>
    <rPh sb="1" eb="6">
      <t>キギョウシュドウガタ</t>
    </rPh>
    <phoneticPr fontId="2"/>
  </si>
  <si>
    <t>必要保育従事者数
※一時預かり除く</t>
    <phoneticPr fontId="2"/>
  </si>
  <si>
    <t>かがやき保育園
勤務時間</t>
    <phoneticPr fontId="2"/>
  </si>
  <si>
    <t>病児保育室ポピー
勤務時間</t>
    <phoneticPr fontId="2"/>
  </si>
  <si>
    <t>保育園・病児保育室 勤務時間報告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</si>
</sst>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.0_ "/>
    <numFmt numFmtId="178" formatCode="0.00_ "/>
  </numFmts>
  <fonts count="3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6"/>
      <name val="ＭＳ Ｐゴシック"/>
      <family val="3"/>
      <charset val="128"/>
      <scheme val="minor"/>
    </font>
    <font>
      <sz val="11"/>
      <color theme="0" tint="-0.1499984740745262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6"/>
      <color theme="1"/>
      <name val="ＭＳ Ｐゴシック"/>
      <family val="2"/>
      <scheme val="minor"/>
    </font>
    <font>
      <b/>
      <sz val="18"/>
      <color theme="1"/>
      <name val="Aptos Black"/>
      <family val="2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9"/>
      <color rgb="FF404040"/>
      <name val="Meiryo UI"/>
      <family val="3"/>
      <charset val="128"/>
    </font>
    <font>
      <sz val="10"/>
      <color rgb="FF40404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rgb="FF404040"/>
      <name val="Meiryo UI"/>
      <family val="3"/>
      <charset val="128"/>
    </font>
    <font>
      <b/>
      <sz val="11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5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readingOrder="1"/>
    </xf>
    <xf numFmtId="2" fontId="6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7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1" fillId="0" borderId="0" xfId="0" applyFont="1"/>
    <xf numFmtId="0" fontId="7" fillId="4" borderId="1" xfId="0" applyFont="1" applyFill="1" applyBorder="1" applyAlignment="1">
      <alignment horizontal="center" vertical="center"/>
    </xf>
    <xf numFmtId="178" fontId="3" fillId="0" borderId="9" xfId="0" applyNumberFormat="1" applyFont="1" applyBorder="1" applyAlignment="1">
      <alignment horizontal="center" vertical="center"/>
    </xf>
    <xf numFmtId="178" fontId="3" fillId="0" borderId="10" xfId="0" applyNumberFormat="1" applyFont="1" applyBorder="1" applyAlignment="1">
      <alignment horizontal="center" vertical="center"/>
    </xf>
    <xf numFmtId="178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178" fontId="3" fillId="0" borderId="18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176" fontId="3" fillId="0" borderId="12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178" fontId="3" fillId="0" borderId="0" xfId="0" applyNumberFormat="1" applyFont="1" applyAlignment="1">
      <alignment vertical="center"/>
    </xf>
    <xf numFmtId="178" fontId="3" fillId="0" borderId="12" xfId="0" applyNumberFormat="1" applyFont="1" applyBorder="1" applyAlignment="1">
      <alignment horizontal="center" vertical="center"/>
    </xf>
    <xf numFmtId="178" fontId="3" fillId="0" borderId="14" xfId="0" applyNumberFormat="1" applyFont="1" applyBorder="1" applyAlignment="1">
      <alignment horizontal="center" vertical="center"/>
    </xf>
    <xf numFmtId="178" fontId="3" fillId="0" borderId="1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13" fillId="2" borderId="1" xfId="0" applyFont="1" applyFill="1" applyBorder="1" applyAlignment="1">
      <alignment horizontal="center" vertical="center"/>
    </xf>
    <xf numFmtId="0" fontId="3" fillId="0" borderId="0" xfId="0" applyFont="1"/>
    <xf numFmtId="0" fontId="10" fillId="0" borderId="5" xfId="0" applyFont="1" applyBorder="1" applyAlignment="1">
      <alignment horizontal="center" vertical="center"/>
    </xf>
    <xf numFmtId="0" fontId="26" fillId="6" borderId="4" xfId="0" applyFont="1" applyFill="1" applyBorder="1" applyAlignment="1">
      <alignment horizontal="center" vertical="center" wrapText="1"/>
    </xf>
    <xf numFmtId="0" fontId="25" fillId="6" borderId="3" xfId="0" applyFont="1" applyFill="1" applyBorder="1" applyAlignment="1">
      <alignment horizontal="center" vertical="center" wrapText="1"/>
    </xf>
    <xf numFmtId="178" fontId="26" fillId="6" borderId="3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0" fillId="0" borderId="38" xfId="0" applyBorder="1"/>
    <xf numFmtId="0" fontId="10" fillId="0" borderId="3" xfId="0" applyFont="1" applyBorder="1" applyAlignment="1">
      <alignment horizontal="center" vertical="center"/>
    </xf>
    <xf numFmtId="0" fontId="0" fillId="0" borderId="35" xfId="0" applyBorder="1"/>
    <xf numFmtId="0" fontId="0" fillId="0" borderId="4" xfId="0" applyBorder="1"/>
    <xf numFmtId="0" fontId="3" fillId="0" borderId="0" xfId="0" applyFont="1" applyAlignment="1">
      <alignment horizontal="right"/>
    </xf>
    <xf numFmtId="0" fontId="3" fillId="0" borderId="0" xfId="0" applyFont="1"/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14" fontId="3" fillId="0" borderId="0" xfId="0" applyNumberFormat="1" applyFont="1"/>
    <xf numFmtId="0" fontId="25" fillId="6" borderId="3" xfId="0" applyFont="1" applyFill="1" applyBorder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0" fillId="0" borderId="30" xfId="0" applyBorder="1"/>
    <xf numFmtId="0" fontId="3" fillId="0" borderId="5" xfId="0" applyFont="1" applyBorder="1" applyAlignment="1">
      <alignment horizontal="center" vertical="center"/>
    </xf>
    <xf numFmtId="0" fontId="0" fillId="0" borderId="29" xfId="0" applyBorder="1"/>
    <xf numFmtId="0" fontId="3" fillId="0" borderId="3" xfId="0" applyFont="1" applyBorder="1" applyAlignment="1">
      <alignment horizontal="center" vertical="center"/>
    </xf>
    <xf numFmtId="178" fontId="3" fillId="0" borderId="3" xfId="0" applyNumberFormat="1" applyFont="1" applyBorder="1" applyAlignment="1">
      <alignment horizontal="center" vertical="center"/>
    </xf>
    <xf numFmtId="0" fontId="0" fillId="0" borderId="31" xfId="0" applyBorder="1"/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178" fontId="3" fillId="0" borderId="0" xfId="0" applyNumberFormat="1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/>
    <xf numFmtId="178" fontId="3" fillId="0" borderId="0" xfId="0" applyNumberFormat="1" applyFont="1" applyBorder="1" applyAlignment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3" fillId="2" borderId="2" xfId="0" applyNumberFormat="1" applyFont="1" applyFill="1" applyBorder="1" applyAlignment="1">
      <alignment horizontal="center" vertical="center"/>
    </xf>
    <xf numFmtId="0" fontId="13" fillId="2" borderId="23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178" fontId="15" fillId="5" borderId="2" xfId="0" applyNumberFormat="1" applyFont="1" applyFill="1" applyBorder="1" applyAlignment="1">
      <alignment horizontal="center" vertical="center"/>
    </xf>
    <xf numFmtId="178" fontId="15" fillId="5" borderId="23" xfId="0" applyNumberFormat="1" applyFont="1" applyFill="1" applyBorder="1" applyAlignment="1">
      <alignment horizontal="center" vertical="center"/>
    </xf>
    <xf numFmtId="178" fontId="15" fillId="5" borderId="34" xfId="0" applyNumberFormat="1" applyFont="1" applyFill="1" applyBorder="1" applyAlignment="1">
      <alignment horizontal="center" vertical="center"/>
    </xf>
    <xf numFmtId="0" fontId="14" fillId="0" borderId="39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" fontId="7" fillId="4" borderId="2" xfId="0" applyNumberFormat="1" applyFont="1" applyFill="1" applyBorder="1" applyAlignment="1">
      <alignment horizontal="center" vertical="center"/>
    </xf>
    <xf numFmtId="1" fontId="7" fillId="4" borderId="24" xfId="0" applyNumberFormat="1" applyFont="1" applyFill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178" fontId="15" fillId="5" borderId="24" xfId="0" applyNumberFormat="1" applyFont="1" applyFill="1" applyBorder="1" applyAlignment="1">
      <alignment horizontal="center" vertical="center"/>
    </xf>
    <xf numFmtId="0" fontId="0" fillId="0" borderId="3" xfId="0" applyBorder="1"/>
    <xf numFmtId="0" fontId="3" fillId="0" borderId="5" xfId="0" applyFont="1" applyBorder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465865</xdr:colOff>
      <xdr:row>40</xdr:row>
      <xdr:rowOff>6911</xdr:rowOff>
    </xdr:from>
    <xdr:to>
      <xdr:col>6</xdr:col>
      <xdr:colOff>380140</xdr:colOff>
      <xdr:row>42</xdr:row>
      <xdr:rowOff>78824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35541" y="8803529"/>
          <a:ext cx="1897717" cy="452913"/>
        </a:xfrm>
        <a:prstGeom prst="rect">
          <a:avLst/>
        </a:prstGeom>
        <a:ln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93"/>
  <sheetViews>
    <sheetView workbookViewId="0">
      <selection sqref="A1:XFD1048576"/>
    </sheetView>
  </sheetViews>
  <sheetFormatPr defaultColWidth="9" defaultRowHeight="10.8" customHeight="1" x14ac:dyDescent="0.2"/>
  <cols>
    <col min="1" max="1" width="12" style="65" customWidth="1" collapsed="1"/>
    <col min="2" max="2" width="24" customWidth="1"/>
    <col min="3" max="3" width="6" customWidth="1"/>
    <col min="4" max="4" width="7" customWidth="1"/>
    <col min="5" max="55" width="9" style="66" customWidth="1" collapsed="1"/>
    <col min="56" max="56" width="9" customWidth="1"/>
    <col min="57" max="57" width="9" style="66" customWidth="1" collapsed="1"/>
    <col min="58" max="16384" width="9" style="66" collapsed="1"/>
  </cols>
  <sheetData>
    <row r="1" spans="1:55" ht="13.2" customHeight="1" x14ac:dyDescent="0.2"/>
    <row r="2" spans="1:55" s="69" customFormat="1" ht="10.8" customHeight="1" x14ac:dyDescent="0.2">
      <c r="A2" s="67"/>
      <c r="B2" s="68"/>
      <c r="C2" s="65"/>
      <c r="D2" s="65"/>
    </row>
    <row r="3" spans="1:55" s="69" customFormat="1" ht="10.8" customHeight="1" x14ac:dyDescent="0.2">
      <c r="A3" s="70"/>
      <c r="B3" s="70"/>
      <c r="C3" s="70"/>
      <c r="D3" s="70"/>
    </row>
    <row r="4" spans="1:55" s="69" customFormat="1" ht="10.8" customHeight="1" x14ac:dyDescent="0.2">
      <c r="A4" s="70"/>
      <c r="B4" s="70"/>
      <c r="C4" s="70"/>
      <c r="F4" s="71"/>
      <c r="G4" s="72"/>
      <c r="H4" s="72"/>
      <c r="I4" s="71"/>
      <c r="J4" s="73"/>
      <c r="K4" s="74"/>
      <c r="L4" s="71"/>
      <c r="M4" s="71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</row>
    <row r="5" spans="1:55" ht="10.8" customHeight="1" x14ac:dyDescent="0.2">
      <c r="A5" s="68"/>
      <c r="B5" s="68"/>
    </row>
    <row r="6" spans="1:55" ht="10.8" customHeight="1" x14ac:dyDescent="0.2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</row>
    <row r="7" spans="1:55" ht="10.8" customHeight="1" x14ac:dyDescent="0.2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</row>
    <row r="8" spans="1:55" ht="10.8" customHeight="1" x14ac:dyDescent="0.2">
      <c r="A8" s="80"/>
      <c r="B8" s="77"/>
      <c r="C8" s="79"/>
      <c r="D8" s="79"/>
      <c r="E8" s="79"/>
      <c r="F8" s="78"/>
      <c r="G8" s="78"/>
      <c r="H8" s="78"/>
      <c r="I8" s="78"/>
      <c r="J8" s="79"/>
      <c r="K8" s="79"/>
      <c r="L8" s="79"/>
      <c r="M8" s="79"/>
      <c r="N8" s="78"/>
      <c r="O8" s="78"/>
      <c r="P8" s="78"/>
      <c r="Q8" s="79"/>
      <c r="R8" s="78"/>
      <c r="S8" s="79"/>
      <c r="T8" s="79"/>
      <c r="U8" s="78"/>
      <c r="V8" s="79"/>
      <c r="W8" s="78"/>
      <c r="X8" s="79"/>
      <c r="Y8" s="78"/>
      <c r="Z8" s="79"/>
      <c r="AA8" s="79"/>
      <c r="AB8" s="79"/>
      <c r="AC8" s="79"/>
      <c r="AD8" s="78"/>
      <c r="AE8" s="78"/>
      <c r="AF8" s="79"/>
      <c r="AG8" s="79"/>
      <c r="AH8" s="78"/>
      <c r="AI8" s="78"/>
    </row>
    <row r="9" spans="1:55" ht="10.8" customHeight="1" x14ac:dyDescent="0.2">
      <c r="A9" s="80"/>
      <c r="B9" s="77"/>
      <c r="C9" s="79"/>
      <c r="D9" s="79"/>
      <c r="E9" s="79"/>
      <c r="F9" s="78"/>
      <c r="G9" s="78"/>
      <c r="H9" s="78"/>
      <c r="I9" s="78"/>
      <c r="J9" s="79"/>
      <c r="K9" s="79"/>
      <c r="L9" s="79"/>
      <c r="M9" s="79"/>
      <c r="N9" s="78"/>
      <c r="O9" s="78"/>
      <c r="P9" s="78"/>
      <c r="Q9" s="79"/>
      <c r="R9" s="78"/>
      <c r="S9" s="79"/>
      <c r="T9" s="79"/>
      <c r="U9" s="78"/>
      <c r="V9" s="79"/>
      <c r="W9" s="78"/>
      <c r="X9" s="79"/>
      <c r="Y9" s="78"/>
      <c r="Z9" s="79"/>
      <c r="AA9" s="79"/>
      <c r="AB9" s="79"/>
      <c r="AC9" s="79"/>
      <c r="AD9" s="78"/>
      <c r="AE9" s="78"/>
      <c r="AF9" s="79"/>
      <c r="AG9" s="79"/>
      <c r="AH9" s="78"/>
      <c r="AI9" s="78"/>
    </row>
    <row r="10" spans="1:55" ht="10.8" customHeight="1" x14ac:dyDescent="0.2">
      <c r="A10" s="80"/>
      <c r="B10" s="77"/>
      <c r="C10" s="79"/>
      <c r="D10" s="79"/>
      <c r="E10" s="79"/>
      <c r="F10" s="79"/>
      <c r="G10" s="79"/>
      <c r="H10" s="79"/>
      <c r="I10" s="79"/>
      <c r="J10" s="78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8"/>
      <c r="AC10" s="79"/>
      <c r="AD10" s="79"/>
      <c r="AE10" s="79"/>
      <c r="AF10" s="79"/>
      <c r="AG10" s="79"/>
      <c r="AH10" s="79"/>
      <c r="AI10" s="79"/>
    </row>
    <row r="11" spans="1:55" ht="10.8" customHeight="1" x14ac:dyDescent="0.2">
      <c r="A11" s="80"/>
      <c r="B11" s="77"/>
      <c r="C11" s="79"/>
      <c r="D11" s="79"/>
      <c r="E11" s="79"/>
      <c r="F11" s="79"/>
      <c r="G11" s="79"/>
      <c r="H11" s="79"/>
      <c r="I11" s="79"/>
      <c r="J11" s="78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8"/>
      <c r="AC11" s="79"/>
      <c r="AD11" s="79"/>
      <c r="AE11" s="79"/>
      <c r="AF11" s="79"/>
      <c r="AG11" s="79"/>
      <c r="AH11" s="79"/>
      <c r="AI11" s="79"/>
    </row>
    <row r="12" spans="1:55" ht="10.8" customHeight="1" x14ac:dyDescent="0.2">
      <c r="A12" s="80"/>
      <c r="B12" s="77"/>
      <c r="C12" s="79"/>
      <c r="D12" s="79"/>
      <c r="E12" s="79"/>
      <c r="F12" s="79"/>
      <c r="G12" s="79"/>
      <c r="H12" s="78"/>
      <c r="I12" s="79"/>
      <c r="J12" s="79"/>
      <c r="K12" s="78"/>
      <c r="L12" s="78"/>
      <c r="M12" s="79"/>
      <c r="N12" s="78"/>
      <c r="O12" s="79"/>
      <c r="P12" s="78"/>
      <c r="Q12" s="78"/>
      <c r="R12" s="79"/>
      <c r="S12" s="79"/>
      <c r="T12" s="79"/>
      <c r="U12" s="79"/>
      <c r="V12" s="78"/>
      <c r="W12" s="79"/>
      <c r="X12" s="78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</row>
    <row r="13" spans="1:55" ht="10.8" customHeight="1" x14ac:dyDescent="0.2">
      <c r="A13" s="80"/>
      <c r="B13" s="77"/>
      <c r="C13" s="79"/>
      <c r="D13" s="79"/>
      <c r="E13" s="79"/>
      <c r="F13" s="79"/>
      <c r="G13" s="79"/>
      <c r="H13" s="78"/>
      <c r="I13" s="79"/>
      <c r="J13" s="79"/>
      <c r="K13" s="78"/>
      <c r="L13" s="78"/>
      <c r="M13" s="79"/>
      <c r="N13" s="78"/>
      <c r="O13" s="79"/>
      <c r="P13" s="78"/>
      <c r="Q13" s="78"/>
      <c r="R13" s="79"/>
      <c r="S13" s="79"/>
      <c r="T13" s="79"/>
      <c r="U13" s="79"/>
      <c r="V13" s="78"/>
      <c r="W13" s="79"/>
      <c r="X13" s="78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</row>
    <row r="14" spans="1:55" ht="10.8" customHeight="1" x14ac:dyDescent="0.2">
      <c r="A14" s="80"/>
      <c r="B14" s="77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</row>
    <row r="15" spans="1:55" ht="10.8" customHeight="1" x14ac:dyDescent="0.2">
      <c r="A15" s="80"/>
      <c r="B15" s="77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</row>
    <row r="16" spans="1:55" ht="10.8" customHeight="1" x14ac:dyDescent="0.2">
      <c r="A16" s="80"/>
      <c r="B16" s="77"/>
      <c r="C16" s="79"/>
      <c r="D16" s="79"/>
      <c r="E16" s="79"/>
      <c r="F16" s="79"/>
      <c r="G16" s="79"/>
      <c r="H16" s="78"/>
      <c r="I16" s="78"/>
      <c r="J16" s="79"/>
      <c r="K16" s="79"/>
      <c r="L16" s="79"/>
      <c r="M16" s="78"/>
      <c r="N16" s="78"/>
      <c r="O16" s="78"/>
      <c r="P16" s="79"/>
      <c r="Q16" s="78"/>
      <c r="R16" s="79"/>
      <c r="S16" s="79"/>
      <c r="T16" s="79"/>
      <c r="U16" s="78"/>
      <c r="V16" s="78"/>
      <c r="W16" s="79"/>
      <c r="X16" s="78"/>
      <c r="Y16" s="79"/>
      <c r="Z16" s="78"/>
      <c r="AA16" s="78"/>
      <c r="AB16" s="79"/>
      <c r="AC16" s="79"/>
      <c r="AD16" s="78"/>
      <c r="AE16" s="79"/>
      <c r="AF16" s="78"/>
      <c r="AG16" s="78"/>
      <c r="AH16" s="79"/>
      <c r="AI16" s="78"/>
    </row>
    <row r="17" spans="1:35" ht="10.8" customHeight="1" x14ac:dyDescent="0.2">
      <c r="A17" s="80"/>
      <c r="B17" s="77"/>
      <c r="C17" s="79"/>
      <c r="D17" s="79"/>
      <c r="E17" s="79"/>
      <c r="F17" s="79"/>
      <c r="G17" s="79"/>
      <c r="H17" s="78"/>
      <c r="I17" s="78"/>
      <c r="J17" s="79"/>
      <c r="K17" s="79"/>
      <c r="L17" s="79"/>
      <c r="M17" s="78"/>
      <c r="N17" s="78"/>
      <c r="O17" s="78"/>
      <c r="P17" s="79"/>
      <c r="Q17" s="78"/>
      <c r="R17" s="79"/>
      <c r="S17" s="79"/>
      <c r="T17" s="79"/>
      <c r="U17" s="78"/>
      <c r="V17" s="78"/>
      <c r="W17" s="79"/>
      <c r="X17" s="78"/>
      <c r="Y17" s="79"/>
      <c r="Z17" s="78"/>
      <c r="AA17" s="78"/>
      <c r="AB17" s="79"/>
      <c r="AC17" s="79"/>
      <c r="AD17" s="78"/>
      <c r="AE17" s="79"/>
      <c r="AF17" s="78"/>
      <c r="AG17" s="78"/>
      <c r="AH17" s="79"/>
      <c r="AI17" s="78"/>
    </row>
    <row r="18" spans="1:35" ht="10.8" customHeight="1" x14ac:dyDescent="0.2">
      <c r="A18" s="80"/>
      <c r="B18" s="77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</row>
    <row r="19" spans="1:35" ht="10.8" customHeight="1" x14ac:dyDescent="0.2">
      <c r="A19" s="80"/>
      <c r="B19" s="77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</row>
    <row r="20" spans="1:35" ht="10.8" customHeight="1" x14ac:dyDescent="0.2">
      <c r="A20" s="80"/>
      <c r="B20" s="77"/>
      <c r="C20" s="79"/>
      <c r="D20" s="79"/>
      <c r="E20" s="79"/>
      <c r="F20" s="79"/>
      <c r="G20" s="78"/>
      <c r="H20" s="79"/>
      <c r="I20" s="79"/>
      <c r="J20" s="79"/>
      <c r="K20" s="78"/>
      <c r="L20" s="79"/>
      <c r="M20" s="78"/>
      <c r="N20" s="78"/>
      <c r="O20" s="78"/>
      <c r="P20" s="79"/>
      <c r="Q20" s="79"/>
      <c r="R20" s="78"/>
      <c r="S20" s="79"/>
      <c r="T20" s="78"/>
      <c r="U20" s="78"/>
      <c r="V20" s="79"/>
      <c r="W20" s="78"/>
      <c r="X20" s="79"/>
      <c r="Y20" s="78"/>
      <c r="Z20" s="79"/>
      <c r="AA20" s="79"/>
      <c r="AB20" s="79"/>
      <c r="AC20" s="78"/>
      <c r="AD20" s="78"/>
      <c r="AE20" s="79"/>
      <c r="AF20" s="78"/>
      <c r="AG20" s="79"/>
      <c r="AH20" s="79"/>
      <c r="AI20" s="78"/>
    </row>
    <row r="21" spans="1:35" ht="10.8" customHeight="1" x14ac:dyDescent="0.2">
      <c r="A21" s="80"/>
      <c r="B21" s="77"/>
      <c r="C21" s="79"/>
      <c r="D21" s="79"/>
      <c r="E21" s="79"/>
      <c r="F21" s="79"/>
      <c r="G21" s="78"/>
      <c r="H21" s="79"/>
      <c r="I21" s="79"/>
      <c r="J21" s="79"/>
      <c r="K21" s="78"/>
      <c r="L21" s="79"/>
      <c r="M21" s="78"/>
      <c r="N21" s="78"/>
      <c r="O21" s="78"/>
      <c r="P21" s="79"/>
      <c r="Q21" s="79"/>
      <c r="R21" s="78"/>
      <c r="S21" s="79"/>
      <c r="T21" s="78"/>
      <c r="U21" s="78"/>
      <c r="V21" s="79"/>
      <c r="W21" s="78"/>
      <c r="X21" s="79"/>
      <c r="Y21" s="78"/>
      <c r="Z21" s="79"/>
      <c r="AA21" s="79"/>
      <c r="AB21" s="79"/>
      <c r="AC21" s="78"/>
      <c r="AD21" s="78"/>
      <c r="AE21" s="79"/>
      <c r="AF21" s="78"/>
      <c r="AG21" s="79"/>
      <c r="AH21" s="79"/>
      <c r="AI21" s="78"/>
    </row>
    <row r="22" spans="1:35" ht="10.8" customHeight="1" x14ac:dyDescent="0.2">
      <c r="A22" s="80"/>
      <c r="B22" s="77"/>
      <c r="C22" s="79"/>
      <c r="D22" s="79"/>
      <c r="E22" s="79"/>
      <c r="F22" s="79"/>
      <c r="G22" s="79"/>
      <c r="H22" s="79"/>
      <c r="I22" s="79"/>
      <c r="J22" s="78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</row>
    <row r="23" spans="1:35" ht="10.8" customHeight="1" x14ac:dyDescent="0.2">
      <c r="A23" s="80"/>
      <c r="B23" s="77"/>
      <c r="C23" s="79"/>
      <c r="D23" s="79"/>
      <c r="E23" s="79"/>
      <c r="F23" s="79"/>
      <c r="G23" s="79"/>
      <c r="H23" s="79"/>
      <c r="I23" s="79"/>
      <c r="J23" s="78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</row>
    <row r="24" spans="1:35" ht="10.8" customHeight="1" x14ac:dyDescent="0.2">
      <c r="A24" s="80"/>
      <c r="B24" s="77"/>
      <c r="C24" s="79"/>
      <c r="D24" s="79"/>
      <c r="E24" s="79"/>
      <c r="F24" s="78"/>
      <c r="G24" s="78"/>
      <c r="H24" s="79"/>
      <c r="I24" s="79"/>
      <c r="J24" s="79"/>
      <c r="K24" s="78"/>
      <c r="L24" s="79"/>
      <c r="M24" s="78"/>
      <c r="N24" s="79"/>
      <c r="O24" s="79"/>
      <c r="P24" s="78"/>
      <c r="Q24" s="79"/>
      <c r="R24" s="78"/>
      <c r="S24" s="79"/>
      <c r="T24" s="79"/>
      <c r="U24" s="79"/>
      <c r="V24" s="78"/>
      <c r="W24" s="78"/>
      <c r="X24" s="79"/>
      <c r="Y24" s="79"/>
      <c r="Z24" s="79"/>
      <c r="AA24" s="79"/>
      <c r="AB24" s="79"/>
      <c r="AC24" s="78"/>
      <c r="AD24" s="79"/>
      <c r="AE24" s="78"/>
      <c r="AF24" s="79"/>
      <c r="AG24" s="79"/>
      <c r="AH24" s="79"/>
      <c r="AI24" s="79"/>
    </row>
    <row r="25" spans="1:35" ht="10.8" customHeight="1" x14ac:dyDescent="0.2">
      <c r="A25" s="80"/>
      <c r="B25" s="77"/>
      <c r="C25" s="79"/>
      <c r="D25" s="79"/>
      <c r="E25" s="79"/>
      <c r="F25" s="78"/>
      <c r="G25" s="78"/>
      <c r="H25" s="79"/>
      <c r="I25" s="79"/>
      <c r="J25" s="79"/>
      <c r="K25" s="78"/>
      <c r="L25" s="79"/>
      <c r="M25" s="78"/>
      <c r="N25" s="79"/>
      <c r="O25" s="79"/>
      <c r="P25" s="78"/>
      <c r="Q25" s="79"/>
      <c r="R25" s="78"/>
      <c r="S25" s="79"/>
      <c r="T25" s="79"/>
      <c r="U25" s="79"/>
      <c r="V25" s="78"/>
      <c r="W25" s="78"/>
      <c r="X25" s="79"/>
      <c r="Y25" s="79"/>
      <c r="Z25" s="79"/>
      <c r="AA25" s="79"/>
      <c r="AB25" s="79"/>
      <c r="AC25" s="78"/>
      <c r="AD25" s="79"/>
      <c r="AE25" s="78"/>
      <c r="AF25" s="79"/>
      <c r="AG25" s="79"/>
      <c r="AH25" s="79"/>
      <c r="AI25" s="79"/>
    </row>
    <row r="26" spans="1:35" ht="10.8" customHeight="1" x14ac:dyDescent="0.2">
      <c r="A26" s="80"/>
      <c r="B26" s="77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</row>
    <row r="27" spans="1:35" ht="10.8" customHeight="1" x14ac:dyDescent="0.2">
      <c r="A27" s="80"/>
      <c r="B27" s="77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</row>
    <row r="28" spans="1:35" ht="10.8" customHeight="1" x14ac:dyDescent="0.2">
      <c r="A28" s="80"/>
      <c r="B28" s="77"/>
      <c r="C28" s="79"/>
      <c r="D28" s="79"/>
      <c r="E28" s="79"/>
      <c r="F28" s="79"/>
      <c r="G28" s="78"/>
      <c r="H28" s="78"/>
      <c r="I28" s="78"/>
      <c r="J28" s="78"/>
      <c r="K28" s="79"/>
      <c r="L28" s="79"/>
      <c r="M28" s="78"/>
      <c r="N28" s="78"/>
      <c r="O28" s="78"/>
      <c r="P28" s="79"/>
      <c r="Q28" s="79"/>
      <c r="R28" s="79"/>
      <c r="S28" s="79"/>
      <c r="T28" s="79"/>
      <c r="U28" s="78"/>
      <c r="V28" s="79"/>
      <c r="W28" s="78"/>
      <c r="X28" s="78"/>
      <c r="Y28" s="78"/>
      <c r="Z28" s="79"/>
      <c r="AA28" s="78"/>
      <c r="AB28" s="79"/>
      <c r="AC28" s="79"/>
      <c r="AD28" s="79"/>
      <c r="AE28" s="78"/>
      <c r="AF28" s="78"/>
      <c r="AG28" s="79"/>
      <c r="AH28" s="79"/>
      <c r="AI28" s="78"/>
    </row>
    <row r="29" spans="1:35" ht="10.8" customHeight="1" x14ac:dyDescent="0.2">
      <c r="A29" s="80"/>
      <c r="B29" s="77"/>
      <c r="C29" s="79"/>
      <c r="D29" s="79"/>
      <c r="E29" s="79"/>
      <c r="F29" s="79"/>
      <c r="G29" s="78"/>
      <c r="H29" s="78"/>
      <c r="I29" s="78"/>
      <c r="J29" s="78"/>
      <c r="K29" s="79"/>
      <c r="L29" s="79"/>
      <c r="M29" s="78"/>
      <c r="N29" s="78"/>
      <c r="O29" s="78"/>
      <c r="P29" s="79"/>
      <c r="Q29" s="79"/>
      <c r="R29" s="79"/>
      <c r="S29" s="79"/>
      <c r="T29" s="79"/>
      <c r="U29" s="78"/>
      <c r="V29" s="79"/>
      <c r="W29" s="78"/>
      <c r="X29" s="78"/>
      <c r="Y29" s="78"/>
      <c r="Z29" s="79"/>
      <c r="AA29" s="78"/>
      <c r="AB29" s="79"/>
      <c r="AC29" s="79"/>
      <c r="AD29" s="79"/>
      <c r="AE29" s="78"/>
      <c r="AF29" s="78"/>
      <c r="AG29" s="79"/>
      <c r="AH29" s="79"/>
      <c r="AI29" s="78"/>
    </row>
    <row r="30" spans="1:35" ht="10.8" customHeight="1" x14ac:dyDescent="0.2">
      <c r="A30" s="80"/>
      <c r="B30" s="77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</row>
    <row r="31" spans="1:35" ht="10.8" customHeight="1" x14ac:dyDescent="0.2">
      <c r="A31" s="80"/>
      <c r="B31" s="77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</row>
    <row r="32" spans="1:35" ht="10.8" customHeight="1" x14ac:dyDescent="0.2">
      <c r="A32" s="80"/>
      <c r="B32" s="77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</row>
    <row r="33" spans="1:35" ht="10.8" customHeight="1" x14ac:dyDescent="0.2">
      <c r="A33" s="80"/>
      <c r="B33" s="77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</row>
    <row r="34" spans="1:35" ht="10.8" customHeight="1" x14ac:dyDescent="0.2">
      <c r="A34" s="80"/>
      <c r="B34" s="77"/>
      <c r="C34" s="79"/>
      <c r="D34" s="79"/>
      <c r="E34" s="79"/>
      <c r="F34" s="79"/>
      <c r="G34" s="78"/>
      <c r="H34" s="79"/>
      <c r="I34" s="79"/>
      <c r="J34" s="79"/>
      <c r="K34" s="79"/>
      <c r="L34" s="79"/>
      <c r="M34" s="79"/>
      <c r="N34" s="79"/>
      <c r="O34" s="78"/>
      <c r="P34" s="78"/>
      <c r="Q34" s="79"/>
      <c r="R34" s="78"/>
      <c r="S34" s="79"/>
      <c r="T34" s="78"/>
      <c r="U34" s="79"/>
      <c r="V34" s="79"/>
      <c r="W34" s="78"/>
      <c r="X34" s="79"/>
      <c r="Y34" s="79"/>
      <c r="Z34" s="79"/>
      <c r="AA34" s="78"/>
      <c r="AB34" s="78"/>
      <c r="AC34" s="79"/>
      <c r="AD34" s="79"/>
      <c r="AE34" s="78"/>
      <c r="AF34" s="78"/>
      <c r="AG34" s="79"/>
      <c r="AH34" s="79"/>
      <c r="AI34" s="78"/>
    </row>
    <row r="35" spans="1:35" ht="10.8" customHeight="1" x14ac:dyDescent="0.2">
      <c r="A35" s="80"/>
      <c r="B35" s="77"/>
      <c r="C35" s="79"/>
      <c r="D35" s="79"/>
      <c r="E35" s="79"/>
      <c r="F35" s="79"/>
      <c r="G35" s="78"/>
      <c r="H35" s="79"/>
      <c r="I35" s="79"/>
      <c r="J35" s="79"/>
      <c r="K35" s="79"/>
      <c r="L35" s="79"/>
      <c r="M35" s="79"/>
      <c r="N35" s="79"/>
      <c r="O35" s="78"/>
      <c r="P35" s="78"/>
      <c r="Q35" s="79"/>
      <c r="R35" s="78"/>
      <c r="S35" s="79"/>
      <c r="T35" s="78"/>
      <c r="U35" s="79"/>
      <c r="V35" s="79"/>
      <c r="W35" s="78"/>
      <c r="X35" s="79"/>
      <c r="Y35" s="79"/>
      <c r="Z35" s="79"/>
      <c r="AA35" s="78"/>
      <c r="AB35" s="78"/>
      <c r="AC35" s="79"/>
      <c r="AD35" s="79"/>
      <c r="AE35" s="78"/>
      <c r="AF35" s="78"/>
      <c r="AG35" s="79"/>
      <c r="AH35" s="79"/>
      <c r="AI35" s="78"/>
    </row>
    <row r="36" spans="1:35" ht="10.8" customHeight="1" x14ac:dyDescent="0.2">
      <c r="A36" s="80"/>
      <c r="B36" s="77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</row>
    <row r="37" spans="1:35" ht="10.8" customHeight="1" x14ac:dyDescent="0.2">
      <c r="A37" s="80"/>
      <c r="B37" s="77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  <c r="AA37" s="79"/>
      <c r="AB37" s="79"/>
      <c r="AC37" s="79"/>
      <c r="AD37" s="79"/>
      <c r="AE37" s="79"/>
      <c r="AF37" s="79"/>
      <c r="AG37" s="79"/>
      <c r="AH37" s="79"/>
      <c r="AI37" s="79"/>
    </row>
    <row r="38" spans="1:35" ht="10.8" customHeight="1" x14ac:dyDescent="0.2">
      <c r="A38" s="80"/>
      <c r="B38" s="77"/>
      <c r="C38" s="79"/>
      <c r="D38" s="79"/>
      <c r="E38" s="79"/>
      <c r="F38" s="78"/>
      <c r="G38" s="78"/>
      <c r="H38" s="79"/>
      <c r="I38" s="78"/>
      <c r="J38" s="78"/>
      <c r="K38" s="78"/>
      <c r="L38" s="78"/>
      <c r="M38" s="79"/>
      <c r="N38" s="78"/>
      <c r="O38" s="78"/>
      <c r="P38" s="78"/>
      <c r="Q38" s="78"/>
      <c r="R38" s="79"/>
      <c r="S38" s="79"/>
      <c r="T38" s="78"/>
      <c r="U38" s="78"/>
      <c r="V38" s="78"/>
      <c r="W38" s="78"/>
      <c r="X38" s="79"/>
      <c r="Y38" s="79"/>
      <c r="Z38" s="79"/>
      <c r="AA38" s="79"/>
      <c r="AB38" s="79"/>
      <c r="AC38" s="78"/>
      <c r="AD38" s="79"/>
      <c r="AE38" s="78"/>
      <c r="AF38" s="79"/>
      <c r="AG38" s="79"/>
      <c r="AH38" s="79"/>
      <c r="AI38" s="79"/>
    </row>
    <row r="39" spans="1:35" ht="10.8" customHeight="1" x14ac:dyDescent="0.2">
      <c r="A39" s="80"/>
      <c r="B39" s="77"/>
      <c r="C39" s="79"/>
      <c r="D39" s="79"/>
      <c r="E39" s="79"/>
      <c r="F39" s="78"/>
      <c r="G39" s="78"/>
      <c r="H39" s="79"/>
      <c r="I39" s="78"/>
      <c r="J39" s="78"/>
      <c r="K39" s="78"/>
      <c r="L39" s="78"/>
      <c r="M39" s="79"/>
      <c r="N39" s="78"/>
      <c r="O39" s="78"/>
      <c r="P39" s="78"/>
      <c r="Q39" s="78"/>
      <c r="R39" s="79"/>
      <c r="S39" s="79"/>
      <c r="T39" s="78"/>
      <c r="U39" s="78"/>
      <c r="V39" s="78"/>
      <c r="W39" s="78"/>
      <c r="X39" s="79"/>
      <c r="Y39" s="79"/>
      <c r="Z39" s="79"/>
      <c r="AA39" s="79"/>
      <c r="AB39" s="79"/>
      <c r="AC39" s="78"/>
      <c r="AD39" s="79"/>
      <c r="AE39" s="78"/>
      <c r="AF39" s="79"/>
      <c r="AG39" s="79"/>
      <c r="AH39" s="79"/>
      <c r="AI39" s="79"/>
    </row>
    <row r="40" spans="1:35" ht="10.8" customHeight="1" x14ac:dyDescent="0.2">
      <c r="A40" s="80"/>
      <c r="B40" s="77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  <c r="AA40" s="79"/>
      <c r="AB40" s="78"/>
      <c r="AC40" s="79"/>
      <c r="AD40" s="79"/>
      <c r="AE40" s="79"/>
      <c r="AF40" s="79"/>
      <c r="AG40" s="79"/>
      <c r="AH40" s="79"/>
      <c r="AI40" s="79"/>
    </row>
    <row r="41" spans="1:35" ht="10.8" customHeight="1" x14ac:dyDescent="0.2">
      <c r="A41" s="80"/>
      <c r="B41" s="77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8"/>
      <c r="AC41" s="79"/>
      <c r="AD41" s="79"/>
      <c r="AE41" s="79"/>
      <c r="AF41" s="79"/>
      <c r="AG41" s="79"/>
      <c r="AH41" s="79"/>
      <c r="AI41" s="79"/>
    </row>
    <row r="42" spans="1:35" ht="10.8" customHeight="1" x14ac:dyDescent="0.2">
      <c r="A42" s="80"/>
      <c r="B42" s="77"/>
      <c r="C42" s="79"/>
      <c r="D42" s="79"/>
      <c r="E42" s="79"/>
      <c r="F42" s="79"/>
      <c r="G42" s="79"/>
      <c r="H42" s="79"/>
      <c r="I42" s="79"/>
      <c r="J42" s="79"/>
      <c r="K42" s="78"/>
      <c r="L42" s="79"/>
      <c r="M42" s="79"/>
      <c r="N42" s="79"/>
      <c r="O42" s="79"/>
      <c r="P42" s="79"/>
      <c r="Q42" s="78"/>
      <c r="R42" s="79"/>
      <c r="S42" s="79"/>
      <c r="T42" s="78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8"/>
      <c r="AF42" s="78"/>
      <c r="AG42" s="79"/>
      <c r="AH42" s="78"/>
      <c r="AI42" s="79"/>
    </row>
    <row r="43" spans="1:35" ht="10.8" customHeight="1" x14ac:dyDescent="0.2">
      <c r="A43" s="80"/>
      <c r="B43" s="77"/>
      <c r="C43" s="79"/>
      <c r="D43" s="79"/>
      <c r="E43" s="79"/>
      <c r="F43" s="79"/>
      <c r="G43" s="79"/>
      <c r="H43" s="79"/>
      <c r="I43" s="79"/>
      <c r="J43" s="79"/>
      <c r="K43" s="78"/>
      <c r="L43" s="79"/>
      <c r="M43" s="79"/>
      <c r="N43" s="79"/>
      <c r="O43" s="79"/>
      <c r="P43" s="79"/>
      <c r="Q43" s="78"/>
      <c r="R43" s="79"/>
      <c r="S43" s="79"/>
      <c r="T43" s="78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8"/>
      <c r="AF43" s="78"/>
      <c r="AG43" s="79"/>
      <c r="AH43" s="78"/>
      <c r="AI43" s="79"/>
    </row>
    <row r="44" spans="1:35" ht="10.8" customHeight="1" x14ac:dyDescent="0.2">
      <c r="A44" s="80"/>
      <c r="B44" s="77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  <c r="AA44" s="79"/>
      <c r="AB44" s="79"/>
      <c r="AC44" s="79"/>
      <c r="AD44" s="79"/>
      <c r="AE44" s="79"/>
      <c r="AF44" s="79"/>
      <c r="AG44" s="79"/>
      <c r="AH44" s="79"/>
      <c r="AI44" s="79"/>
    </row>
    <row r="45" spans="1:35" ht="10.8" customHeight="1" x14ac:dyDescent="0.2">
      <c r="A45" s="80"/>
      <c r="B45" s="77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</row>
    <row r="46" spans="1:35" ht="10.8" customHeight="1" x14ac:dyDescent="0.2">
      <c r="A46" s="80"/>
      <c r="B46" s="77"/>
      <c r="C46" s="79"/>
      <c r="D46" s="79"/>
      <c r="E46" s="79"/>
      <c r="F46" s="78"/>
      <c r="G46" s="79"/>
      <c r="H46" s="78"/>
      <c r="I46" s="78"/>
      <c r="J46" s="79"/>
      <c r="K46" s="79"/>
      <c r="L46" s="79"/>
      <c r="M46" s="79"/>
      <c r="N46" s="78"/>
      <c r="O46" s="79"/>
      <c r="P46" s="78"/>
      <c r="Q46" s="78"/>
      <c r="R46" s="79"/>
      <c r="S46" s="79"/>
      <c r="T46" s="79"/>
      <c r="U46" s="78"/>
      <c r="V46" s="78"/>
      <c r="W46" s="79"/>
      <c r="X46" s="78"/>
      <c r="Y46" s="79"/>
      <c r="Z46" s="79"/>
      <c r="AA46" s="78"/>
      <c r="AB46" s="79"/>
      <c r="AC46" s="79"/>
      <c r="AD46" s="79"/>
      <c r="AE46" s="78"/>
      <c r="AF46" s="79"/>
      <c r="AG46" s="79"/>
      <c r="AH46" s="79"/>
      <c r="AI46" s="78"/>
    </row>
    <row r="47" spans="1:35" ht="10.8" customHeight="1" x14ac:dyDescent="0.2">
      <c r="A47" s="80"/>
      <c r="B47" s="77"/>
      <c r="C47" s="79"/>
      <c r="D47" s="79"/>
      <c r="E47" s="79"/>
      <c r="F47" s="78"/>
      <c r="G47" s="79"/>
      <c r="H47" s="78"/>
      <c r="I47" s="78"/>
      <c r="J47" s="79"/>
      <c r="K47" s="79"/>
      <c r="L47" s="79"/>
      <c r="M47" s="79"/>
      <c r="N47" s="78"/>
      <c r="O47" s="79"/>
      <c r="P47" s="78"/>
      <c r="Q47" s="78"/>
      <c r="R47" s="79"/>
      <c r="S47" s="79"/>
      <c r="T47" s="79"/>
      <c r="U47" s="78"/>
      <c r="V47" s="78"/>
      <c r="W47" s="79"/>
      <c r="X47" s="78"/>
      <c r="Y47" s="79"/>
      <c r="Z47" s="79"/>
      <c r="AA47" s="78"/>
      <c r="AB47" s="79"/>
      <c r="AC47" s="79"/>
      <c r="AD47" s="79"/>
      <c r="AE47" s="78"/>
      <c r="AF47" s="79"/>
      <c r="AG47" s="79"/>
      <c r="AH47" s="79"/>
      <c r="AI47" s="78"/>
    </row>
    <row r="48" spans="1:35" ht="10.8" customHeight="1" x14ac:dyDescent="0.2">
      <c r="A48" s="80"/>
      <c r="B48" s="77"/>
      <c r="C48" s="79"/>
      <c r="D48" s="79"/>
      <c r="E48" s="79"/>
      <c r="F48" s="79"/>
      <c r="G48" s="78"/>
      <c r="H48" s="78"/>
      <c r="I48" s="79"/>
      <c r="J48" s="78"/>
      <c r="K48" s="78"/>
      <c r="L48" s="79"/>
      <c r="M48" s="78"/>
      <c r="N48" s="78"/>
      <c r="O48" s="78"/>
      <c r="P48" s="79"/>
      <c r="Q48" s="78"/>
      <c r="R48" s="79"/>
      <c r="S48" s="78"/>
      <c r="T48" s="78"/>
      <c r="U48" s="78"/>
      <c r="V48" s="79"/>
      <c r="W48" s="78"/>
      <c r="X48" s="78"/>
      <c r="Y48" s="79"/>
      <c r="Z48" s="79"/>
      <c r="AA48" s="79"/>
      <c r="AB48" s="78"/>
      <c r="AC48" s="78"/>
      <c r="AD48" s="79"/>
      <c r="AE48" s="78"/>
      <c r="AF48" s="78"/>
      <c r="AG48" s="79"/>
      <c r="AH48" s="79"/>
      <c r="AI48" s="78"/>
    </row>
    <row r="49" spans="1:35" ht="10.8" customHeight="1" x14ac:dyDescent="0.2">
      <c r="A49" s="80"/>
      <c r="B49" s="77"/>
      <c r="C49" s="79"/>
      <c r="D49" s="79"/>
      <c r="E49" s="79"/>
      <c r="F49" s="79"/>
      <c r="G49" s="78"/>
      <c r="H49" s="78"/>
      <c r="I49" s="79"/>
      <c r="J49" s="78"/>
      <c r="K49" s="78"/>
      <c r="L49" s="79"/>
      <c r="M49" s="78"/>
      <c r="N49" s="78"/>
      <c r="O49" s="78"/>
      <c r="P49" s="79"/>
      <c r="Q49" s="78"/>
      <c r="R49" s="79"/>
      <c r="S49" s="78"/>
      <c r="T49" s="78"/>
      <c r="U49" s="78"/>
      <c r="V49" s="79"/>
      <c r="W49" s="78"/>
      <c r="X49" s="78"/>
      <c r="Y49" s="79"/>
      <c r="Z49" s="79"/>
      <c r="AA49" s="79"/>
      <c r="AB49" s="78"/>
      <c r="AC49" s="78"/>
      <c r="AD49" s="79"/>
      <c r="AE49" s="78"/>
      <c r="AF49" s="78"/>
      <c r="AG49" s="79"/>
      <c r="AH49" s="79"/>
      <c r="AI49" s="78"/>
    </row>
    <row r="50" spans="1:35" ht="10.8" customHeight="1" x14ac:dyDescent="0.2">
      <c r="A50" s="80"/>
      <c r="B50" s="77"/>
      <c r="C50" s="79"/>
      <c r="D50" s="79"/>
      <c r="E50" s="79"/>
      <c r="F50" s="78"/>
      <c r="G50" s="78"/>
      <c r="H50" s="79"/>
      <c r="I50" s="78"/>
      <c r="J50" s="78"/>
      <c r="K50" s="79"/>
      <c r="L50" s="78"/>
      <c r="M50" s="78"/>
      <c r="N50" s="79"/>
      <c r="O50" s="78"/>
      <c r="P50" s="78"/>
      <c r="Q50" s="79"/>
      <c r="R50" s="78"/>
      <c r="S50" s="79"/>
      <c r="T50" s="78"/>
      <c r="U50" s="79"/>
      <c r="V50" s="78"/>
      <c r="W50" s="78"/>
      <c r="X50" s="79"/>
      <c r="Y50" s="78"/>
      <c r="Z50" s="79"/>
      <c r="AA50" s="78"/>
      <c r="AB50" s="78"/>
      <c r="AC50" s="78"/>
      <c r="AD50" s="78"/>
      <c r="AE50" s="79"/>
      <c r="AF50" s="79"/>
      <c r="AG50" s="78"/>
      <c r="AH50" s="78"/>
      <c r="AI50" s="79"/>
    </row>
    <row r="51" spans="1:35" ht="10.8" customHeight="1" x14ac:dyDescent="0.2">
      <c r="A51" s="80"/>
      <c r="B51" s="77"/>
      <c r="C51" s="79"/>
      <c r="D51" s="79"/>
      <c r="E51" s="79"/>
      <c r="F51" s="78"/>
      <c r="G51" s="78"/>
      <c r="H51" s="79"/>
      <c r="I51" s="78"/>
      <c r="J51" s="78"/>
      <c r="K51" s="79"/>
      <c r="L51" s="78"/>
      <c r="M51" s="78"/>
      <c r="N51" s="79"/>
      <c r="O51" s="78"/>
      <c r="P51" s="78"/>
      <c r="Q51" s="79"/>
      <c r="R51" s="78"/>
      <c r="S51" s="79"/>
      <c r="T51" s="78"/>
      <c r="U51" s="79"/>
      <c r="V51" s="78"/>
      <c r="W51" s="78"/>
      <c r="X51" s="79"/>
      <c r="Y51" s="78"/>
      <c r="Z51" s="79"/>
      <c r="AA51" s="78"/>
      <c r="AB51" s="78"/>
      <c r="AC51" s="78"/>
      <c r="AD51" s="78"/>
      <c r="AE51" s="79"/>
      <c r="AF51" s="79"/>
      <c r="AG51" s="78"/>
      <c r="AH51" s="78"/>
      <c r="AI51" s="79"/>
    </row>
    <row r="52" spans="1:35" ht="10.8" customHeight="1" x14ac:dyDescent="0.2">
      <c r="A52" s="80"/>
      <c r="B52" s="77"/>
      <c r="C52" s="79"/>
      <c r="D52" s="79"/>
      <c r="E52" s="79"/>
      <c r="F52" s="78"/>
      <c r="G52" s="78"/>
      <c r="H52" s="78"/>
      <c r="I52" s="78"/>
      <c r="J52" s="79"/>
      <c r="K52" s="79"/>
      <c r="L52" s="79"/>
      <c r="M52" s="78"/>
      <c r="N52" s="78"/>
      <c r="O52" s="78"/>
      <c r="P52" s="78"/>
      <c r="Q52" s="78"/>
      <c r="R52" s="79"/>
      <c r="S52" s="79"/>
      <c r="T52" s="78"/>
      <c r="U52" s="78"/>
      <c r="V52" s="78"/>
      <c r="W52" s="78"/>
      <c r="X52" s="78"/>
      <c r="Y52" s="79"/>
      <c r="Z52" s="79"/>
      <c r="AA52" s="78"/>
      <c r="AB52" s="78"/>
      <c r="AC52" s="78"/>
      <c r="AD52" s="78"/>
      <c r="AE52" s="78"/>
      <c r="AF52" s="78"/>
      <c r="AG52" s="79"/>
      <c r="AH52" s="79"/>
      <c r="AI52" s="78"/>
    </row>
    <row r="53" spans="1:35" ht="10.8" customHeight="1" x14ac:dyDescent="0.2">
      <c r="A53" s="80"/>
      <c r="B53" s="77"/>
      <c r="C53" s="79"/>
      <c r="D53" s="79"/>
      <c r="E53" s="79"/>
      <c r="F53" s="78"/>
      <c r="G53" s="78"/>
      <c r="H53" s="78"/>
      <c r="I53" s="78"/>
      <c r="J53" s="79"/>
      <c r="K53" s="79"/>
      <c r="L53" s="79"/>
      <c r="M53" s="78"/>
      <c r="N53" s="78"/>
      <c r="O53" s="78"/>
      <c r="P53" s="78"/>
      <c r="Q53" s="78"/>
      <c r="R53" s="79"/>
      <c r="S53" s="79"/>
      <c r="T53" s="78"/>
      <c r="U53" s="78"/>
      <c r="V53" s="78"/>
      <c r="W53" s="78"/>
      <c r="X53" s="78"/>
      <c r="Y53" s="79"/>
      <c r="Z53" s="79"/>
      <c r="AA53" s="78"/>
      <c r="AB53" s="78"/>
      <c r="AC53" s="78"/>
      <c r="AD53" s="78"/>
      <c r="AE53" s="78"/>
      <c r="AF53" s="78"/>
      <c r="AG53" s="79"/>
      <c r="AH53" s="79"/>
      <c r="AI53" s="78"/>
    </row>
    <row r="54" spans="1:35" ht="13.2" customHeight="1" x14ac:dyDescent="0.2"/>
    <row r="55" spans="1:35" ht="13.2" customHeight="1" x14ac:dyDescent="0.2"/>
    <row r="56" spans="1:35" ht="10.8" customHeight="1" x14ac:dyDescent="0.2">
      <c r="F56" s="71"/>
      <c r="G56" s="71"/>
      <c r="H56" s="71"/>
      <c r="I56" s="71"/>
      <c r="J56" s="71"/>
      <c r="K56" s="71"/>
      <c r="L56" s="71"/>
    </row>
    <row r="57" spans="1:35" ht="13.2" customHeight="1" x14ac:dyDescent="0.2"/>
    <row r="58" spans="1:35" ht="10.8" customHeight="1" x14ac:dyDescent="0.2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</row>
    <row r="59" spans="1:35" ht="10.8" customHeight="1" x14ac:dyDescent="0.2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</row>
    <row r="60" spans="1:35" ht="10.8" customHeight="1" x14ac:dyDescent="0.2">
      <c r="A60" s="80"/>
      <c r="B60" s="80"/>
      <c r="C60" s="79"/>
      <c r="D60" s="80"/>
      <c r="E60" s="80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</row>
    <row r="61" spans="1:35" ht="10.8" customHeight="1" x14ac:dyDescent="0.2">
      <c r="A61" s="80"/>
      <c r="B61" s="80"/>
      <c r="C61" s="79"/>
      <c r="D61" s="80"/>
      <c r="E61" s="80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</row>
    <row r="62" spans="1:35" ht="10.8" customHeight="1" x14ac:dyDescent="0.2">
      <c r="A62" s="80"/>
      <c r="B62" s="80"/>
      <c r="C62" s="79"/>
      <c r="D62" s="80"/>
      <c r="E62" s="80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</row>
    <row r="63" spans="1:35" ht="10.8" customHeight="1" x14ac:dyDescent="0.2">
      <c r="A63" s="80"/>
      <c r="B63" s="80"/>
      <c r="C63" s="79"/>
      <c r="D63" s="80"/>
      <c r="E63" s="80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</row>
    <row r="64" spans="1:35" ht="10.8" customHeight="1" x14ac:dyDescent="0.2">
      <c r="A64" s="80"/>
      <c r="B64" s="80"/>
      <c r="C64" s="79"/>
      <c r="D64" s="80"/>
      <c r="E64" s="80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</row>
    <row r="65" spans="1:35" ht="10.8" customHeight="1" x14ac:dyDescent="0.2">
      <c r="A65" s="80"/>
      <c r="B65" s="80"/>
      <c r="C65" s="79"/>
      <c r="D65" s="80"/>
      <c r="E65" s="80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</row>
    <row r="66" spans="1:35" ht="10.8" customHeight="1" x14ac:dyDescent="0.2">
      <c r="A66" s="80"/>
      <c r="B66" s="80"/>
      <c r="C66" s="79"/>
      <c r="D66" s="80"/>
      <c r="E66" s="80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  <c r="AA66" s="79"/>
      <c r="AB66" s="79"/>
      <c r="AC66" s="79"/>
      <c r="AD66" s="79"/>
      <c r="AE66" s="79"/>
      <c r="AF66" s="79"/>
      <c r="AG66" s="79"/>
      <c r="AH66" s="79"/>
      <c r="AI66" s="79"/>
    </row>
    <row r="67" spans="1:35" ht="10.8" customHeight="1" x14ac:dyDescent="0.2">
      <c r="A67" s="80"/>
      <c r="B67" s="80"/>
      <c r="C67" s="79"/>
      <c r="D67" s="80"/>
      <c r="E67" s="80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</row>
    <row r="68" spans="1:35" ht="10.8" customHeight="1" x14ac:dyDescent="0.2">
      <c r="A68" s="80"/>
      <c r="B68" s="80"/>
      <c r="C68" s="79"/>
      <c r="D68" s="80"/>
      <c r="E68" s="80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</row>
    <row r="69" spans="1:35" ht="10.8" customHeight="1" x14ac:dyDescent="0.2">
      <c r="A69" s="80"/>
      <c r="B69" s="80"/>
      <c r="C69" s="79"/>
      <c r="D69" s="80"/>
      <c r="E69" s="80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</row>
    <row r="70" spans="1:35" ht="10.8" customHeight="1" x14ac:dyDescent="0.2">
      <c r="A70" s="80"/>
      <c r="B70" s="80"/>
      <c r="C70" s="79"/>
      <c r="D70" s="80"/>
      <c r="E70" s="80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</row>
    <row r="71" spans="1:35" ht="10.8" customHeight="1" x14ac:dyDescent="0.2">
      <c r="A71" s="80"/>
      <c r="B71" s="80"/>
      <c r="C71" s="79"/>
      <c r="D71" s="80"/>
      <c r="E71" s="80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</row>
    <row r="72" spans="1:35" ht="10.8" customHeight="1" x14ac:dyDescent="0.2">
      <c r="A72" s="80"/>
      <c r="B72" s="80"/>
      <c r="C72" s="79"/>
      <c r="D72" s="80"/>
      <c r="E72" s="80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  <c r="AA72" s="79"/>
      <c r="AB72" s="79"/>
      <c r="AC72" s="79"/>
      <c r="AD72" s="79"/>
      <c r="AE72" s="79"/>
      <c r="AF72" s="79"/>
      <c r="AG72" s="79"/>
      <c r="AH72" s="79"/>
      <c r="AI72" s="79"/>
    </row>
    <row r="73" spans="1:35" ht="10.8" customHeight="1" x14ac:dyDescent="0.2">
      <c r="A73" s="80"/>
      <c r="B73" s="80"/>
      <c r="C73" s="79"/>
      <c r="D73" s="80"/>
      <c r="E73" s="80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</row>
    <row r="74" spans="1:35" ht="10.8" customHeight="1" x14ac:dyDescent="0.2">
      <c r="A74" s="80"/>
      <c r="B74" s="80"/>
      <c r="C74" s="79"/>
      <c r="D74" s="80"/>
      <c r="E74" s="80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</row>
    <row r="75" spans="1:35" ht="10.8" customHeight="1" x14ac:dyDescent="0.2">
      <c r="A75" s="80"/>
      <c r="B75" s="80"/>
      <c r="C75" s="79"/>
      <c r="D75" s="80"/>
      <c r="E75" s="80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  <c r="AA75" s="79"/>
      <c r="AB75" s="79"/>
      <c r="AC75" s="79"/>
      <c r="AD75" s="79"/>
      <c r="AE75" s="79"/>
      <c r="AF75" s="79"/>
      <c r="AG75" s="79"/>
      <c r="AH75" s="79"/>
      <c r="AI75" s="79"/>
    </row>
    <row r="76" spans="1:35" ht="10.8" customHeight="1" x14ac:dyDescent="0.2">
      <c r="A76" s="80"/>
      <c r="B76" s="80"/>
      <c r="C76" s="79"/>
      <c r="D76" s="80"/>
      <c r="E76" s="80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</row>
    <row r="77" spans="1:35" ht="10.8" customHeight="1" x14ac:dyDescent="0.2">
      <c r="A77" s="80"/>
      <c r="B77" s="80"/>
      <c r="C77" s="79"/>
      <c r="D77" s="80"/>
      <c r="E77" s="80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</row>
    <row r="78" spans="1:35" ht="10.8" customHeight="1" x14ac:dyDescent="0.2">
      <c r="A78" s="80"/>
      <c r="B78" s="80"/>
      <c r="C78" s="79"/>
      <c r="D78" s="80"/>
      <c r="E78" s="80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79"/>
      <c r="AB78" s="79"/>
      <c r="AC78" s="79"/>
      <c r="AD78" s="79"/>
      <c r="AE78" s="79"/>
      <c r="AF78" s="79"/>
      <c r="AG78" s="79"/>
      <c r="AH78" s="79"/>
      <c r="AI78" s="79"/>
    </row>
    <row r="79" spans="1:35" ht="10.8" customHeight="1" x14ac:dyDescent="0.2">
      <c r="A79" s="80"/>
      <c r="B79" s="80"/>
      <c r="C79" s="79"/>
      <c r="D79" s="80"/>
      <c r="E79" s="80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  <c r="AA79" s="79"/>
      <c r="AB79" s="79"/>
      <c r="AC79" s="79"/>
      <c r="AD79" s="79"/>
      <c r="AE79" s="79"/>
      <c r="AF79" s="79"/>
      <c r="AG79" s="79"/>
      <c r="AH79" s="79"/>
      <c r="AI79" s="79"/>
    </row>
    <row r="80" spans="1:35" ht="10.8" customHeight="1" x14ac:dyDescent="0.2">
      <c r="A80" s="80"/>
      <c r="B80" s="80"/>
      <c r="C80" s="79"/>
      <c r="D80" s="80"/>
      <c r="E80" s="80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</row>
    <row r="81" spans="1:35" ht="10.8" customHeight="1" x14ac:dyDescent="0.2">
      <c r="A81" s="80"/>
      <c r="B81" s="80"/>
      <c r="C81" s="79"/>
      <c r="D81" s="80"/>
      <c r="E81" s="80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</row>
    <row r="82" spans="1:35" ht="10.8" customHeight="1" x14ac:dyDescent="0.2">
      <c r="A82" s="80"/>
      <c r="B82" s="80"/>
      <c r="C82" s="79"/>
      <c r="D82" s="80"/>
      <c r="E82" s="80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  <c r="AA82" s="79"/>
      <c r="AB82" s="79"/>
      <c r="AC82" s="79"/>
      <c r="AD82" s="79"/>
      <c r="AE82" s="79"/>
      <c r="AF82" s="79"/>
      <c r="AG82" s="79"/>
      <c r="AH82" s="79"/>
      <c r="AI82" s="79"/>
    </row>
    <row r="83" spans="1:35" ht="10.8" customHeight="1" x14ac:dyDescent="0.2">
      <c r="A83" s="80"/>
      <c r="B83" s="80"/>
      <c r="C83" s="79"/>
      <c r="D83" s="80"/>
      <c r="E83" s="80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</row>
    <row r="84" spans="1:35" ht="10.8" customHeight="1" x14ac:dyDescent="0.2">
      <c r="A84" s="80"/>
      <c r="B84" s="80"/>
      <c r="C84" s="79"/>
      <c r="D84" s="80"/>
      <c r="E84" s="80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  <c r="AA84" s="79"/>
      <c r="AB84" s="79"/>
      <c r="AC84" s="79"/>
      <c r="AD84" s="79"/>
      <c r="AE84" s="79"/>
      <c r="AF84" s="79"/>
      <c r="AG84" s="79"/>
      <c r="AH84" s="79"/>
      <c r="AI84" s="79"/>
    </row>
    <row r="85" spans="1:35" ht="10.8" customHeight="1" x14ac:dyDescent="0.2">
      <c r="A85" s="80"/>
      <c r="B85" s="80"/>
      <c r="C85" s="79"/>
      <c r="D85" s="80"/>
      <c r="E85" s="80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  <c r="AA85" s="79"/>
      <c r="AB85" s="79"/>
      <c r="AC85" s="79"/>
      <c r="AD85" s="79"/>
      <c r="AE85" s="79"/>
      <c r="AF85" s="79"/>
      <c r="AG85" s="79"/>
      <c r="AH85" s="79"/>
      <c r="AI85" s="79"/>
    </row>
    <row r="86" spans="1:35" ht="10.8" customHeight="1" x14ac:dyDescent="0.2">
      <c r="A86" s="80"/>
      <c r="B86" s="80"/>
      <c r="C86" s="79"/>
      <c r="D86" s="80"/>
      <c r="E86" s="80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</row>
    <row r="87" spans="1:35" ht="10.8" customHeight="1" x14ac:dyDescent="0.2">
      <c r="A87" s="80"/>
      <c r="B87" s="80"/>
      <c r="C87" s="79"/>
      <c r="D87" s="80"/>
      <c r="E87" s="80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</row>
    <row r="88" spans="1:35" ht="10.8" customHeight="1" x14ac:dyDescent="0.2">
      <c r="A88" s="80"/>
      <c r="B88" s="80"/>
      <c r="C88" s="79"/>
      <c r="D88" s="80"/>
      <c r="E88" s="80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  <c r="AA88" s="79"/>
      <c r="AB88" s="79"/>
      <c r="AC88" s="79"/>
      <c r="AD88" s="79"/>
      <c r="AE88" s="79"/>
      <c r="AF88" s="79"/>
      <c r="AG88" s="79"/>
      <c r="AH88" s="79"/>
      <c r="AI88" s="79"/>
    </row>
    <row r="89" spans="1:35" ht="10.8" customHeight="1" x14ac:dyDescent="0.2">
      <c r="A89" s="80"/>
      <c r="B89" s="80"/>
      <c r="C89" s="79"/>
      <c r="D89" s="80"/>
      <c r="E89" s="80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</row>
    <row r="90" spans="1:35" ht="10.8" customHeight="1" x14ac:dyDescent="0.2">
      <c r="A90" s="80"/>
      <c r="B90" s="80"/>
      <c r="C90" s="79"/>
      <c r="D90" s="80"/>
      <c r="E90" s="80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  <c r="AA90" s="79"/>
      <c r="AB90" s="79"/>
      <c r="AC90" s="79"/>
      <c r="AD90" s="79"/>
      <c r="AE90" s="79"/>
      <c r="AF90" s="79"/>
      <c r="AG90" s="79"/>
      <c r="AH90" s="79"/>
      <c r="AI90" s="79"/>
    </row>
    <row r="91" spans="1:35" ht="10.8" customHeight="1" x14ac:dyDescent="0.2">
      <c r="A91" s="80"/>
      <c r="B91" s="80"/>
      <c r="C91" s="79"/>
      <c r="D91" s="80"/>
      <c r="E91" s="80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</row>
    <row r="92" spans="1:35" ht="10.8" customHeight="1" x14ac:dyDescent="0.2">
      <c r="A92" s="80"/>
      <c r="B92" s="80"/>
      <c r="C92" s="79"/>
      <c r="D92" s="80"/>
      <c r="E92" s="80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</row>
    <row r="93" spans="1:35" ht="10.8" customHeight="1" x14ac:dyDescent="0.2">
      <c r="A93" s="80"/>
      <c r="B93" s="80"/>
      <c r="C93" s="79"/>
      <c r="D93" s="80"/>
      <c r="E93" s="80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  <c r="AA93" s="79"/>
      <c r="AB93" s="79"/>
      <c r="AC93" s="79"/>
      <c r="AD93" s="79"/>
      <c r="AE93" s="79"/>
      <c r="AF93" s="79"/>
      <c r="AG93" s="79"/>
      <c r="AH93" s="79"/>
      <c r="AI93" s="7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J37"/>
  <sheetViews>
    <sheetView tabSelected="1" view="pageBreakPreview" zoomScale="85" zoomScaleNormal="100" zoomScaleSheetLayoutView="85" zoomScalePageLayoutView="70" workbookViewId="0">
      <selection activeCell="Q26" sqref="Q26"/>
    </sheetView>
  </sheetViews>
  <sheetFormatPr defaultRowHeight="15" x14ac:dyDescent="0.3"/>
  <cols>
    <col min="1" max="1" width="2.6640625" style="82" customWidth="1"/>
    <col min="2" max="2" width="7.33203125" style="82" customWidth="1"/>
    <col min="3" max="3" width="7.109375" style="82" customWidth="1"/>
    <col min="4" max="4" width="7.33203125" style="82" bestFit="1" customWidth="1"/>
    <col min="5" max="5" width="13" style="82" customWidth="1"/>
    <col min="6" max="6" width="15.77734375" style="82" customWidth="1"/>
    <col min="7" max="8" width="8.88671875" style="82" customWidth="1"/>
    <col min="9" max="9" width="12.77734375" style="82" bestFit="1" customWidth="1"/>
    <col min="10" max="10" width="4.5546875" style="82" customWidth="1"/>
    <col min="11" max="11" width="8.88671875" style="82" customWidth="1"/>
    <col min="12" max="16384" width="8.88671875" style="82"/>
  </cols>
  <sheetData>
    <row r="1" spans="2:10" ht="16.8" customHeight="1" x14ac:dyDescent="0.3">
      <c r="I1" s="97">
        <f ca="1">TODAY()</f>
        <v>45771</v>
      </c>
      <c r="J1" s="94"/>
    </row>
    <row r="2" spans="2:10" ht="16.8" customHeight="1" x14ac:dyDescent="0.3">
      <c r="B2" s="82" t="s">
        <v>279</v>
      </c>
    </row>
    <row r="3" spans="2:10" ht="16.8" customHeight="1" x14ac:dyDescent="0.3">
      <c r="B3" s="82" t="s">
        <v>280</v>
      </c>
    </row>
    <row r="4" spans="2:10" ht="16.8" customHeight="1" x14ac:dyDescent="0.3">
      <c r="B4" s="82" t="s">
        <v>281</v>
      </c>
    </row>
    <row r="5" spans="2:10" ht="16.8" customHeight="1" x14ac:dyDescent="0.3">
      <c r="H5" s="93" t="s">
        <v>282</v>
      </c>
      <c r="I5" s="94"/>
      <c r="J5" s="94"/>
    </row>
    <row r="6" spans="2:10" ht="16.8" customHeight="1" x14ac:dyDescent="0.3">
      <c r="H6" s="93" t="s">
        <v>283</v>
      </c>
      <c r="I6" s="94"/>
      <c r="J6" s="94"/>
    </row>
    <row r="7" spans="2:10" ht="10.199999999999999" customHeight="1" x14ac:dyDescent="0.3"/>
    <row r="8" spans="2:10" s="87" customFormat="1" ht="24" customHeight="1" x14ac:dyDescent="0.2">
      <c r="C8" s="95" t="s">
        <v>642</v>
      </c>
      <c r="D8" s="96"/>
      <c r="E8" s="96"/>
      <c r="F8" s="96"/>
      <c r="G8" s="96"/>
      <c r="H8" s="96"/>
      <c r="I8" s="96"/>
    </row>
    <row r="9" spans="2:10" s="87" customFormat="1" ht="9.6" customHeight="1" x14ac:dyDescent="0.2">
      <c r="C9" s="88"/>
      <c r="D9" s="88"/>
      <c r="E9" s="88"/>
      <c r="F9" s="88"/>
      <c r="G9" s="88"/>
      <c r="H9" s="88"/>
      <c r="I9" s="88"/>
    </row>
    <row r="10" spans="2:10" s="1" customFormat="1" ht="21" customHeight="1" x14ac:dyDescent="0.2">
      <c r="C10" s="99" t="s">
        <v>284</v>
      </c>
      <c r="D10" s="100"/>
      <c r="E10" s="100"/>
      <c r="F10" s="100"/>
      <c r="G10" s="100"/>
      <c r="H10" s="100"/>
      <c r="I10" s="100"/>
    </row>
    <row r="11" spans="2:10" s="1" customFormat="1" ht="21" customHeight="1" x14ac:dyDescent="0.2">
      <c r="C11" s="100"/>
      <c r="D11" s="100"/>
      <c r="E11" s="100"/>
      <c r="F11" s="100"/>
      <c r="G11" s="100"/>
      <c r="H11" s="100"/>
      <c r="I11" s="100"/>
    </row>
    <row r="12" spans="2:10" s="1" customFormat="1" ht="21" customHeight="1" x14ac:dyDescent="0.2">
      <c r="C12" s="100"/>
      <c r="D12" s="100"/>
      <c r="E12" s="100"/>
      <c r="F12" s="100"/>
      <c r="G12" s="100"/>
      <c r="H12" s="100"/>
      <c r="I12" s="100"/>
    </row>
    <row r="13" spans="2:10" s="1" customFormat="1" ht="21" customHeight="1" x14ac:dyDescent="0.2">
      <c r="C13" s="100"/>
      <c r="D13" s="100"/>
      <c r="E13" s="100"/>
      <c r="F13" s="100"/>
      <c r="G13" s="100"/>
      <c r="H13" s="100"/>
      <c r="I13" s="100"/>
    </row>
    <row r="14" spans="2:10" s="1" customFormat="1" ht="21" customHeight="1" x14ac:dyDescent="0.2">
      <c r="C14" s="100"/>
      <c r="D14" s="100"/>
      <c r="E14" s="100"/>
      <c r="F14" s="100"/>
      <c r="G14" s="100"/>
      <c r="H14" s="100"/>
      <c r="I14" s="100"/>
    </row>
    <row r="15" spans="2:10" s="1" customFormat="1" ht="21" customHeight="1" x14ac:dyDescent="0.2">
      <c r="C15" s="100"/>
      <c r="D15" s="100"/>
      <c r="E15" s="100"/>
      <c r="F15" s="100"/>
      <c r="G15" s="100"/>
      <c r="H15" s="100"/>
      <c r="I15" s="100"/>
    </row>
    <row r="16" spans="2:10" ht="9" customHeight="1" x14ac:dyDescent="0.3"/>
    <row r="17" spans="3:9" ht="31.8" customHeight="1" x14ac:dyDescent="0.3">
      <c r="C17" s="98" t="s">
        <v>285</v>
      </c>
      <c r="D17" s="92"/>
      <c r="E17" s="85" t="s">
        <v>640</v>
      </c>
      <c r="F17" s="85" t="s">
        <v>641</v>
      </c>
      <c r="G17" s="98" t="s">
        <v>286</v>
      </c>
      <c r="H17" s="91"/>
      <c r="I17" s="92"/>
    </row>
    <row r="18" spans="3:9" ht="16.8" customHeight="1" x14ac:dyDescent="0.3">
      <c r="C18" s="83" t="str" cm="1">
        <f t="array" aca="1" ref="C18:C27" ca="1">_xlfn._xlws.FILTER(まとめ!$B$12:$B$41,通常保育!$B$8:$B$37&lt;&gt;"", "")</f>
        <v>北山</v>
      </c>
      <c r="D18" s="84" t="str">
        <f ca="1">IF(C18&lt;&gt;"",VLOOKUP(C18,まとめ!$B$12:$C$41,2,FALSE),"")</f>
        <v>真美子</v>
      </c>
      <c r="E18" s="86" cm="1">
        <f t="array" aca="1" ref="E18" ca="1">_xlfn.XLOOKUP(1,(まとめ!$B$12:$B$41=▼提出用▼!C18)*(まとめ!$C$12:$C$41=▼提出用▼!D18),まとめ!$G$12:$G$41,0,0)</f>
        <v>168</v>
      </c>
      <c r="F18" s="86" cm="1">
        <f t="array" aca="1" ref="F18" ca="1">_xlfn.XLOOKUP(1,(まとめ!$B$12:$B$41=▼提出用▼!C18)*(まとめ!$C$12:$C$41=▼提出用▼!D18),まとめ!$I$12:$I$41,0,0)</f>
        <v>0</v>
      </c>
      <c r="G18" s="90" t="str" cm="1">
        <f t="array" aca="1" ref="G18" ca="1">IF(_xlfn.XLOOKUP(1,(まとめ!$B$12:$B$41=▼提出用▼!C18)*(まとめ!$C$12:$C$41=▼提出用▼!D18),まとめ!$K$12:$K$41,0,0)=0,
"",_xlfn.XLOOKUP(1,(まとめ!$B$12:$B$41=▼提出用▼!C18)*(まとめ!$C$12:$C$41=▼提出用▼!D18),まとめ!K12:K41,0,0))</f>
        <v/>
      </c>
      <c r="H18" s="91"/>
      <c r="I18" s="92"/>
    </row>
    <row r="19" spans="3:9" ht="16.8" customHeight="1" x14ac:dyDescent="0.3">
      <c r="C19" s="83" t="str">
        <f ca="1"/>
        <v>菊地</v>
      </c>
      <c r="D19" s="84" t="str">
        <f ca="1">IF(C19&lt;&gt;"",VLOOKUP(C19,まとめ!$B$12:$C$41,2,FALSE),"")</f>
        <v>康子</v>
      </c>
      <c r="E19" s="86" cm="1">
        <f t="array" aca="1" ref="E19" ca="1">_xlfn.XLOOKUP(1,(まとめ!$B$12:$B$41=▼提出用▼!C19)*(まとめ!$C$12:$C$41=▼提出用▼!D19),まとめ!$G$12:$G$41,0,0)</f>
        <v>157</v>
      </c>
      <c r="F19" s="86" cm="1">
        <f t="array" aca="1" ref="F19" ca="1">_xlfn.XLOOKUP(1,(まとめ!$B$12:$B$41=▼提出用▼!C19)*(まとめ!$C$12:$C$41=▼提出用▼!D19),まとめ!$I$12:$I$41,0,0)</f>
        <v>0</v>
      </c>
      <c r="G19" s="90" t="str" cm="1">
        <f t="array" aca="1" ref="G19" ca="1">IF(_xlfn.XLOOKUP(1,(まとめ!$B$12:$B$41=▼提出用▼!C19)*(まとめ!$C$12:$C$41=▼提出用▼!D19),まとめ!$K$12:$K$41,0,0)=0,
"",_xlfn.XLOOKUP(1,(まとめ!$B$12:$B$41=▼提出用▼!C19)*(まとめ!$C$12:$C$41=▼提出用▼!D19),まとめ!K13:K42,0,0))</f>
        <v/>
      </c>
      <c r="H19" s="91"/>
      <c r="I19" s="92"/>
    </row>
    <row r="20" spans="3:9" ht="16.8" customHeight="1" x14ac:dyDescent="0.3">
      <c r="C20" s="83" t="str">
        <f ca="1"/>
        <v>手塚</v>
      </c>
      <c r="D20" s="84" t="str">
        <f ca="1">IF(C20&lt;&gt;"",VLOOKUP(C20,まとめ!$B$12:$C$41,2,FALSE),"")</f>
        <v>由起子</v>
      </c>
      <c r="E20" s="86" cm="1">
        <f t="array" aca="1" ref="E20" ca="1">_xlfn.XLOOKUP(1,(まとめ!$B$12:$B$41=▼提出用▼!C20)*(まとめ!$C$12:$C$41=▼提出用▼!D20),まとめ!$G$12:$G$41,0,0)</f>
        <v>168</v>
      </c>
      <c r="F20" s="86" cm="1">
        <f t="array" aca="1" ref="F20" ca="1">_xlfn.XLOOKUP(1,(まとめ!$B$12:$B$41=▼提出用▼!C20)*(まとめ!$C$12:$C$41=▼提出用▼!D20),まとめ!$I$12:$I$41,0,0)</f>
        <v>0</v>
      </c>
      <c r="G20" s="90" t="str" cm="1">
        <f t="array" aca="1" ref="G20" ca="1">IF(_xlfn.XLOOKUP(1,(まとめ!$B$12:$B$41=▼提出用▼!C20)*(まとめ!$C$12:$C$41=▼提出用▼!D20),まとめ!$K$12:$K$41,0,0)=0,
"",_xlfn.XLOOKUP(1,(まとめ!$B$12:$B$41=▼提出用▼!C20)*(まとめ!$C$12:$C$41=▼提出用▼!D20),まとめ!K14:K43,0,0))</f>
        <v/>
      </c>
      <c r="H20" s="91"/>
      <c r="I20" s="92"/>
    </row>
    <row r="21" spans="3:9" ht="16.8" customHeight="1" x14ac:dyDescent="0.3">
      <c r="C21" s="83" t="str">
        <f ca="1"/>
        <v>髙坂</v>
      </c>
      <c r="D21" s="84" t="str">
        <f ca="1">IF(C21&lt;&gt;"",VLOOKUP(C21,まとめ!$B$12:$C$41,2,FALSE),"")</f>
        <v>千佳子</v>
      </c>
      <c r="E21" s="86" cm="1">
        <f t="array" aca="1" ref="E21" ca="1">_xlfn.XLOOKUP(1,(まとめ!$B$12:$B$41=▼提出用▼!C21)*(まとめ!$C$12:$C$41=▼提出用▼!D21),まとめ!$G$12:$G$41,0,0)</f>
        <v>128.25</v>
      </c>
      <c r="F21" s="86" cm="1">
        <f t="array" aca="1" ref="F21" ca="1">_xlfn.XLOOKUP(1,(まとめ!$B$12:$B$41=▼提出用▼!C21)*(まとめ!$C$12:$C$41=▼提出用▼!D21),まとめ!$I$12:$I$41,0,0)</f>
        <v>0</v>
      </c>
      <c r="G21" s="90" t="str" cm="1">
        <f t="array" aca="1" ref="G21" ca="1">IF(_xlfn.XLOOKUP(1,(まとめ!$B$12:$B$41=▼提出用▼!C21)*(まとめ!$C$12:$C$41=▼提出用▼!D21),まとめ!$K$12:$K$41,0,0)=0,
"",_xlfn.XLOOKUP(1,(まとめ!$B$12:$B$41=▼提出用▼!C21)*(まとめ!$C$12:$C$41=▼提出用▼!D21),まとめ!K15:K44,0,0))</f>
        <v/>
      </c>
      <c r="H21" s="91"/>
      <c r="I21" s="92"/>
    </row>
    <row r="22" spans="3:9" ht="16.8" customHeight="1" x14ac:dyDescent="0.3">
      <c r="C22" s="83" t="str">
        <f ca="1"/>
        <v>中原</v>
      </c>
      <c r="D22" s="84" t="str">
        <f ca="1">IF(C22&lt;&gt;"",VLOOKUP(C22,まとめ!$B$12:$C$41,2,FALSE),"")</f>
        <v>郁子</v>
      </c>
      <c r="E22" s="86" cm="1">
        <f t="array" aca="1" ref="E22" ca="1">_xlfn.XLOOKUP(1,(まとめ!$B$12:$B$41=▼提出用▼!C22)*(まとめ!$C$12:$C$41=▼提出用▼!D22),まとめ!$G$12:$G$41,0,0)</f>
        <v>79.75</v>
      </c>
      <c r="F22" s="86" cm="1">
        <f t="array" aca="1" ref="F22" ca="1">_xlfn.XLOOKUP(1,(まとめ!$B$12:$B$41=▼提出用▼!C22)*(まとめ!$C$12:$C$41=▼提出用▼!D22),まとめ!$I$12:$I$41,0,0)</f>
        <v>0</v>
      </c>
      <c r="G22" s="90" t="str" cm="1">
        <f t="array" aca="1" ref="G22" ca="1">IF(_xlfn.XLOOKUP(1,(まとめ!$B$12:$B$41=▼提出用▼!C22)*(まとめ!$C$12:$C$41=▼提出用▼!D22),まとめ!$K$12:$K$41,0,0)=0,
"",_xlfn.XLOOKUP(1,(まとめ!$B$12:$B$41=▼提出用▼!C22)*(まとめ!$C$12:$C$41=▼提出用▼!D22),まとめ!K16:K45,0,0))</f>
        <v/>
      </c>
      <c r="H22" s="91"/>
      <c r="I22" s="92"/>
    </row>
    <row r="23" spans="3:9" ht="16.8" customHeight="1" x14ac:dyDescent="0.3">
      <c r="C23" s="83" t="str">
        <f ca="1"/>
        <v>大中</v>
      </c>
      <c r="D23" s="84" t="str">
        <f ca="1">IF(C23&lt;&gt;"",VLOOKUP(C23,まとめ!$B$12:$C$41,2,FALSE),"")</f>
        <v>章子</v>
      </c>
      <c r="E23" s="86" cm="1">
        <f t="array" aca="1" ref="E23" ca="1">_xlfn.XLOOKUP(1,(まとめ!$B$12:$B$41=▼提出用▼!C23)*(まとめ!$C$12:$C$41=▼提出用▼!D23),まとめ!$G$12:$G$41,0,0)</f>
        <v>81.25</v>
      </c>
      <c r="F23" s="86" cm="1">
        <f t="array" aca="1" ref="F23" ca="1">_xlfn.XLOOKUP(1,(まとめ!$B$12:$B$41=▼提出用▼!C23)*(まとめ!$C$12:$C$41=▼提出用▼!D23),まとめ!$I$12:$I$41,0,0)</f>
        <v>0</v>
      </c>
      <c r="G23" s="90" t="str" cm="1">
        <f t="array" aca="1" ref="G23" ca="1">IF(_xlfn.XLOOKUP(1,(まとめ!$B$12:$B$41=▼提出用▼!C23)*(まとめ!$C$12:$C$41=▼提出用▼!D23),まとめ!$K$12:$K$41,0,0)=0,
"",_xlfn.XLOOKUP(1,(まとめ!$B$12:$B$41=▼提出用▼!C23)*(まとめ!$C$12:$C$41=▼提出用▼!D23),まとめ!K17:K46,0,0))</f>
        <v/>
      </c>
      <c r="H23" s="91"/>
      <c r="I23" s="92"/>
    </row>
    <row r="24" spans="3:9" ht="16.8" customHeight="1" x14ac:dyDescent="0.3">
      <c r="C24" s="83" t="str">
        <f ca="1"/>
        <v>長利</v>
      </c>
      <c r="D24" s="84" t="str">
        <f ca="1">IF(C24&lt;&gt;"",VLOOKUP(C24,まとめ!$B$12:$C$41,2,FALSE),"")</f>
        <v>奈々</v>
      </c>
      <c r="E24" s="86" cm="1">
        <f t="array" aca="1" ref="E24" ca="1">_xlfn.XLOOKUP(1,(まとめ!$B$12:$B$41=▼提出用▼!C24)*(まとめ!$C$12:$C$41=▼提出用▼!D24),まとめ!$G$12:$G$41,0,0)</f>
        <v>163.5</v>
      </c>
      <c r="F24" s="86" cm="1">
        <f t="array" aca="1" ref="F24" ca="1">_xlfn.XLOOKUP(1,(まとめ!$B$12:$B$41=▼提出用▼!C24)*(まとめ!$C$12:$C$41=▼提出用▼!D24),まとめ!$I$12:$I$41,0,0)</f>
        <v>0</v>
      </c>
      <c r="G24" s="90" t="str" cm="1">
        <f t="array" aca="1" ref="G24" ca="1">IF(_xlfn.XLOOKUP(1,(まとめ!$B$12:$B$41=▼提出用▼!C24)*(まとめ!$C$12:$C$41=▼提出用▼!D24),まとめ!$K$12:$K$41,0,0)=0,
"",_xlfn.XLOOKUP(1,(まとめ!$B$12:$B$41=▼提出用▼!C24)*(まとめ!$C$12:$C$41=▼提出用▼!D24),まとめ!K18:K47,0,0))</f>
        <v/>
      </c>
      <c r="H24" s="91"/>
      <c r="I24" s="92"/>
    </row>
    <row r="25" spans="3:9" ht="16.8" customHeight="1" x14ac:dyDescent="0.3">
      <c r="C25" s="83" t="str">
        <f ca="1"/>
        <v>袴田</v>
      </c>
      <c r="D25" s="84" t="str">
        <f ca="1">IF(C25&lt;&gt;"",VLOOKUP(C25,まとめ!$B$12:$C$41,2,FALSE),"")</f>
        <v>香寿美</v>
      </c>
      <c r="E25" s="86" cm="1">
        <f t="array" aca="1" ref="E25" ca="1">_xlfn.XLOOKUP(1,(まとめ!$B$12:$B$41=▼提出用▼!C25)*(まとめ!$C$12:$C$41=▼提出用▼!D25),まとめ!$G$12:$G$41,0,0)</f>
        <v>80.5</v>
      </c>
      <c r="F25" s="86" cm="1">
        <f t="array" aca="1" ref="F25" ca="1">_xlfn.XLOOKUP(1,(まとめ!$B$12:$B$41=▼提出用▼!C25)*(まとめ!$C$12:$C$41=▼提出用▼!D25),まとめ!$I$12:$I$41,0,0)</f>
        <v>0</v>
      </c>
      <c r="G25" s="90" t="str" cm="1">
        <f t="array" aca="1" ref="G25" ca="1">IF(_xlfn.XLOOKUP(1,(まとめ!$B$12:$B$41=▼提出用▼!C25)*(まとめ!$C$12:$C$41=▼提出用▼!D25),まとめ!$K$12:$K$41,0,0)=0,
"",_xlfn.XLOOKUP(1,(まとめ!$B$12:$B$41=▼提出用▼!C25)*(まとめ!$C$12:$C$41=▼提出用▼!D25),まとめ!K19:K48,0,0))</f>
        <v/>
      </c>
      <c r="H25" s="91"/>
      <c r="I25" s="92"/>
    </row>
    <row r="26" spans="3:9" ht="16.8" customHeight="1" x14ac:dyDescent="0.3">
      <c r="C26" s="83" t="str">
        <f ca="1"/>
        <v>庄司</v>
      </c>
      <c r="D26" s="84" t="str">
        <f ca="1">IF(C26&lt;&gt;"",VLOOKUP(C26,まとめ!$B$12:$C$41,2,FALSE),"")</f>
        <v>愛未</v>
      </c>
      <c r="E26" s="86" cm="1">
        <f t="array" aca="1" ref="E26" ca="1">_xlfn.XLOOKUP(1,(まとめ!$B$12:$B$41=▼提出用▼!C26)*(まとめ!$C$12:$C$41=▼提出用▼!D26),まとめ!$G$12:$G$41,0,0)</f>
        <v>168</v>
      </c>
      <c r="F26" s="86" cm="1">
        <f t="array" aca="1" ref="F26" ca="1">_xlfn.XLOOKUP(1,(まとめ!$B$12:$B$41=▼提出用▼!C26)*(まとめ!$C$12:$C$41=▼提出用▼!D26),まとめ!$I$12:$I$41,0,0)</f>
        <v>0</v>
      </c>
      <c r="G26" s="90" t="str" cm="1">
        <f t="array" aca="1" ref="G26" ca="1">IF(_xlfn.XLOOKUP(1,(まとめ!$B$12:$B$41=▼提出用▼!C26)*(まとめ!$C$12:$C$41=▼提出用▼!D26),まとめ!$K$12:$K$41,0,0)=0,
"",_xlfn.XLOOKUP(1,(まとめ!$B$12:$B$41=▼提出用▼!C26)*(まとめ!$C$12:$C$41=▼提出用▼!D26),まとめ!K20:K49,0,0))</f>
        <v/>
      </c>
      <c r="H26" s="91"/>
      <c r="I26" s="92"/>
    </row>
    <row r="27" spans="3:9" ht="16.8" customHeight="1" x14ac:dyDescent="0.3">
      <c r="C27" s="83" t="str">
        <f ca="1"/>
        <v>加藤</v>
      </c>
      <c r="D27" s="84" t="str">
        <f ca="1">IF(C27&lt;&gt;"",VLOOKUP(C27,まとめ!$B$12:$C$41,2,FALSE),"")</f>
        <v>優里絵</v>
      </c>
      <c r="E27" s="86" cm="1">
        <f t="array" aca="1" ref="E27" ca="1">_xlfn.XLOOKUP(1,(まとめ!$B$12:$B$41=▼提出用▼!C27)*(まとめ!$C$12:$C$41=▼提出用▼!D27),まとめ!$G$12:$G$41,0,0)</f>
        <v>67.25</v>
      </c>
      <c r="F27" s="86" cm="1">
        <f t="array" aca="1" ref="F27" ca="1">_xlfn.XLOOKUP(1,(まとめ!$B$12:$B$41=▼提出用▼!C27)*(まとめ!$C$12:$C$41=▼提出用▼!D27),まとめ!$I$12:$I$41,0,0)</f>
        <v>0</v>
      </c>
      <c r="G27" s="90" t="str" cm="1">
        <f t="array" aca="1" ref="G27" ca="1">IF(_xlfn.XLOOKUP(1,(まとめ!$B$12:$B$41=▼提出用▼!C27)*(まとめ!$C$12:$C$41=▼提出用▼!D27),まとめ!$K$12:$K$41,0,0)=0,
"",_xlfn.XLOOKUP(1,(まとめ!$B$12:$B$41=▼提出用▼!C27)*(まとめ!$C$12:$C$41=▼提出用▼!D27),まとめ!K21:K50,0,0))</f>
        <v/>
      </c>
      <c r="H27" s="91"/>
      <c r="I27" s="92"/>
    </row>
    <row r="28" spans="3:9" ht="16.8" customHeight="1" x14ac:dyDescent="0.3">
      <c r="C28" s="148"/>
      <c r="D28" s="84" t="str">
        <f>IF(C28&lt;&gt;"",VLOOKUP(C28,まとめ!$B$12:$C$41,2,FALSE),"")</f>
        <v/>
      </c>
      <c r="E28" s="86" t="str" cm="1">
        <f t="array" aca="1" ref="E28" ca="1">_xlfn.XLOOKUP(1,(まとめ!$B$12:$B$41=▼提出用▼!C28)*(まとめ!$C$12:$C$41=▼提出用▼!D28),まとめ!$G$12:$G$41,0,0)</f>
        <v/>
      </c>
      <c r="F28" s="86" t="str" cm="1">
        <f t="array" aca="1" ref="F28" ca="1">_xlfn.XLOOKUP(1,(まとめ!$B$12:$B$41=▼提出用▼!C28)*(まとめ!$C$12:$C$41=▼提出用▼!D28),まとめ!$I$12:$I$41,0,0)</f>
        <v/>
      </c>
      <c r="G28" s="90" t="str" cm="1">
        <f t="array" aca="1" ref="G28" ca="1">IF(_xlfn.XLOOKUP(1,(まとめ!$B$12:$B$41=▼提出用▼!C28)*(まとめ!$C$12:$C$41=▼提出用▼!D28),まとめ!$K$12:$K$41,0,0)=0,
"",_xlfn.XLOOKUP(1,(まとめ!$B$12:$B$41=▼提出用▼!C28)*(まとめ!$C$12:$C$41=▼提出用▼!D28),まとめ!K22:K51,0,0))</f>
        <v/>
      </c>
      <c r="H28" s="147"/>
      <c r="I28" s="147"/>
    </row>
    <row r="29" spans="3:9" ht="16.8" customHeight="1" x14ac:dyDescent="0.3">
      <c r="C29" s="148"/>
      <c r="D29" s="84" t="str">
        <f>IF(C29&lt;&gt;"",VLOOKUP(C29,まとめ!$B$12:$C$41,2,FALSE),"")</f>
        <v/>
      </c>
      <c r="E29" s="86" t="str" cm="1">
        <f t="array" aca="1" ref="E29" ca="1">_xlfn.XLOOKUP(1,(まとめ!$B$12:$B$41=▼提出用▼!C29)*(まとめ!$C$12:$C$41=▼提出用▼!D29),まとめ!$G$12:$G$41,0,0)</f>
        <v/>
      </c>
      <c r="F29" s="86" t="str" cm="1">
        <f t="array" aca="1" ref="F29" ca="1">_xlfn.XLOOKUP(1,(まとめ!$B$12:$B$41=▼提出用▼!C29)*(まとめ!$C$12:$C$41=▼提出用▼!D29),まとめ!$I$12:$I$41,0,0)</f>
        <v/>
      </c>
      <c r="G29" s="90" t="str" cm="1">
        <f t="array" aca="1" ref="G29" ca="1">IF(_xlfn.XLOOKUP(1,(まとめ!$B$12:$B$41=▼提出用▼!C29)*(まとめ!$C$12:$C$41=▼提出用▼!D29),まとめ!$K$12:$K$41,0,0)=0,
"",_xlfn.XLOOKUP(1,(まとめ!$B$12:$B$41=▼提出用▼!C29)*(まとめ!$C$12:$C$41=▼提出用▼!D29),まとめ!K23:K52,0,0))</f>
        <v/>
      </c>
      <c r="H29" s="147"/>
      <c r="I29" s="147"/>
    </row>
    <row r="30" spans="3:9" ht="16.8" customHeight="1" x14ac:dyDescent="0.3">
      <c r="C30" s="148"/>
      <c r="D30" s="84" t="str">
        <f>IF(C30&lt;&gt;"",VLOOKUP(C30,まとめ!$B$12:$C$41,2,FALSE),"")</f>
        <v/>
      </c>
      <c r="E30" s="86" t="str" cm="1">
        <f t="array" aca="1" ref="E30" ca="1">_xlfn.XLOOKUP(1,(まとめ!$B$12:$B$41=▼提出用▼!C30)*(まとめ!$C$12:$C$41=▼提出用▼!D30),まとめ!$G$12:$G$41,0,0)</f>
        <v/>
      </c>
      <c r="F30" s="86" t="str" cm="1">
        <f t="array" aca="1" ref="F30" ca="1">_xlfn.XLOOKUP(1,(まとめ!$B$12:$B$41=▼提出用▼!C30)*(まとめ!$C$12:$C$41=▼提出用▼!D30),まとめ!$I$12:$I$41,0,0)</f>
        <v/>
      </c>
      <c r="G30" s="90" t="str" cm="1">
        <f t="array" aca="1" ref="G30" ca="1">IF(_xlfn.XLOOKUP(1,(まとめ!$B$12:$B$41=▼提出用▼!C30)*(まとめ!$C$12:$C$41=▼提出用▼!D30),まとめ!$K$12:$K$41,0,0)=0,
"",_xlfn.XLOOKUP(1,(まとめ!$B$12:$B$41=▼提出用▼!C30)*(まとめ!$C$12:$C$41=▼提出用▼!D30),まとめ!K24:K53,0,0))</f>
        <v/>
      </c>
      <c r="H30" s="147"/>
      <c r="I30" s="147"/>
    </row>
    <row r="31" spans="3:9" ht="16.8" customHeight="1" x14ac:dyDescent="0.3">
      <c r="C31" s="148"/>
      <c r="D31" s="84" t="str">
        <f>IF(C31&lt;&gt;"",VLOOKUP(C31,まとめ!$B$12:$C$41,2,FALSE),"")</f>
        <v/>
      </c>
      <c r="E31" s="86" t="str" cm="1">
        <f t="array" aca="1" ref="E31" ca="1">_xlfn.XLOOKUP(1,(まとめ!$B$12:$B$41=▼提出用▼!C31)*(まとめ!$C$12:$C$41=▼提出用▼!D31),まとめ!$G$12:$G$41,0,0)</f>
        <v/>
      </c>
      <c r="F31" s="86" t="str" cm="1">
        <f t="array" aca="1" ref="F31" ca="1">_xlfn.XLOOKUP(1,(まとめ!$B$12:$B$41=▼提出用▼!C31)*(まとめ!$C$12:$C$41=▼提出用▼!D31),まとめ!$I$12:$I$41,0,0)</f>
        <v/>
      </c>
      <c r="G31" s="90" t="str" cm="1">
        <f t="array" aca="1" ref="G31" ca="1">IF(_xlfn.XLOOKUP(1,(まとめ!$B$12:$B$41=▼提出用▼!C31)*(まとめ!$C$12:$C$41=▼提出用▼!D31),まとめ!$K$12:$K$41,0,0)=0,
"",_xlfn.XLOOKUP(1,(まとめ!$B$12:$B$41=▼提出用▼!C31)*(まとめ!$C$12:$C$41=▼提出用▼!D31),まとめ!K25:K54,0,0))</f>
        <v/>
      </c>
      <c r="H31" s="147"/>
      <c r="I31" s="147"/>
    </row>
    <row r="32" spans="3:9" ht="16.8" customHeight="1" x14ac:dyDescent="0.3">
      <c r="C32" s="148"/>
      <c r="D32" s="84" t="str">
        <f>IF(C32&lt;&gt;"",VLOOKUP(C32,まとめ!$B$12:$C$41,2,FALSE),"")</f>
        <v/>
      </c>
      <c r="E32" s="86" t="str" cm="1">
        <f t="array" aca="1" ref="E32" ca="1">_xlfn.XLOOKUP(1,(まとめ!$B$12:$B$41=▼提出用▼!C32)*(まとめ!$C$12:$C$41=▼提出用▼!D32),まとめ!$G$12:$G$41,0,0)</f>
        <v/>
      </c>
      <c r="F32" s="86" t="str" cm="1">
        <f t="array" aca="1" ref="F32" ca="1">_xlfn.XLOOKUP(1,(まとめ!$B$12:$B$41=▼提出用▼!C32)*(まとめ!$C$12:$C$41=▼提出用▼!D32),まとめ!$I$12:$I$41,0,0)</f>
        <v/>
      </c>
      <c r="G32" s="90" t="str" cm="1">
        <f t="array" aca="1" ref="G32" ca="1">IF(_xlfn.XLOOKUP(1,(まとめ!$B$12:$B$41=▼提出用▼!C32)*(まとめ!$C$12:$C$41=▼提出用▼!D32),まとめ!$K$12:$K$41,0,0)=0,
"",_xlfn.XLOOKUP(1,(まとめ!$B$12:$B$41=▼提出用▼!C32)*(まとめ!$C$12:$C$41=▼提出用▼!D32),まとめ!K26:K55,0,0))</f>
        <v/>
      </c>
      <c r="H32" s="147"/>
      <c r="I32" s="147"/>
    </row>
    <row r="33" spans="3:9" ht="16.8" customHeight="1" x14ac:dyDescent="0.3">
      <c r="C33" s="148"/>
      <c r="D33" s="84" t="str">
        <f>IF(C33&lt;&gt;"",VLOOKUP(C33,まとめ!$B$12:$C$41,2,FALSE),"")</f>
        <v/>
      </c>
      <c r="E33" s="86" t="str" cm="1">
        <f t="array" aca="1" ref="E33" ca="1">_xlfn.XLOOKUP(1,(まとめ!$B$12:$B$41=▼提出用▼!C33)*(まとめ!$C$12:$C$41=▼提出用▼!D33),まとめ!$G$12:$G$41,0,0)</f>
        <v/>
      </c>
      <c r="F33" s="86" t="str" cm="1">
        <f t="array" aca="1" ref="F33" ca="1">_xlfn.XLOOKUP(1,(まとめ!$B$12:$B$41=▼提出用▼!C33)*(まとめ!$C$12:$C$41=▼提出用▼!D33),まとめ!$I$12:$I$41,0,0)</f>
        <v/>
      </c>
      <c r="G33" s="90" t="str" cm="1">
        <f t="array" aca="1" ref="G33" ca="1">IF(_xlfn.XLOOKUP(1,(まとめ!$B$12:$B$41=▼提出用▼!C33)*(まとめ!$C$12:$C$41=▼提出用▼!D33),まとめ!$K$12:$K$41,0,0)=0,
"",_xlfn.XLOOKUP(1,(まとめ!$B$12:$B$41=▼提出用▼!C33)*(まとめ!$C$12:$C$41=▼提出用▼!D33),まとめ!K27:K56,0,0))</f>
        <v/>
      </c>
      <c r="H33" s="147"/>
      <c r="I33" s="147"/>
    </row>
    <row r="34" spans="3:9" ht="16.8" customHeight="1" x14ac:dyDescent="0.3">
      <c r="C34" s="148"/>
      <c r="D34" s="84" t="str">
        <f>IF(C34&lt;&gt;"",VLOOKUP(C34,まとめ!$B$12:$C$41,2,FALSE),"")</f>
        <v/>
      </c>
      <c r="E34" s="86" t="str" cm="1">
        <f t="array" aca="1" ref="E34" ca="1">_xlfn.XLOOKUP(1,(まとめ!$B$12:$B$41=▼提出用▼!C34)*(まとめ!$C$12:$C$41=▼提出用▼!D34),まとめ!$G$12:$G$41,0,0)</f>
        <v/>
      </c>
      <c r="F34" s="86" t="str" cm="1">
        <f t="array" aca="1" ref="F34" ca="1">_xlfn.XLOOKUP(1,(まとめ!$B$12:$B$41=▼提出用▼!C34)*(まとめ!$C$12:$C$41=▼提出用▼!D34),まとめ!$I$12:$I$41,0,0)</f>
        <v/>
      </c>
      <c r="G34" s="90" t="str" cm="1">
        <f t="array" aca="1" ref="G34" ca="1">IF(_xlfn.XLOOKUP(1,(まとめ!$B$12:$B$41=▼提出用▼!C34)*(まとめ!$C$12:$C$41=▼提出用▼!D34),まとめ!$K$12:$K$41,0,0)=0,
"",_xlfn.XLOOKUP(1,(まとめ!$B$12:$B$41=▼提出用▼!C34)*(まとめ!$C$12:$C$41=▼提出用▼!D34),まとめ!K28:K57,0,0))</f>
        <v/>
      </c>
      <c r="H34" s="147"/>
      <c r="I34" s="147"/>
    </row>
    <row r="35" spans="3:9" ht="16.8" customHeight="1" x14ac:dyDescent="0.3">
      <c r="C35" s="148"/>
      <c r="D35" s="84" t="str">
        <f>IF(C35&lt;&gt;"",VLOOKUP(C35,まとめ!$B$12:$C$41,2,FALSE),"")</f>
        <v/>
      </c>
      <c r="E35" s="86" t="str" cm="1">
        <f t="array" aca="1" ref="E35" ca="1">_xlfn.XLOOKUP(1,(まとめ!$B$12:$B$41=▼提出用▼!C35)*(まとめ!$C$12:$C$41=▼提出用▼!D35),まとめ!$G$12:$G$41,0,0)</f>
        <v/>
      </c>
      <c r="F35" s="86" t="str" cm="1">
        <f t="array" aca="1" ref="F35" ca="1">_xlfn.XLOOKUP(1,(まとめ!$B$12:$B$41=▼提出用▼!C35)*(まとめ!$C$12:$C$41=▼提出用▼!D35),まとめ!$I$12:$I$41,0,0)</f>
        <v/>
      </c>
      <c r="G35" s="90" t="str" cm="1">
        <f t="array" aca="1" ref="G35" ca="1">IF(_xlfn.XLOOKUP(1,(まとめ!$B$12:$B$41=▼提出用▼!C35)*(まとめ!$C$12:$C$41=▼提出用▼!D35),まとめ!$K$12:$K$41,0,0)=0,
"",_xlfn.XLOOKUP(1,(まとめ!$B$12:$B$41=▼提出用▼!C35)*(まとめ!$C$12:$C$41=▼提出用▼!D35),まとめ!K29:K58,0,0))</f>
        <v/>
      </c>
      <c r="H35" s="147"/>
      <c r="I35" s="147"/>
    </row>
    <row r="36" spans="3:9" ht="16.8" customHeight="1" x14ac:dyDescent="0.3">
      <c r="C36" s="148"/>
      <c r="D36" s="84" t="str">
        <f>IF(C36&lt;&gt;"",VLOOKUP(C36,まとめ!$B$12:$C$41,2,FALSE),"")</f>
        <v/>
      </c>
      <c r="E36" s="86" t="str" cm="1">
        <f t="array" aca="1" ref="E36" ca="1">_xlfn.XLOOKUP(1,(まとめ!$B$12:$B$41=▼提出用▼!C36)*(まとめ!$C$12:$C$41=▼提出用▼!D36),まとめ!$G$12:$G$41,0,0)</f>
        <v/>
      </c>
      <c r="F36" s="86" t="str" cm="1">
        <f t="array" aca="1" ref="F36" ca="1">_xlfn.XLOOKUP(1,(まとめ!$B$12:$B$41=▼提出用▼!C36)*(まとめ!$C$12:$C$41=▼提出用▼!D36),まとめ!$I$12:$I$41,0,0)</f>
        <v/>
      </c>
      <c r="G36" s="90" t="str" cm="1">
        <f t="array" aca="1" ref="G36" ca="1">IF(_xlfn.XLOOKUP(1,(まとめ!$B$12:$B$41=▼提出用▼!C36)*(まとめ!$C$12:$C$41=▼提出用▼!D36),まとめ!$K$12:$K$41,0,0)=0,
"",_xlfn.XLOOKUP(1,(まとめ!$B$12:$B$41=▼提出用▼!C36)*(まとめ!$C$12:$C$41=▼提出用▼!D36),まとめ!K30:K59,0,0))</f>
        <v/>
      </c>
      <c r="H36" s="147"/>
      <c r="I36" s="147"/>
    </row>
    <row r="37" spans="3:9" ht="16.8" customHeight="1" x14ac:dyDescent="0.3">
      <c r="C37" s="148"/>
      <c r="D37" s="84" t="str">
        <f>IF(C37&lt;&gt;"",VLOOKUP(C37,まとめ!$B$12:$C$41,2,FALSE),"")</f>
        <v/>
      </c>
      <c r="E37" s="86" t="str" cm="1">
        <f t="array" aca="1" ref="E37" ca="1">_xlfn.XLOOKUP(1,(まとめ!$B$12:$B$41=▼提出用▼!C37)*(まとめ!$C$12:$C$41=▼提出用▼!D37),まとめ!$G$12:$G$41,0,0)</f>
        <v/>
      </c>
      <c r="F37" s="86" t="str" cm="1">
        <f t="array" aca="1" ref="F37" ca="1">_xlfn.XLOOKUP(1,(まとめ!$B$12:$B$41=▼提出用▼!C37)*(まとめ!$C$12:$C$41=▼提出用▼!D37),まとめ!$I$12:$I$41,0,0)</f>
        <v/>
      </c>
      <c r="G37" s="90" t="str" cm="1">
        <f t="array" aca="1" ref="G37" ca="1">IF(_xlfn.XLOOKUP(1,(まとめ!$B$12:$B$41=▼提出用▼!C37)*(まとめ!$C$12:$C$41=▼提出用▼!D37),まとめ!$K$12:$K$41,0,0)=0,
"",_xlfn.XLOOKUP(1,(まとめ!$B$12:$B$41=▼提出用▼!C37)*(まとめ!$C$12:$C$41=▼提出用▼!D37),まとめ!K31:K60,0,0))</f>
        <v/>
      </c>
      <c r="H37" s="147"/>
      <c r="I37" s="147"/>
    </row>
  </sheetData>
  <mergeCells count="27">
    <mergeCell ref="G33:I33"/>
    <mergeCell ref="G34:I34"/>
    <mergeCell ref="G35:I35"/>
    <mergeCell ref="G36:I36"/>
    <mergeCell ref="G37:I37"/>
    <mergeCell ref="G28:I28"/>
    <mergeCell ref="G29:I29"/>
    <mergeCell ref="G30:I30"/>
    <mergeCell ref="G31:I31"/>
    <mergeCell ref="G32:I32"/>
    <mergeCell ref="I1:J1"/>
    <mergeCell ref="G22:I22"/>
    <mergeCell ref="G17:I17"/>
    <mergeCell ref="G25:I25"/>
    <mergeCell ref="G19:I19"/>
    <mergeCell ref="C10:I15"/>
    <mergeCell ref="G20:I20"/>
    <mergeCell ref="H6:J6"/>
    <mergeCell ref="G24:I24"/>
    <mergeCell ref="G23:I23"/>
    <mergeCell ref="H5:J5"/>
    <mergeCell ref="C8:I8"/>
    <mergeCell ref="G27:I27"/>
    <mergeCell ref="G26:I26"/>
    <mergeCell ref="G21:I21"/>
    <mergeCell ref="G18:I18"/>
    <mergeCell ref="C17:D17"/>
  </mergeCells>
  <phoneticPr fontId="2"/>
  <pageMargins left="0.7" right="0.7" top="0.75" bottom="0.75" header="0.3" footer="0.3"/>
  <pageSetup paperSize="9" scale="98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252"/>
  <sheetViews>
    <sheetView zoomScale="80" zoomScaleNormal="80" workbookViewId="0">
      <selection activeCell="J13" sqref="J13"/>
    </sheetView>
  </sheetViews>
  <sheetFormatPr defaultColWidth="9" defaultRowHeight="15" x14ac:dyDescent="0.2"/>
  <cols>
    <col min="1" max="1" width="4.6640625" style="1" customWidth="1"/>
    <col min="2" max="3" width="9" style="1" customWidth="1"/>
    <col min="4" max="4" width="28.88671875" style="1" customWidth="1"/>
    <col min="5" max="5" width="13.33203125" style="1" customWidth="1"/>
    <col min="6" max="6" width="14.6640625" style="1" customWidth="1"/>
    <col min="7" max="7" width="17.109375" style="1" customWidth="1"/>
    <col min="8" max="8" width="10.21875" style="1" customWidth="1"/>
    <col min="9" max="9" width="11.33203125" style="1" customWidth="1"/>
    <col min="10" max="10" width="8.77734375" style="1" customWidth="1"/>
    <col min="11" max="11" width="45" style="1" customWidth="1"/>
    <col min="12" max="12" width="10.109375" style="1" customWidth="1"/>
    <col min="13" max="14" width="8.88671875" style="1" customWidth="1"/>
    <col min="15" max="15" width="11.109375" style="1" customWidth="1"/>
    <col min="16" max="16" width="11.88671875" style="18" customWidth="1"/>
    <col min="17" max="17" width="9.44140625" style="18" hidden="1" customWidth="1"/>
    <col min="18" max="18" width="11.88671875" style="18" customWidth="1"/>
    <col min="19" max="19" width="9.44140625" style="18" hidden="1" customWidth="1"/>
    <col min="20" max="20" width="11.88671875" style="18" customWidth="1"/>
    <col min="21" max="21" width="9.44140625" style="18" hidden="1" customWidth="1"/>
    <col min="22" max="22" width="11.88671875" style="18" customWidth="1"/>
    <col min="23" max="23" width="9.44140625" style="18" hidden="1" customWidth="1"/>
    <col min="24" max="24" width="11.88671875" style="18" customWidth="1"/>
    <col min="25" max="25" width="9.44140625" style="18" hidden="1" customWidth="1"/>
    <col min="26" max="26" width="11.88671875" style="18" customWidth="1"/>
    <col min="27" max="27" width="9.44140625" style="18" hidden="1" customWidth="1"/>
    <col min="28" max="28" width="11.88671875" style="18" customWidth="1"/>
    <col min="29" max="29" width="9.44140625" style="18" hidden="1" customWidth="1"/>
    <col min="30" max="30" width="11.88671875" style="1" customWidth="1"/>
    <col min="31" max="31" width="9.44140625" style="18" hidden="1" customWidth="1"/>
    <col min="32" max="32" width="11.88671875" style="1" customWidth="1"/>
    <col min="33" max="33" width="9.44140625" style="1" hidden="1" customWidth="1"/>
    <col min="34" max="34" width="11.88671875" style="1" customWidth="1"/>
    <col min="35" max="35" width="9.44140625" style="1" hidden="1" customWidth="1"/>
    <col min="36" max="36" width="11.88671875" style="1" customWidth="1"/>
    <col min="37" max="37" width="9.44140625" style="1" hidden="1" customWidth="1"/>
    <col min="38" max="38" width="11.88671875" style="1" customWidth="1"/>
    <col min="39" max="39" width="9.44140625" style="1" hidden="1" customWidth="1"/>
    <col min="40" max="40" width="11.88671875" style="1" customWidth="1"/>
    <col min="41" max="41" width="9.44140625" style="1" hidden="1" customWidth="1"/>
    <col min="42" max="42" width="11.88671875" style="1" customWidth="1"/>
    <col min="43" max="43" width="9.44140625" style="1" hidden="1" customWidth="1"/>
    <col min="44" max="44" width="11.88671875" style="1" customWidth="1"/>
    <col min="45" max="45" width="9.44140625" style="1" hidden="1" customWidth="1"/>
    <col min="46" max="46" width="11.88671875" style="1" customWidth="1"/>
    <col min="47" max="47" width="9.44140625" style="1" hidden="1" customWidth="1"/>
    <col min="48" max="48" width="11.88671875" style="1" customWidth="1"/>
    <col min="49" max="49" width="9.44140625" style="1" hidden="1" customWidth="1"/>
    <col min="50" max="50" width="11.88671875" style="1" customWidth="1"/>
    <col min="51" max="51" width="9.44140625" style="1" hidden="1" customWidth="1"/>
    <col min="52" max="52" width="11.88671875" style="1" customWidth="1"/>
    <col min="53" max="53" width="9.44140625" style="1" hidden="1" customWidth="1"/>
    <col min="54" max="54" width="11.88671875" style="1" customWidth="1"/>
    <col min="55" max="55" width="9.44140625" style="1" hidden="1" customWidth="1"/>
    <col min="56" max="56" width="11.88671875" style="1" customWidth="1"/>
    <col min="57" max="57" width="9.44140625" style="1" hidden="1" customWidth="1"/>
    <col min="58" max="58" width="11.88671875" style="1" customWidth="1"/>
    <col min="59" max="59" width="9.44140625" style="1" hidden="1" customWidth="1"/>
    <col min="60" max="60" width="11.88671875" style="1" customWidth="1"/>
    <col min="61" max="61" width="9.44140625" style="1" hidden="1" customWidth="1"/>
    <col min="62" max="62" width="11.88671875" style="1" customWidth="1"/>
    <col min="63" max="63" width="9.44140625" style="1" hidden="1" customWidth="1"/>
    <col min="64" max="64" width="11.88671875" style="1" customWidth="1"/>
    <col min="65" max="65" width="9.44140625" style="1" hidden="1" customWidth="1"/>
    <col min="66" max="66" width="11.88671875" style="1" customWidth="1"/>
    <col min="67" max="67" width="9.44140625" style="1" hidden="1" customWidth="1"/>
    <col min="68" max="68" width="11.88671875" style="1" customWidth="1"/>
    <col min="69" max="69" width="9.44140625" style="1" hidden="1" customWidth="1"/>
    <col min="70" max="70" width="11.88671875" style="1" customWidth="1"/>
    <col min="71" max="71" width="9.44140625" style="1" hidden="1" customWidth="1"/>
    <col min="72" max="72" width="11.88671875" style="1" customWidth="1"/>
    <col min="73" max="73" width="9.44140625" style="1" hidden="1" customWidth="1"/>
    <col min="74" max="74" width="11.88671875" style="1" customWidth="1"/>
    <col min="75" max="75" width="9.44140625" style="1" hidden="1" customWidth="1"/>
    <col min="76" max="76" width="11.88671875" style="1" customWidth="1"/>
    <col min="77" max="77" width="9.44140625" style="1" hidden="1" customWidth="1"/>
    <col min="78" max="78" width="9.44140625" style="1" customWidth="1"/>
    <col min="79" max="82" width="9" style="1" customWidth="1"/>
    <col min="83" max="16384" width="9" style="1"/>
  </cols>
  <sheetData>
    <row r="1" spans="1:77" ht="25.2" customHeight="1" thickBot="1" x14ac:dyDescent="0.25">
      <c r="B1" s="123">
        <f>'シフト一覧（転載）'!$B$2</f>
        <v>0</v>
      </c>
      <c r="C1" s="124"/>
      <c r="D1" s="81">
        <f>'シフト一覧（転載）'!$B$4</f>
        <v>0</v>
      </c>
    </row>
    <row r="2" spans="1:77" ht="4.8" customHeight="1" x14ac:dyDescent="0.2"/>
    <row r="3" spans="1:77" ht="21.6" customHeight="1" thickBot="1" x14ac:dyDescent="0.25">
      <c r="B3" s="149" t="s">
        <v>287</v>
      </c>
      <c r="C3" s="149"/>
      <c r="D3" s="150"/>
      <c r="E3" s="150" t="s">
        <v>288</v>
      </c>
      <c r="F3" s="150"/>
      <c r="G3" s="150" t="s">
        <v>289</v>
      </c>
      <c r="H3" s="5"/>
      <c r="I3" s="5"/>
      <c r="K3" s="4"/>
      <c r="L3" s="4"/>
      <c r="M3" s="4"/>
    </row>
    <row r="4" spans="1:77" s="3" customFormat="1" ht="30" customHeight="1" thickBot="1" x14ac:dyDescent="0.25">
      <c r="B4" s="125">
        <v>0</v>
      </c>
      <c r="C4" s="126"/>
      <c r="D4" s="5" t="s">
        <v>290</v>
      </c>
      <c r="E4" s="12">
        <v>4</v>
      </c>
      <c r="F4" s="5" t="s">
        <v>290</v>
      </c>
      <c r="G4" s="12">
        <v>1</v>
      </c>
      <c r="H4" s="6" t="s">
        <v>290</v>
      </c>
      <c r="I4" s="6">
        <v>1</v>
      </c>
      <c r="J4" s="5" t="s">
        <v>291</v>
      </c>
      <c r="K4" s="7">
        <f>B5+E5+G5+1</f>
        <v>1.9</v>
      </c>
      <c r="M4" s="5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E4" s="18"/>
    </row>
    <row r="5" spans="1:77" ht="21.6" hidden="1" customHeight="1" thickBot="1" x14ac:dyDescent="0.25">
      <c r="B5" s="5">
        <f>ROUNDDOWN(B4*1/20,1)</f>
        <v>0</v>
      </c>
      <c r="D5" s="5"/>
      <c r="E5" s="5">
        <f>ROUNDDOWN(E4*1/6,1)</f>
        <v>0.6</v>
      </c>
      <c r="F5" s="5"/>
      <c r="G5" s="5">
        <f>ROUNDDOWN(G4*1/3,1)</f>
        <v>0.3</v>
      </c>
      <c r="H5" s="5"/>
      <c r="I5" s="5"/>
      <c r="J5" s="5"/>
      <c r="K5" s="3"/>
    </row>
    <row r="6" spans="1:77" ht="26.4" customHeight="1" thickBot="1" x14ac:dyDescent="0.25">
      <c r="D6" s="3"/>
      <c r="E6" s="3"/>
      <c r="F6" s="3"/>
      <c r="G6" s="3"/>
      <c r="H6" s="119" t="s">
        <v>638</v>
      </c>
      <c r="I6" s="119"/>
      <c r="J6" s="3"/>
      <c r="K6" s="129">
        <f>K4</f>
        <v>1.9</v>
      </c>
      <c r="L6" s="1" t="s">
        <v>292</v>
      </c>
      <c r="M6" s="4"/>
    </row>
    <row r="7" spans="1:77" x14ac:dyDescent="0.2">
      <c r="D7" s="3"/>
      <c r="E7" s="3"/>
      <c r="F7" s="3"/>
      <c r="G7" s="3"/>
      <c r="H7" s="3"/>
      <c r="I7" s="3"/>
      <c r="J7" s="3"/>
    </row>
    <row r="8" spans="1:77" ht="29.4" customHeight="1" thickBot="1" x14ac:dyDescent="0.25">
      <c r="B8" s="122" t="s">
        <v>293</v>
      </c>
      <c r="C8" s="122"/>
      <c r="D8" s="2" t="s">
        <v>294</v>
      </c>
      <c r="E8" s="3" t="s">
        <v>295</v>
      </c>
      <c r="F8" s="3" t="s">
        <v>296</v>
      </c>
      <c r="H8" s="3"/>
      <c r="I8" s="3"/>
      <c r="J8" s="3"/>
    </row>
    <row r="9" spans="1:77" ht="33" customHeight="1" thickBot="1" x14ac:dyDescent="0.25">
      <c r="B9" s="127">
        <f t="array" ref="B9">CountWorksheets()-4</f>
        <v>15</v>
      </c>
      <c r="C9" s="128"/>
      <c r="D9" s="13">
        <f>K6</f>
        <v>1.9</v>
      </c>
      <c r="E9" s="11">
        <v>168</v>
      </c>
      <c r="F9" s="11" t="s">
        <v>637</v>
      </c>
      <c r="H9" s="3"/>
      <c r="I9" s="41"/>
      <c r="J9" s="3"/>
      <c r="M9" s="120" t="str">
        <f>F9</f>
        <v>一時</v>
      </c>
      <c r="N9" s="121"/>
      <c r="O9" s="52"/>
    </row>
    <row r="10" spans="1:77" x14ac:dyDescent="0.2">
      <c r="D10" s="3"/>
      <c r="E10" s="10"/>
      <c r="F10" s="3"/>
      <c r="G10" s="3"/>
      <c r="H10" s="3"/>
      <c r="I10" s="3"/>
      <c r="J10" s="8"/>
    </row>
    <row r="11" spans="1:77" ht="16.8" customHeight="1" x14ac:dyDescent="0.2">
      <c r="A11" s="14"/>
      <c r="B11" s="103" t="s">
        <v>635</v>
      </c>
      <c r="C11" s="101"/>
      <c r="D11" s="105" t="s">
        <v>3</v>
      </c>
      <c r="E11" s="92"/>
      <c r="F11" s="15" t="s">
        <v>297</v>
      </c>
      <c r="G11" s="15" t="s">
        <v>636</v>
      </c>
      <c r="H11" s="105" t="s">
        <v>296</v>
      </c>
      <c r="I11" s="92"/>
      <c r="J11" s="15" t="s">
        <v>299</v>
      </c>
      <c r="K11" s="15" t="s">
        <v>286</v>
      </c>
      <c r="L11" s="3"/>
      <c r="M11" s="105" t="s">
        <v>300</v>
      </c>
      <c r="N11" s="92"/>
      <c r="O11" s="14" t="s">
        <v>298</v>
      </c>
      <c r="P11" s="19">
        <v>1</v>
      </c>
      <c r="Q11" s="19"/>
      <c r="R11" s="19">
        <v>2</v>
      </c>
      <c r="S11" s="19"/>
      <c r="T11" s="19">
        <v>3</v>
      </c>
      <c r="U11" s="19"/>
      <c r="V11" s="19">
        <v>4</v>
      </c>
      <c r="W11" s="19"/>
      <c r="X11" s="19">
        <v>5</v>
      </c>
      <c r="Y11" s="19"/>
      <c r="Z11" s="19">
        <v>6</v>
      </c>
      <c r="AA11" s="19"/>
      <c r="AB11" s="19">
        <v>7</v>
      </c>
      <c r="AC11" s="19"/>
      <c r="AD11" s="19">
        <v>8</v>
      </c>
      <c r="AE11" s="19"/>
      <c r="AF11" s="19">
        <v>9</v>
      </c>
      <c r="AG11" s="19"/>
      <c r="AH11" s="19">
        <v>10</v>
      </c>
      <c r="AI11" s="19"/>
      <c r="AJ11" s="19">
        <v>11</v>
      </c>
      <c r="AK11" s="19"/>
      <c r="AL11" s="19">
        <v>12</v>
      </c>
      <c r="AM11" s="19"/>
      <c r="AN11" s="19">
        <v>13</v>
      </c>
      <c r="AO11" s="19"/>
      <c r="AP11" s="19">
        <v>14</v>
      </c>
      <c r="AQ11" s="19"/>
      <c r="AR11" s="19">
        <v>15</v>
      </c>
      <c r="AS11" s="19"/>
      <c r="AT11" s="19">
        <v>16</v>
      </c>
      <c r="AU11" s="19"/>
      <c r="AV11" s="19">
        <v>17</v>
      </c>
      <c r="AW11" s="19"/>
      <c r="AX11" s="19">
        <v>18</v>
      </c>
      <c r="AY11" s="19"/>
      <c r="AZ11" s="19">
        <v>19</v>
      </c>
      <c r="BA11" s="19"/>
      <c r="BB11" s="19">
        <v>20</v>
      </c>
      <c r="BC11" s="19"/>
      <c r="BD11" s="19">
        <v>21</v>
      </c>
      <c r="BE11" s="19"/>
      <c r="BF11" s="19">
        <v>22</v>
      </c>
      <c r="BG11" s="19"/>
      <c r="BH11" s="19">
        <v>23</v>
      </c>
      <c r="BI11" s="19"/>
      <c r="BJ11" s="19">
        <v>24</v>
      </c>
      <c r="BK11" s="19"/>
      <c r="BL11" s="19">
        <v>25</v>
      </c>
      <c r="BM11" s="19"/>
      <c r="BN11" s="19">
        <v>26</v>
      </c>
      <c r="BO11" s="19"/>
      <c r="BP11" s="19">
        <v>27</v>
      </c>
      <c r="BQ11" s="19"/>
      <c r="BR11" s="19">
        <v>28</v>
      </c>
      <c r="BS11" s="19"/>
      <c r="BT11" s="19">
        <v>29</v>
      </c>
      <c r="BU11" s="19"/>
      <c r="BV11" s="19">
        <v>30</v>
      </c>
      <c r="BW11" s="19"/>
      <c r="BX11" s="19">
        <v>31</v>
      </c>
      <c r="BY11" s="18"/>
    </row>
    <row r="12" spans="1:77" ht="19.8" customHeight="1" x14ac:dyDescent="0.2">
      <c r="A12" s="42">
        <f>B9-(B9-1)</f>
        <v>1</v>
      </c>
      <c r="B12" s="46" t="str" cm="1">
        <f t="array" aca="1" ref="B12" ca="1">IFERROR(_xlfn.TEXTJOIN("", TRUE, IF(ISERR(MID(INDIRECT("'Page_" &amp; A12 &amp; "'!C2"), ROW(INDIRECT("1:" &amp; LEN(INDIRECT("'Page_" &amp; A12 &amp; "'!C2")))), 1)*1), MID(INDIRECT("'Page_" &amp; A12 &amp; "'!C2"), ROW(INDIRECT("1:" &amp; LEN(INDIRECT("'Page_" &amp; A12 &amp; "'!C2")))), 1), "")),"")</f>
        <v>北山</v>
      </c>
      <c r="C12" s="47" t="str" cm="1">
        <f t="array" aca="1" ref="C12" ca="1">IFERROR(IF(INDIRECT("'Page_" &amp; A12 &amp; "'!E2")&lt;&gt;"",INDIRECT("'Page_" &amp; A12 &amp; "'!E2"),INDIRECT("'Page_" &amp; A12 &amp; "'!D2")),"")</f>
        <v>真美子</v>
      </c>
      <c r="D12" s="56" t="str" cm="1">
        <f t="array" aca="1" ref="D12" ca="1">IFERROR(IF(INDIRECT("'Page_" &amp; A12 &amp; "'!Q3")&lt;&gt;"",INDIRECT("'Page_" &amp; A12 &amp; "'!Q3"),INDIRECT("'Page_" &amp; A12 &amp; "'!P3")),"")</f>
        <v>正社員(一般)・園長（配置内）</v>
      </c>
      <c r="E12" s="38">
        <f ca="1">IF(COUNTIF(D12,"*調理*"),1,
IF(COUNTIF(D12,"*看護*"),1,
IF(COUNTIF(D12,"*事務*"),1,0)))</f>
        <v>0</v>
      </c>
      <c r="F12" s="27">
        <f ca="1">IFERROR(CONVERT(INDIRECT("'Page_" &amp; A12 &amp; "'!M"&amp;MATCH("総労働",INDIRECT("'Page_" &amp; A12 &amp; "'!M:M"),0)+2&amp;""), "day", "hr"),"")</f>
        <v>191.5</v>
      </c>
      <c r="G12" s="24">
        <f t="shared" ref="G12:G25" ca="1" si="0">IF(F12&lt;&gt;"",IF(F12&gt;$E$9,$E$9,F12),"")</f>
        <v>168</v>
      </c>
      <c r="H12" s="62" t="str" cm="1">
        <f t="array" aca="1" ref="H12" ca="1">IF(B12&lt;&gt;"",IFERROR(INDEX('シフト一覧（転載）'!$C$8:$C$100,
MATCH(1, (ISNUMBER(SEARCH(B12,'シフト一覧（転載）'!$A$8:$A$100)))
*(ISNUMBER(SEARCH($F$9,'シフト一覧（転載）'!$B$8:$B$100))), 0)),""),"")</f>
        <v/>
      </c>
      <c r="I12" s="53">
        <f t="shared" ref="I12:I25" ca="1" si="1">IF(B12&lt;&gt;"",IFERROR(VLOOKUP(B12,$M$12:$O$100,3,FALSE),0),"")</f>
        <v>0</v>
      </c>
      <c r="J12" s="24" cm="1">
        <f t="array" aca="1" ref="J12" ca="1">IF(B12&lt;&gt;"",IFERROR(SUM(INDIRECT("'Page_" &amp; A12 &amp; "'!K"&amp;MATCH("有休",INDIRECT("'Page_" &amp; A12 &amp; "'!K:K"),0)+2&amp;"")
+INDIRECT("'Page_" &amp; A12 &amp; "'!L"&amp;MATCH("特休",INDIRECT("'Page_" &amp; A12 &amp; "'!L:L"),0)+2&amp;""))*24,0),"")</f>
        <v>0</v>
      </c>
      <c r="K12" s="57"/>
      <c r="M12" s="103" t="str" cm="1">
        <f t="array" aca="1" ref="M1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2" s="101" t="str">
        <f ca="1">IF(M12&lt;&gt;"",VLOOKUP(M12,$B$12:$C$41,2,FALSE),"")</f>
        <v/>
      </c>
      <c r="O12" s="106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20" cm="1">
        <f t="array" aca="1" ref="P12" ca="1">IFERROR(IF(M12&lt;&gt;"",INDEX('シフト一覧（転載）'!$F$8:$AK$100,
    MATCH(1,(ISNUMBER(SEARCH(M12,'シフト一覧（転載）'!$A$8:$A$100)))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MATCH(1,(ISNUMBER(SEARCH(M12,'シフト一覧（転載）'!$A$8:$A$100)))
                *(ISNUMBER(SEARCH($F$9,'シフト一覧（転載）'!$B$8:$B$100))),
                0),0),0)),0),$F$9&amp;"保育無し")</f>
        <v>0</v>
      </c>
      <c r="Q12" s="20">
        <f t="array" aca="1" ref="Q12" ca="1">IFERROR(IF(COUNTIF(P12,"*無*"),"",IF(M12&lt;&gt;"",ADDRESS(
    MATCH(1,(ISNUMBER(SEARCH(M12,'シフト一覧（転載）'!$A$8:$A$100)))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MATCH(1,(ISNUMBER(SEARCH(M12,'シフト一覧（転載）'!$A$8:$A$100)))
                *(ISNUMBER(SEARCH($F$9,'シフト一覧（転載）'!$B$8:$B$100))),0),0),0) + 6,4),0)),0)</f>
        <v>0</v>
      </c>
      <c r="R12" s="20" cm="1">
        <f t="array" aca="1" ref="R12" ca="1">IFERROR(IF(Q12&lt;&gt;"",IF(Q12&lt;&gt;0,INDEX(
INDIRECT("'シフト一覧（転載）'!"&amp;Q12&amp;":AK100"),1,
MATCH(1,INDEX((LEN(INDIRECT("'シフト一覧（転載）'!"&amp;Q12&amp;":AK100"))&gt;0)
*(INDIRECT("'シフト一覧（転載）'!"&amp;Q12&amp;":AK100")&lt;&gt;"休み"),1,0),0)),0),""),$F$9&amp;"保育無し")</f>
        <v>0</v>
      </c>
      <c r="S12" s="20">
        <f t="array" aca="1" ref="S12" ca="1">IFERROR(IF(Q12&lt;&gt;0,ADDRESS(ROW(INDIRECT(Q12)),
    COLUMN(INDIRECT(Q12)) - 1 +
    MATCH(1,INDEX((LEN(INDIRECT("'シフト一覧（転載）'!"&amp;Q12&amp;":AK100"))&gt;0)
            *(INDIRECT("'シフト一覧（転載）'!"&amp;Q12&amp;":AK100")&lt;&gt;"休み"),
            1,0),0)+1,4),0),"")</f>
        <v>0</v>
      </c>
      <c r="T12" s="20">
        <f t="array" aca="1" ref="T12" ca="1">IFERROR(IF(S12&lt;&gt;"",IF(S12&lt;&gt;0,INDEX(
INDIRECT("'シフト一覧（転載）'!"&amp;S12&amp;":AK100"),1,
MATCH(1,INDEX((LEN(INDIRECT("'シフト一覧（転載）'!"&amp;S12&amp;":AK100"))&gt;0)
*(INDIRECT("'シフト一覧（転載）'!"&amp;S12&amp;":AK100")&lt;&gt;"休み"),1,0),0)),0),""),$F$9&amp;"保育無し")</f>
        <v>0</v>
      </c>
      <c r="U12" s="20">
        <f t="array" aca="1" ref="U12" ca="1">IFERROR(IF(S12&lt;&gt;0,ADDRESS(ROW(INDIRECT(S12)),
    COLUMN(INDIRECT(S12)) - 1 +
    MATCH(1,INDEX((LEN(INDIRECT("'シフト一覧（転載）'!"&amp;S12&amp;":AK100"))&gt;0)
            *(INDIRECT("'シフト一覧（転載）'!"&amp;S12&amp;":AK100")&lt;&gt;"休み"),
            1,0),0)+1,4),0),"")</f>
        <v>0</v>
      </c>
      <c r="V12" s="20">
        <f t="array" aca="1" ref="V12" ca="1">IFERROR(IF(U12&lt;&gt;"",IF(U12&lt;&gt;0,INDEX(
INDIRECT("'シフト一覧（転載）'!"&amp;U12&amp;":AK100"),1,
MATCH(1,INDEX((LEN(INDIRECT("'シフト一覧（転載）'!"&amp;U12&amp;":AK100"))&gt;0)
*(INDIRECT("'シフト一覧（転載）'!"&amp;U12&amp;":AK100")&lt;&gt;"休み"),1,0),0)),0),""),$F$9&amp;"保育無し")</f>
        <v>0</v>
      </c>
      <c r="W12" s="20">
        <f t="array" aca="1" ref="W12" ca="1">IFERROR(IF(U12&lt;&gt;0,ADDRESS(ROW(INDIRECT(U12)),
    COLUMN(INDIRECT(U12)) - 1 +
    MATCH(1,INDEX((LEN(INDIRECT("'シフト一覧（転載）'!"&amp;U12&amp;":AK100"))&gt;0)
            *(INDIRECT("'シフト一覧（転載）'!"&amp;U12&amp;":AK100")&lt;&gt;"休み"),
            1,0),0)+1,4),0),"")</f>
        <v>0</v>
      </c>
      <c r="X12" s="20">
        <f t="array" aca="1" ref="X12" ca="1">IFERROR(IF(W12&lt;&gt;"",IF(W12&lt;&gt;0,INDEX(
INDIRECT("'シフト一覧（転載）'!"&amp;W12&amp;":AK100"),1,
MATCH(1,INDEX((LEN(INDIRECT("'シフト一覧（転載）'!"&amp;W12&amp;":AK100"))&gt;0)
*(INDIRECT("'シフト一覧（転載）'!"&amp;W12&amp;":AK100")&lt;&gt;"休み"),1,0),0)),0),""),$F$9&amp;"保育無し")</f>
        <v>0</v>
      </c>
      <c r="Y12" s="20">
        <f t="array" aca="1" ref="Y12" ca="1">IFERROR(IF(W12&lt;&gt;0,ADDRESS(ROW(INDIRECT(W12)),
    COLUMN(INDIRECT(W12)) - 1 +
    MATCH(1,INDEX((LEN(INDIRECT("'シフト一覧（転載）'!"&amp;W12&amp;":AK100"))&gt;0)
            *(INDIRECT("'シフト一覧（転載）'!"&amp;W12&amp;":AK100")&lt;&gt;"休み"),
            1,0),0)+1,4),0),"")</f>
        <v>0</v>
      </c>
      <c r="Z12" s="20">
        <f t="array" aca="1" ref="Z12" ca="1">IFERROR(IF(Y12&lt;&gt;"",IF(Y12&lt;&gt;0,INDEX(
INDIRECT("'シフト一覧（転載）'!"&amp;Y12&amp;":AK100"),1,
MATCH(1,INDEX((LEN(INDIRECT("'シフト一覧（転載）'!"&amp;Y12&amp;":AK100"))&gt;0)
*(INDIRECT("'シフト一覧（転載）'!"&amp;Y12&amp;":AK100")&lt;&gt;"休み"),1,0),0)),0),""),$F$9&amp;"保育無し")</f>
        <v>0</v>
      </c>
      <c r="AA12" s="20">
        <f t="array" aca="1" ref="AA12" ca="1">IFERROR(IF(Y12&lt;&gt;0,ADDRESS(ROW(INDIRECT(Y12)),
    COLUMN(INDIRECT(Y12)) - 1 +
    MATCH(1,INDEX((LEN(INDIRECT("'シフト一覧（転載）'!"&amp;Y12&amp;":AK100"))&gt;0)
            *(INDIRECT("'シフト一覧（転載）'!"&amp;Y12&amp;":AK100")&lt;&gt;"休み"),
            1,0),0)+1,4),0),"")</f>
        <v>0</v>
      </c>
      <c r="AB12" s="20">
        <f t="array" aca="1" ref="AB12" ca="1">IFERROR(IF(AA12&lt;&gt;"",IF(AA12&lt;&gt;0,INDEX(
INDIRECT("'シフト一覧（転載）'!"&amp;AA12&amp;":AK100"),1,
MATCH(1,INDEX((LEN(INDIRECT("'シフト一覧（転載）'!"&amp;AA12&amp;":AK100"))&gt;0)
*(INDIRECT("'シフト一覧（転載）'!"&amp;AA12&amp;":AK100")&lt;&gt;"休み"),1,0),0)),0),""),$F$9&amp;"保育無し")</f>
        <v>0</v>
      </c>
      <c r="AC12" s="20">
        <f t="array" aca="1" ref="AC12" ca="1">IFERROR(IF(AA12&lt;&gt;0,ADDRESS(ROW(INDIRECT(AA12)),
    COLUMN(INDIRECT(AA12)) - 1 +
    MATCH(1,INDEX((LEN(INDIRECT("'シフト一覧（転載）'!"&amp;AA12&amp;":AK100"))&gt;0)
            *(INDIRECT("'シフト一覧（転載）'!"&amp;AA12&amp;":AK100")&lt;&gt;"休み"),
            1,0),0)+1,4),0),"")</f>
        <v>0</v>
      </c>
      <c r="AD12" s="20">
        <f t="array" aca="1" ref="AD12" ca="1">IFERROR(IF(AC12&lt;&gt;"",IF(AC12&lt;&gt;0,INDEX(
INDIRECT("'シフト一覧（転載）'!"&amp;AC12&amp;":AK100"),1,
MATCH(1,INDEX((LEN(INDIRECT("'シフト一覧（転載）'!"&amp;AC12&amp;":AK100"))&gt;0)
*(INDIRECT("'シフト一覧（転載）'!"&amp;AC12&amp;":AK100")&lt;&gt;"休み"),1,0),0)),0),""),$F$9&amp;"保育無し")</f>
        <v>0</v>
      </c>
      <c r="AE12" s="20">
        <f t="array" aca="1" ref="AE12" ca="1">IFERROR(IF(AC12&lt;&gt;0,ADDRESS(ROW(INDIRECT(AC12)),
    COLUMN(INDIRECT(AC12)) - 1 +
    MATCH(1,INDEX((LEN(INDIRECT("'シフト一覧（転載）'!"&amp;AC12&amp;":AK100"))&gt;0)
            *(INDIRECT("'シフト一覧（転載）'!"&amp;AC12&amp;":AK100")&lt;&gt;"休み"),
            1,0),0)+1,4),0),"")</f>
        <v>0</v>
      </c>
      <c r="AF12" s="20">
        <f t="array" aca="1" ref="AF12" ca="1">IFERROR(IF(AE12&lt;&gt;"",IF(AE12&lt;&gt;0,INDEX(
INDIRECT("'シフト一覧（転載）'!"&amp;AE12&amp;":AK100"),1,
MATCH(1,INDEX((LEN(INDIRECT("'シフト一覧（転載）'!"&amp;AE12&amp;":AK100"))&gt;0)
*(INDIRECT("'シフト一覧（転載）'!"&amp;AE12&amp;":AK100")&lt;&gt;"休み"),1,0),0)),0),""),$F$9&amp;"保育無し")</f>
        <v>0</v>
      </c>
      <c r="AG12" s="20">
        <f t="array" aca="1" ref="AG12" ca="1">IFERROR(IF(AE12&lt;&gt;0,ADDRESS(ROW(INDIRECT(AE12)),
    COLUMN(INDIRECT(AE12)) - 1 +
    MATCH(1,INDEX((LEN(INDIRECT("'シフト一覧（転載）'!"&amp;AE12&amp;":AK100"))&gt;0)
            *(INDIRECT("'シフト一覧（転載）'!"&amp;AE12&amp;":AK100")&lt;&gt;"休み"),
            1,0),0)+1,4),0),"")</f>
        <v>0</v>
      </c>
      <c r="AH12" s="20">
        <f t="array" aca="1" ref="AH12" ca="1">IFERROR(IF(AG12&lt;&gt;"",IF(AG12&lt;&gt;0,INDEX(
INDIRECT("'シフト一覧（転載）'!"&amp;AG12&amp;":AK100"),1,
MATCH(1,INDEX((LEN(INDIRECT("'シフト一覧（転載）'!"&amp;AG12&amp;":AK100"))&gt;0)
*(INDIRECT("'シフト一覧（転載）'!"&amp;AG12&amp;":AK100")&lt;&gt;"休み"),1,0),0)),0),""),$F$9&amp;"保育無し")</f>
        <v>0</v>
      </c>
      <c r="AI12" s="20">
        <f t="array" aca="1" ref="AI12" ca="1">IFERROR(IF(AG12&lt;&gt;0,ADDRESS(ROW(INDIRECT(AG12)),
    COLUMN(INDIRECT(AG12)) - 1 +
    MATCH(1,INDEX((LEN(INDIRECT("'シフト一覧（転載）'!"&amp;AG12&amp;":AK100"))&gt;0)
            *(INDIRECT("'シフト一覧（転載）'!"&amp;AG12&amp;":AK100")&lt;&gt;"休み"),
            1,0),0)+1,4),0),"")</f>
        <v>0</v>
      </c>
      <c r="AJ12" s="20">
        <f t="array" aca="1" ref="AJ12" ca="1">IFERROR(IF(AI12&lt;&gt;"",IF(AI12&lt;&gt;0,INDEX(
INDIRECT("'シフト一覧（転載）'!"&amp;AI12&amp;":AK100"),1,
MATCH(1,INDEX((LEN(INDIRECT("'シフト一覧（転載）'!"&amp;AI12&amp;":AK100"))&gt;0)
*(INDIRECT("'シフト一覧（転載）'!"&amp;AI12&amp;":AK100")&lt;&gt;"休み"),1,0),0)),0),""),$F$9&amp;"保育無し")</f>
        <v>0</v>
      </c>
      <c r="AK12" s="20">
        <f t="array" aca="1" ref="AK12" ca="1">IFERROR(IF(AI12&lt;&gt;0,ADDRESS(ROW(INDIRECT(AI12)),
    COLUMN(INDIRECT(AI12)) - 1 +
    MATCH(1,INDEX((LEN(INDIRECT("'シフト一覧（転載）'!"&amp;AI12&amp;":AK100"))&gt;0)
            *(INDIRECT("'シフト一覧（転載）'!"&amp;AI12&amp;":AK100")&lt;&gt;"休み"),
            1,0),0)+1,4),0),"")</f>
        <v>0</v>
      </c>
      <c r="AL12" s="20">
        <f t="array" aca="1" ref="AL12" ca="1">IFERROR(IF(AK12&lt;&gt;"",IF(AK12&lt;&gt;0,INDEX(
INDIRECT("'シフト一覧（転載）'!"&amp;AK12&amp;":AK100"),1,
MATCH(1,INDEX((LEN(INDIRECT("'シフト一覧（転載）'!"&amp;AK12&amp;":AK100"))&gt;0)
*(INDIRECT("'シフト一覧（転載）'!"&amp;AK12&amp;":AK100")&lt;&gt;"休み"),1,0),0)),0),""),$F$9&amp;"保育無し")</f>
        <v>0</v>
      </c>
      <c r="AM12" s="20">
        <f t="array" aca="1" ref="AM12" ca="1">IFERROR(IF(AK12&lt;&gt;0,ADDRESS(ROW(INDIRECT(AK12)),
    COLUMN(INDIRECT(AK12)) - 1 +
    MATCH(1,INDEX((LEN(INDIRECT("'シフト一覧（転載）'!"&amp;AK12&amp;":AK100"))&gt;0)
            *(INDIRECT("'シフト一覧（転載）'!"&amp;AK12&amp;":AK100")&lt;&gt;"休み"),
            1,0),0)+1,4),0),"")</f>
        <v>0</v>
      </c>
      <c r="AN12" s="20">
        <f t="array" aca="1" ref="AN12" ca="1">IFERROR(IF(AM12&lt;&gt;"",IF(AM12&lt;&gt;0,INDEX(
INDIRECT("'シフト一覧（転載）'!"&amp;AM12&amp;":AK100"),1,
MATCH(1,INDEX((LEN(INDIRECT("'シフト一覧（転載）'!"&amp;AM12&amp;":AK100"))&gt;0)
*(INDIRECT("'シフト一覧（転載）'!"&amp;AM12&amp;":AK100")&lt;&gt;"休み"),1,0),0)),0),""),$F$9&amp;"保育無し")</f>
        <v>0</v>
      </c>
      <c r="AO12" s="20">
        <f t="array" aca="1" ref="AO12" ca="1">IFERROR(IF(AM12&lt;&gt;0,ADDRESS(ROW(INDIRECT(AM12)),
    COLUMN(INDIRECT(AM12)) - 1 +
    MATCH(1,INDEX((LEN(INDIRECT("'シフト一覧（転載）'!"&amp;AM12&amp;":AK100"))&gt;0)
            *(INDIRECT("'シフト一覧（転載）'!"&amp;AM12&amp;":AK100")&lt;&gt;"休み"),
            1,0),0)+1,4),0),"")</f>
        <v>0</v>
      </c>
      <c r="AP12" s="20">
        <f t="array" aca="1" ref="AP12" ca="1">IFERROR(IF(AO12&lt;&gt;"",IF(AO12&lt;&gt;0,INDEX(
INDIRECT("'シフト一覧（転載）'!"&amp;AO12&amp;":AK100"),1,
MATCH(1,INDEX((LEN(INDIRECT("'シフト一覧（転載）'!"&amp;AO12&amp;":AK100"))&gt;0)
*(INDIRECT("'シフト一覧（転載）'!"&amp;AO12&amp;":AK100")&lt;&gt;"休み"),1,0),0)),0),""),$F$9&amp;"保育無し")</f>
        <v>0</v>
      </c>
      <c r="AQ12" s="20">
        <f t="array" aca="1" ref="AQ12" ca="1">IFERROR(IF(AO12&lt;&gt;0,ADDRESS(ROW(INDIRECT(AO12)),
    COLUMN(INDIRECT(AO12)) - 1 +
    MATCH(1,INDEX((LEN(INDIRECT("'シフト一覧（転載）'!"&amp;AO12&amp;":AK100"))&gt;0)
            *(INDIRECT("'シフト一覧（転載）'!"&amp;AO12&amp;":AK100")&lt;&gt;"休み"),
            1,0),0)+1,4),0),"")</f>
        <v>0</v>
      </c>
      <c r="AR12" s="20">
        <f t="array" aca="1" ref="AR12" ca="1">IFERROR(IF(AQ12&lt;&gt;"",IF(AQ12&lt;&gt;0,INDEX(
INDIRECT("'シフト一覧（転載）'!"&amp;AQ12&amp;":AK100"),1,
MATCH(1,INDEX((LEN(INDIRECT("'シフト一覧（転載）'!"&amp;AQ12&amp;":AK100"))&gt;0)
*(INDIRECT("'シフト一覧（転載）'!"&amp;AQ12&amp;":AK100")&lt;&gt;"休み"),1,0),0)),0),""),$F$9&amp;"保育無し")</f>
        <v>0</v>
      </c>
      <c r="AS12" s="20">
        <f t="array" aca="1" ref="AS12" ca="1">IFERROR(IF(AQ12&lt;&gt;0,ADDRESS(ROW(INDIRECT(AQ12)),
    COLUMN(INDIRECT(AQ12)) - 1 +
    MATCH(1,INDEX((LEN(INDIRECT("'シフト一覧（転載）'!"&amp;AQ12&amp;":AK100"))&gt;0)
            *(INDIRECT("'シフト一覧（転載）'!"&amp;AQ12&amp;":AK100")&lt;&gt;"休み"),
            1,0),0)+1,4),0),"")</f>
        <v>0</v>
      </c>
      <c r="AT12" s="20">
        <f t="array" aca="1" ref="AT12" ca="1">IFERROR(IF(AS12&lt;&gt;"",IF(AS12&lt;&gt;0,INDEX(
INDIRECT("'シフト一覧（転載）'!"&amp;AS12&amp;":AK100"),1,
MATCH(1,INDEX((LEN(INDIRECT("'シフト一覧（転載）'!"&amp;AS12&amp;":AK100"))&gt;0)
*(INDIRECT("'シフト一覧（転載）'!"&amp;AS12&amp;":AK100")&lt;&gt;"休み"),1,0),0)),0),""),$F$9&amp;"保育無し")</f>
        <v>0</v>
      </c>
      <c r="AU12" s="20">
        <f t="array" aca="1" ref="AU12" ca="1">IFERROR(IF(AS12&lt;&gt;0,ADDRESS(ROW(INDIRECT(AS12)),
    COLUMN(INDIRECT(AS12)) - 1 +
    MATCH(1,INDEX((LEN(INDIRECT("'シフト一覧（転載）'!"&amp;AS12&amp;":AK100"))&gt;0)
            *(INDIRECT("'シフト一覧（転載）'!"&amp;AS12&amp;":AK100")&lt;&gt;"休み"),
            1,0),0)+1,4),0),"")</f>
        <v>0</v>
      </c>
      <c r="AV12" s="20">
        <f t="array" aca="1" ref="AV12" ca="1">IFERROR(IF(AU12&lt;&gt;"",IF(AU12&lt;&gt;0,INDEX(
INDIRECT("'シフト一覧（転載）'!"&amp;AU12&amp;":AK100"),1,
MATCH(1,INDEX((LEN(INDIRECT("'シフト一覧（転載）'!"&amp;AU12&amp;":AK100"))&gt;0)
*(INDIRECT("'シフト一覧（転載）'!"&amp;AU12&amp;":AK100")&lt;&gt;"休み"),1,0),0)),0),""),$F$9&amp;"保育無し")</f>
        <v>0</v>
      </c>
      <c r="AW12" s="20">
        <f t="array" aca="1" ref="AW12" ca="1">IFERROR(IF(AU12&lt;&gt;0,ADDRESS(ROW(INDIRECT(AU12)),
    COLUMN(INDIRECT(AU12)) - 1 +
    MATCH(1,INDEX((LEN(INDIRECT("'シフト一覧（転載）'!"&amp;AU12&amp;":AK100"))&gt;0)
            *(INDIRECT("'シフト一覧（転載）'!"&amp;AU12&amp;":AK100")&lt;&gt;"休み"),
            1,0),0)+1,4),0),"")</f>
        <v>0</v>
      </c>
      <c r="AX12" s="20">
        <f t="array" aca="1" ref="AX12" ca="1">IFERROR(IF(AW12&lt;&gt;"",IF(AW12&lt;&gt;0,INDEX(
INDIRECT("'シフト一覧（転載）'!"&amp;AW12&amp;":AK100"),1,
MATCH(1,INDEX((LEN(INDIRECT("'シフト一覧（転載）'!"&amp;AW12&amp;":AK100"))&gt;0)
*(INDIRECT("'シフト一覧（転載）'!"&amp;AW12&amp;":AK100")&lt;&gt;"休み"),1,0),0)),0),""),$F$9&amp;"保育無し")</f>
        <v>0</v>
      </c>
      <c r="AY12" s="20">
        <f t="array" aca="1" ref="AY12" ca="1">IFERROR(IF(AW12&lt;&gt;0,ADDRESS(ROW(INDIRECT(AW12)),
    COLUMN(INDIRECT(AW12)) - 1 +
    MATCH(1,INDEX((LEN(INDIRECT("'シフト一覧（転載）'!"&amp;AW12&amp;":AK100"))&gt;0)
            *(INDIRECT("'シフト一覧（転載）'!"&amp;AW12&amp;":AK100")&lt;&gt;"休み"),
            1,0),0)+1,4),0),"")</f>
        <v>0</v>
      </c>
      <c r="AZ12" s="20">
        <f t="array" aca="1" ref="AZ12" ca="1">IFERROR(IF(AY12&lt;&gt;"",IF(AY12&lt;&gt;0,INDEX(
INDIRECT("'シフト一覧（転載）'!"&amp;AY12&amp;":AK100"),1,
MATCH(1,INDEX((LEN(INDIRECT("'シフト一覧（転載）'!"&amp;AY12&amp;":AK100"))&gt;0)
*(INDIRECT("'シフト一覧（転載）'!"&amp;AY12&amp;":AK100")&lt;&gt;"休み"),1,0),0)),0),""),$F$9&amp;"保育無し")</f>
        <v>0</v>
      </c>
      <c r="BA12" s="20">
        <f t="array" aca="1" ref="BA12" ca="1">IFERROR(IF(AY12&lt;&gt;0,ADDRESS(ROW(INDIRECT(AY12)),
    COLUMN(INDIRECT(AY12)) - 1 +
    MATCH(1,INDEX((LEN(INDIRECT("'シフト一覧（転載）'!"&amp;AY12&amp;":AK100"))&gt;0)
            *(INDIRECT("'シフト一覧（転載）'!"&amp;AY12&amp;":AK100")&lt;&gt;"休み"),
            1,0),0)+1,4),0),"")</f>
        <v>0</v>
      </c>
      <c r="BB12" s="20">
        <f t="array" aca="1" ref="BB12" ca="1">IFERROR(IF(BA12&lt;&gt;"",IF(BA12&lt;&gt;0,INDEX(
INDIRECT("'シフト一覧（転載）'!"&amp;BA12&amp;":AK100"),1,
MATCH(1,INDEX((LEN(INDIRECT("'シフト一覧（転載）'!"&amp;BA12&amp;":AK100"))&gt;0)
*(INDIRECT("'シフト一覧（転載）'!"&amp;BA12&amp;":AK100")&lt;&gt;"休み"),1,0),0)),0),""),$F$9&amp;"保育無し")</f>
        <v>0</v>
      </c>
      <c r="BC12" s="20">
        <f t="array" aca="1" ref="BC12" ca="1">IFERROR(IF(BA12&lt;&gt;0,ADDRESS(ROW(INDIRECT(BA12)),
    COLUMN(INDIRECT(BA12)) - 1 +
    MATCH(1,INDEX((LEN(INDIRECT("'シフト一覧（転載）'!"&amp;BA12&amp;":AK100"))&gt;0)
            *(INDIRECT("'シフト一覧（転載）'!"&amp;BA12&amp;":AK100")&lt;&gt;"休み"),
            1,0),0)+1,4),0),"")</f>
        <v>0</v>
      </c>
      <c r="BD12" s="20">
        <f t="array" aca="1" ref="BD12" ca="1">IFERROR(IF(BC12&lt;&gt;"",IF(BC12&lt;&gt;0,INDEX(
INDIRECT("'シフト一覧（転載）'!"&amp;BC12&amp;":AK100"),1,
MATCH(1,INDEX((LEN(INDIRECT("'シフト一覧（転載）'!"&amp;BC12&amp;":AK100"))&gt;0)
*(INDIRECT("'シフト一覧（転載）'!"&amp;BC12&amp;":AK100")&lt;&gt;"休み"),1,0),0)),0),""),$F$9&amp;"保育無し")</f>
        <v>0</v>
      </c>
      <c r="BE12" s="20">
        <f t="array" aca="1" ref="BE12" ca="1">IFERROR(IF(BC12&lt;&gt;0,ADDRESS(ROW(INDIRECT(BC12)),
    COLUMN(INDIRECT(BC12)) - 1 +
    MATCH(1,INDEX((LEN(INDIRECT("'シフト一覧（転載）'!"&amp;BC12&amp;":AK100"))&gt;0)
            *(INDIRECT("'シフト一覧（転載）'!"&amp;BC12&amp;":AK100")&lt;&gt;"休み"),
            1,0),0)+1,4),0),"")</f>
        <v>0</v>
      </c>
      <c r="BF12" s="20">
        <f t="array" aca="1" ref="BF12" ca="1">IFERROR(IF(BE12&lt;&gt;"",IF(BE12&lt;&gt;0,INDEX(
INDIRECT("'シフト一覧（転載）'!"&amp;BE12&amp;":AK100"),1,
MATCH(1,INDEX((LEN(INDIRECT("'シフト一覧（転載）'!"&amp;BE12&amp;":AK100"))&gt;0)
*(INDIRECT("'シフト一覧（転載）'!"&amp;BE12&amp;":AK100")&lt;&gt;"休み"),1,0),0)),0),""),$F$9&amp;"保育無し")</f>
        <v>0</v>
      </c>
      <c r="BG12" s="20">
        <f t="array" aca="1" ref="BG12" ca="1">IFERROR(IF(BE12&lt;&gt;0,ADDRESS(ROW(INDIRECT(BE12)),
    COLUMN(INDIRECT(BE12)) - 1 +
    MATCH(1,INDEX((LEN(INDIRECT("'シフト一覧（転載）'!"&amp;BE12&amp;":AK100"))&gt;0)
            *(INDIRECT("'シフト一覧（転載）'!"&amp;BE12&amp;":AK100")&lt;&gt;"休み"),
            1,0),0)+1,4),0),"")</f>
        <v>0</v>
      </c>
      <c r="BH12" s="20">
        <f t="array" aca="1" ref="BH12" ca="1">IFERROR(IF(BG12&lt;&gt;"",IF(BG12&lt;&gt;0,INDEX(
INDIRECT("'シフト一覧（転載）'!"&amp;BG12&amp;":AK100"),1,
MATCH(1,INDEX((LEN(INDIRECT("'シフト一覧（転載）'!"&amp;BG12&amp;":AK100"))&gt;0)
*(INDIRECT("'シフト一覧（転載）'!"&amp;BG12&amp;":AK100")&lt;&gt;"休み"),1,0),0)),0),""),$F$9&amp;"保育無し")</f>
        <v>0</v>
      </c>
      <c r="BI12" s="20">
        <f t="array" aca="1" ref="BI12" ca="1">IFERROR(IF(BG12&lt;&gt;0,ADDRESS(ROW(INDIRECT(BG12)),
    COLUMN(INDIRECT(BG12)) - 1 +
    MATCH(1,INDEX((LEN(INDIRECT("'シフト一覧（転載）'!"&amp;BG12&amp;":AK100"))&gt;0)
            *(INDIRECT("'シフト一覧（転載）'!"&amp;BG12&amp;":AK100")&lt;&gt;"休み"),
            1,0),0)+1,4),0),"")</f>
        <v>0</v>
      </c>
      <c r="BJ12" s="20">
        <f t="array" aca="1" ref="BJ12" ca="1">IFERROR(IF(BI12&lt;&gt;"",IF(BI12&lt;&gt;0,INDEX(
INDIRECT("'シフト一覧（転載）'!"&amp;BI12&amp;":AK100"),1,
MATCH(1,INDEX((LEN(INDIRECT("'シフト一覧（転載）'!"&amp;BI12&amp;":AK100"))&gt;0)
*(INDIRECT("'シフト一覧（転載）'!"&amp;BI12&amp;":AK100")&lt;&gt;"休み"),1,0),0)),0),""),$F$9&amp;"保育無し")</f>
        <v>0</v>
      </c>
      <c r="BK12" s="20">
        <f t="array" aca="1" ref="BK12" ca="1">IFERROR(IF(BI12&lt;&gt;0,ADDRESS(ROW(INDIRECT(BI12)),
    COLUMN(INDIRECT(BI12)) - 1 +
    MATCH(1,INDEX((LEN(INDIRECT("'シフト一覧（転載）'!"&amp;BI12&amp;":AK100"))&gt;0)
            *(INDIRECT("'シフト一覧（転載）'!"&amp;BI12&amp;":AK100")&lt;&gt;"休み"),
            1,0),0)+1,4),0),"")</f>
        <v>0</v>
      </c>
      <c r="BL12" s="20">
        <f t="array" aca="1" ref="BL12" ca="1">IFERROR(IF(BK12&lt;&gt;"",IF(BK12&lt;&gt;0,INDEX(
INDIRECT("'シフト一覧（転載）'!"&amp;BK12&amp;":AK100"),1,
MATCH(1,INDEX((LEN(INDIRECT("'シフト一覧（転載）'!"&amp;BK12&amp;":AK100"))&gt;0)
*(INDIRECT("'シフト一覧（転載）'!"&amp;BK12&amp;":AK100")&lt;&gt;"休み"),1,0),0)),0),""),$F$9&amp;"保育無し")</f>
        <v>0</v>
      </c>
      <c r="BM12" s="20">
        <f t="array" aca="1" ref="BM12" ca="1">IFERROR(IF(BK12&lt;&gt;0,ADDRESS(ROW(INDIRECT(BK12)),
    COLUMN(INDIRECT(BK12)) - 1 +
    MATCH(1,INDEX((LEN(INDIRECT("'シフト一覧（転載）'!"&amp;BK12&amp;":AK100"))&gt;0)
            *(INDIRECT("'シフト一覧（転載）'!"&amp;BK12&amp;":AK100")&lt;&gt;"休み"),
            1,0),0)+1,4),0),"")</f>
        <v>0</v>
      </c>
      <c r="BN12" s="20">
        <f t="array" aca="1" ref="BN12" ca="1">IFERROR(IF(BM12&lt;&gt;"",IF(BM12&lt;&gt;0,INDEX(
INDIRECT("'シフト一覧（転載）'!"&amp;BM12&amp;":AK100"),1,
MATCH(1,INDEX((LEN(INDIRECT("'シフト一覧（転載）'!"&amp;BM12&amp;":AK100"))&gt;0)
*(INDIRECT("'シフト一覧（転載）'!"&amp;BM12&amp;":AK100")&lt;&gt;"休み"),1,0),0)),0),""),$F$9&amp;"保育無し")</f>
        <v>0</v>
      </c>
      <c r="BO12" s="20">
        <f t="array" aca="1" ref="BO12" ca="1">IFERROR(IF(BM12&lt;&gt;0,ADDRESS(ROW(INDIRECT(BM12)),
    COLUMN(INDIRECT(BM12)) - 1 +
    MATCH(1,INDEX((LEN(INDIRECT("'シフト一覧（転載）'!"&amp;BM12&amp;":AK100"))&gt;0)
            *(INDIRECT("'シフト一覧（転載）'!"&amp;BM12&amp;":AK100")&lt;&gt;"休み"),
            1,0),0)+1,4),0),"")</f>
        <v>0</v>
      </c>
      <c r="BP12" s="20">
        <f t="array" aca="1" ref="BP12" ca="1">IFERROR(IF(BO12&lt;&gt;"",IF(BO12&lt;&gt;0,INDEX(
INDIRECT("'シフト一覧（転載）'!"&amp;BO12&amp;":AK100"),1,
MATCH(1,INDEX((LEN(INDIRECT("'シフト一覧（転載）'!"&amp;BO12&amp;":AK100"))&gt;0)
*(INDIRECT("'シフト一覧（転載）'!"&amp;BO12&amp;":AK100")&lt;&gt;"休み"),1,0),0)),0),""),$F$9&amp;"保育無し")</f>
        <v>0</v>
      </c>
      <c r="BQ12" s="20">
        <f t="array" aca="1" ref="BQ12" ca="1">IFERROR(IF(BO12&lt;&gt;0,ADDRESS(ROW(INDIRECT(BO12)),
    COLUMN(INDIRECT(BO12)) - 1 +
    MATCH(1,INDEX((LEN(INDIRECT("'シフト一覧（転載）'!"&amp;BO12&amp;":AK100"))&gt;0)
            *(INDIRECT("'シフト一覧（転載）'!"&amp;BO12&amp;":AK100")&lt;&gt;"休み"),
            1,0),0)+1,4),0),"")</f>
        <v>0</v>
      </c>
      <c r="BR12" s="20">
        <f t="array" aca="1" ref="BR12" ca="1">IFERROR(IF(BQ12&lt;&gt;"",IF(BQ12&lt;&gt;0,INDEX(
INDIRECT("'シフト一覧（転載）'!"&amp;BQ12&amp;":AK100"),1,
MATCH(1,INDEX((LEN(INDIRECT("'シフト一覧（転載）'!"&amp;BQ12&amp;":AK100"))&gt;0)
*(INDIRECT("'シフト一覧（転載）'!"&amp;BQ12&amp;":AK100")&lt;&gt;"休み"),1,0),0)),0),""),$F$9&amp;"保育無し")</f>
        <v>0</v>
      </c>
      <c r="BS12" s="20">
        <f t="array" aca="1" ref="BS12" ca="1">IFERROR(IF(BQ12&lt;&gt;0,ADDRESS(ROW(INDIRECT(BQ12)),
    COLUMN(INDIRECT(BQ12)) - 1 +
    MATCH(1,INDEX((LEN(INDIRECT("'シフト一覧（転載）'!"&amp;BQ12&amp;":AK100"))&gt;0)
            *(INDIRECT("'シフト一覧（転載）'!"&amp;BQ12&amp;":AK100")&lt;&gt;"休み"),
            1,0),0)+1,4),0),"")</f>
        <v>0</v>
      </c>
      <c r="BT12" s="20">
        <f t="array" aca="1" ref="BT12" ca="1">IFERROR(IF(BS12&lt;&gt;"",IF(BS12&lt;&gt;0,INDEX(
INDIRECT("'シフト一覧（転載）'!"&amp;BS12&amp;":AK100"),1,
MATCH(1,INDEX((LEN(INDIRECT("'シフト一覧（転載）'!"&amp;BS12&amp;":AK100"))&gt;0)
*(INDIRECT("'シフト一覧（転載）'!"&amp;BS12&amp;":AK100")&lt;&gt;"休み"),1,0),0)),0),""),$F$9&amp;"保育無し")</f>
        <v>0</v>
      </c>
      <c r="BU12" s="20">
        <f t="array" aca="1" ref="BU12" ca="1">IFERROR(IF(BS12&lt;&gt;0,ADDRESS(ROW(INDIRECT(BS12)),
    COLUMN(INDIRECT(BS12)) - 1 +
    MATCH(1,INDEX((LEN(INDIRECT("'シフト一覧（転載）'!"&amp;BS12&amp;":AK100"))&gt;0)
            *(INDIRECT("'シフト一覧（転載）'!"&amp;BS12&amp;":AK100")&lt;&gt;"休み"),
            1,0),0)+1,4),0),"")</f>
        <v>0</v>
      </c>
      <c r="BV12" s="20">
        <f t="array" aca="1" ref="BV12" ca="1">IFERROR(IF(BU12&lt;&gt;"",IF(BU12&lt;&gt;0,INDEX(
INDIRECT("'シフト一覧（転載）'!"&amp;BU12&amp;":AK100"),1,
MATCH(1,INDEX((LEN(INDIRECT("'シフト一覧（転載）'!"&amp;BU12&amp;":AK100"))&gt;0)
*(INDIRECT("'シフト一覧（転載）'!"&amp;BU12&amp;":AK100")&lt;&gt;"休み"),1,0),0)),0),""),$F$9&amp;"保育無し")</f>
        <v>0</v>
      </c>
      <c r="BW12" s="20">
        <f t="array" aca="1" ref="BW12" ca="1">IFERROR(IF(BU12&lt;&gt;0,ADDRESS(ROW(INDIRECT(BU12)),
    COLUMN(INDIRECT(BU12)) - 1 +
    MATCH(1,INDEX((LEN(INDIRECT("'シフト一覧（転載）'!"&amp;BU12&amp;":AK100"))&gt;0)
            *(INDIRECT("'シフト一覧（転載）'!"&amp;BU12&amp;":AK100")&lt;&gt;"休み"),
            1,0),0)+1,4),0),"")</f>
        <v>0</v>
      </c>
      <c r="BX12" s="20">
        <f t="array" aca="1" ref="BX12" ca="1">IFERROR(IF(BW12&lt;&gt;"",IF(BW12&lt;&gt;0,INDEX(
INDIRECT("'シフト一覧（転載）'!"&amp;BW12&amp;":AK100"),1,
MATCH(1,INDEX((LEN(INDIRECT("'シフト一覧（転載）'!"&amp;BW12&amp;":AK100"))&gt;0)
*(INDIRECT("'シフト一覧（転載）'!"&amp;BW12&amp;":AK100")&lt;&gt;"休み"),1,0),0)),0),""),$F$9&amp;"保育無し")</f>
        <v>0</v>
      </c>
      <c r="BY12" s="20">
        <f t="array" aca="1" ref="BY12" ca="1">IFERROR(IF(BW12&lt;&gt;0,ADDRESS(ROW(INDIRECT(BW12)),
    COLUMN(INDIRECT(BW12)) - 1 +
    MATCH(1,INDEX((LEN(INDIRECT("'シフト一覧（転載）'!"&amp;BW12&amp;":AK100"))&gt;0)
            *(INDIRECT("'シフト一覧（転載）'!"&amp;BW12&amp;":AK100")&lt;&gt;"休み"),
            1,0),0)+1,4),0),"")</f>
        <v>0</v>
      </c>
    </row>
    <row r="13" spans="1:77" ht="19.8" customHeight="1" x14ac:dyDescent="0.2">
      <c r="A13" s="43">
        <f>IF(A12&lt;&gt;0,IF($B$9&gt;A12,A12+1,0),0)</f>
        <v>2</v>
      </c>
      <c r="B13" s="48" t="str" cm="1">
        <f t="array" aca="1" ref="B13" ca="1">IFERROR(_xlfn.TEXTJOIN("", TRUE, IF(ISERR(MID(INDIRECT("'Page_" &amp; A13 &amp; "'!C2"), ROW(INDIRECT("1:" &amp; LEN(INDIRECT("'Page_" &amp; A13 &amp; "'!C2")))), 1)*1), MID(INDIRECT("'Page_" &amp; A13 &amp; "'!C2"), ROW(INDIRECT("1:" &amp; LEN(INDIRECT("'Page_" &amp; A13 &amp; "'!C2")))), 1), "")),"")</f>
        <v>菊地</v>
      </c>
      <c r="C13" s="49" t="str" cm="1">
        <f t="array" aca="1" ref="C13" ca="1">IFERROR(IF(INDIRECT("'Page_" &amp; A13 &amp; "'!E2")&lt;&gt;"",INDIRECT("'Page_" &amp; A13 &amp; "'!E2"),INDIRECT("'Page_" &amp; A13 &amp; "'!D2")),"")</f>
        <v>康子</v>
      </c>
      <c r="D13" s="58" t="str" cm="1">
        <f t="array" aca="1" ref="D13" ca="1">IFERROR(IF(INDIRECT("'Page_" &amp; A13 &amp; "'!Q3")&lt;&gt;"",INDIRECT("'Page_" &amp; A13 &amp; "'!Q3"),INDIRECT("'Page_" &amp; A13 &amp; "'!P3")),"")</f>
        <v>パート(社保 40H以内)・調理員</v>
      </c>
      <c r="E13" s="39">
        <f t="shared" ref="E13:E41" ca="1" si="2">IF(COUNTIF(D13,"*調理*"),1,
IF(COUNTIF(D13,"*看護*"),1,
IF(COUNTIF(D13,"*事務*"),1,0)))</f>
        <v>1</v>
      </c>
      <c r="F13" s="28">
        <f t="shared" ref="F13:F41" ca="1" si="3">IFERROR(CONVERT(INDIRECT("'Page_" &amp; A13 &amp; "'!M"&amp;MATCH("総労働",INDIRECT("'Page_" &amp; A13 &amp; "'!M:M"),0)+2&amp;""), "day", "hr"),"")</f>
        <v>157</v>
      </c>
      <c r="G13" s="25">
        <f t="shared" ca="1" si="0"/>
        <v>157</v>
      </c>
      <c r="H13" s="63" t="str" cm="1">
        <f t="array" aca="1" ref="H13" ca="1">IF(B13&lt;&gt;"",IFERROR(INDEX('シフト一覧（転載）'!$C$8:$C$100,
MATCH(1, (ISNUMBER(SEARCH(B13,'シフト一覧（転載）'!$A$8:$A$100)))
*(ISNUMBER(SEARCH($F$9,'シフト一覧（転載）'!$B$8:$B$100))), 0)),""),"")</f>
        <v/>
      </c>
      <c r="I13" s="54">
        <f t="shared" ca="1" si="1"/>
        <v>0</v>
      </c>
      <c r="J13" s="25" cm="1">
        <f t="array" aca="1" ref="J13" ca="1">IF(B13&lt;&gt;"",IFERROR(SUM(INDIRECT("'Page_" &amp; A13 &amp; "'!K"&amp;MATCH("有休",INDIRECT("'Page_" &amp; A13 &amp; "'!K:K"),0)+2&amp;"")
+INDIRECT("'Page_" &amp; A13 &amp; "'!L"&amp;MATCH("特休",INDIRECT("'Page_" &amp; A13 &amp; "'!L:L"),0)+2&amp;""))*24,0),"")</f>
        <v>0</v>
      </c>
      <c r="K13" s="59"/>
      <c r="M13" s="104"/>
      <c r="N13" s="102"/>
      <c r="O13" s="107"/>
      <c r="P13" s="21" cm="1">
        <f t="array" aca="1" ref="P13" ca="1">IFERROR(IF(M12&lt;&gt;"",INDEX('シフト一覧（転載）'!$F$8:$AK$100,
    MATCH(1,(ISNUMBER(SEARCH(M12,'シフト一覧（転載）'!$A$8:$A$100)))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MATCH(1,(ISNUMBER(SEARCH(M12,'シフト一覧（転載）'!$A$8:$A$100)))
                *(ISNUMBER(SEARCH($F$9,'シフト一覧（転載）'!$B$8:$B$100))),
                0),0),0)),0),"")</f>
        <v>0</v>
      </c>
      <c r="Q13" s="21">
        <f ca="1">IF(P12=0,0,
IF(OR(P12="",COUNTIF(P12,"*保育無し*")),"",
IF(MOD(P13-P12,1)*24&gt;=8,1,
IF(MOD(P13-P12,1)*24&gt;=6,0.75,0))))</f>
        <v>0</v>
      </c>
      <c r="R13" s="21">
        <f t="array" aca="1" ref="R13" ca="1">IFERROR(IF(Q12&lt;&gt;0,INDEX(
INDIRECT("'シフト一覧（転載）'!"&amp;Q12&amp;":AK100"),1+1,
MATCH(1,INDEX((LEN(INDIRECT("'シフト一覧（転載）'!"&amp;Q12&amp;":AK100"))&gt;0)
*(INDIRECT("'シフト一覧（転載）'!"&amp;Q12&amp;":AK100")&lt;&gt;"休み"),1,0),0)),0),"")</f>
        <v>0</v>
      </c>
      <c r="S13" s="21">
        <f ca="1">IF(R12=0,0,
IF(OR(R12="",COUNTIF(R12,"*保育無し*")),"",
IF(MOD(R13-R12,1)*24&gt;=8,1,
IF(MOD(R13-R12,1)*24&gt;=6,0.75,0))))</f>
        <v>0</v>
      </c>
      <c r="T13" s="21">
        <f t="array" aca="1" ref="T13" ca="1">IFERROR(IF(S12&lt;&gt;0,INDEX(
INDIRECT("'シフト一覧（転載）'!"&amp;S12&amp;":AK100"),1+1,
MATCH(1,INDEX((LEN(INDIRECT("'シフト一覧（転載）'!"&amp;S12&amp;":AK100"))&gt;0)
*(INDIRECT("'シフト一覧（転載）'!"&amp;S12&amp;":AK100")&lt;&gt;"休み"),1,0),0)),0),"")</f>
        <v>0</v>
      </c>
      <c r="U13" s="21">
        <f ca="1">IF(T12=0,0,
IF(OR(T12="",COUNTIF(T12,"*保育無し*")),"",
IF(MOD(T13-T12,1)*24&gt;=8,1,
IF(MOD(T13-T12,1)*24&gt;=6,0.75,0))))</f>
        <v>0</v>
      </c>
      <c r="V13" s="21">
        <f t="array" aca="1" ref="V13" ca="1">IFERROR(IF(U12&lt;&gt;0,INDEX(
INDIRECT("'シフト一覧（転載）'!"&amp;U12&amp;":AK100"),1+1,
MATCH(1,INDEX((LEN(INDIRECT("'シフト一覧（転載）'!"&amp;U12&amp;":AK100"))&gt;0)
*(INDIRECT("'シフト一覧（転載）'!"&amp;U12&amp;":AK100")&lt;&gt;"休み"),1,0),0)),0),"")</f>
        <v>0</v>
      </c>
      <c r="W13" s="21">
        <f ca="1">IF(V12=0,0,
IF(OR(V12="",COUNTIF(V12,"*保育無し*")),"",
IF(MOD(V13-V12,1)*24&gt;=8,1,
IF(MOD(V13-V12,1)*24&gt;=6,0.75,0))))</f>
        <v>0</v>
      </c>
      <c r="X13" s="21">
        <f t="array" aca="1" ref="X13" ca="1">IFERROR(IF(W12&lt;&gt;0,INDEX(
INDIRECT("'シフト一覧（転載）'!"&amp;W12&amp;":AK100"),1+1,
MATCH(1,INDEX((LEN(INDIRECT("'シフト一覧（転載）'!"&amp;W12&amp;":AK100"))&gt;0)
*(INDIRECT("'シフト一覧（転載）'!"&amp;W12&amp;":AK100")&lt;&gt;"休み"),1,0),0)),0),"")</f>
        <v>0</v>
      </c>
      <c r="Y13" s="21">
        <f ca="1">IF(X12=0,0,
IF(OR(X12="",COUNTIF(X12,"*保育無し*")),"",
IF(MOD(X13-X12,1)*24&gt;=8,1,
IF(MOD(X13-X12,1)*24&gt;=6,0.75,0))))</f>
        <v>0</v>
      </c>
      <c r="Z13" s="21">
        <f t="array" aca="1" ref="Z13" ca="1">IFERROR(IF(Y12&lt;&gt;0,INDEX(
INDIRECT("'シフト一覧（転載）'!"&amp;Y12&amp;":AK100"),1+1,
MATCH(1,INDEX((LEN(INDIRECT("'シフト一覧（転載）'!"&amp;Y12&amp;":AK100"))&gt;0)
*(INDIRECT("'シフト一覧（転載）'!"&amp;Y12&amp;":AK100")&lt;&gt;"休み"),1,0),0)),0),"")</f>
        <v>0</v>
      </c>
      <c r="AA13" s="21">
        <f ca="1">IF(Z12=0,0,
IF(OR(Z12="",COUNTIF(Z12,"*保育無し*")),"",
IF(MOD(Z13-Z12,1)*24&gt;=8,1,
IF(MOD(Z13-Z12,1)*24&gt;=6,0.75,0))))</f>
        <v>0</v>
      </c>
      <c r="AB13" s="21">
        <f t="array" aca="1" ref="AB13" ca="1">IFERROR(IF(AA12&lt;&gt;0,INDEX(
INDIRECT("'シフト一覧（転載）'!"&amp;AA12&amp;":AK100"),1+1,
MATCH(1,INDEX((LEN(INDIRECT("'シフト一覧（転載）'!"&amp;AA12&amp;":AK100"))&gt;0)
*(INDIRECT("'シフト一覧（転載）'!"&amp;AA12&amp;":AK100")&lt;&gt;"休み"),1,0),0)),0),"")</f>
        <v>0</v>
      </c>
      <c r="AC13" s="21">
        <f ca="1">IF(AB12=0,0,
IF(OR(AB12="",COUNTIF(AB12,"*保育無し*")),"",
IF(MOD(AB13-AB12,1)*24&gt;=8,1,
IF(MOD(AB13-AB12,1)*24&gt;=6,0.75,0))))</f>
        <v>0</v>
      </c>
      <c r="AD13" s="21">
        <f t="array" aca="1" ref="AD13" ca="1">IFERROR(IF(AC12&lt;&gt;0,INDEX(
INDIRECT("'シフト一覧（転載）'!"&amp;AC12&amp;":AK100"),1+1,
MATCH(1,INDEX((LEN(INDIRECT("'シフト一覧（転載）'!"&amp;AC12&amp;":AK100"))&gt;0)
*(INDIRECT("'シフト一覧（転載）'!"&amp;AC12&amp;":AK100")&lt;&gt;"休み"),1,0),0)),0),"")</f>
        <v>0</v>
      </c>
      <c r="AE13" s="21">
        <f ca="1">IF(AD12=0,0,
IF(OR(AD12="",COUNTIF(AD12,"*保育無し*")),"",
IF(MOD(AD13-AD12,1)*24&gt;=8,1,
IF(MOD(AD13-AD12,1)*24&gt;=6,0.75,0))))</f>
        <v>0</v>
      </c>
      <c r="AF13" s="21">
        <f t="array" aca="1" ref="AF13" ca="1">IFERROR(IF(AE12&lt;&gt;0,INDEX(
INDIRECT("'シフト一覧（転載）'!"&amp;AE12&amp;":AK100"),1+1,
MATCH(1,INDEX((LEN(INDIRECT("'シフト一覧（転載）'!"&amp;AE12&amp;":AK100"))&gt;0)
*(INDIRECT("'シフト一覧（転載）'!"&amp;AE12&amp;":AK100")&lt;&gt;"休み"),1,0),0)),0),"")</f>
        <v>0</v>
      </c>
      <c r="AG13" s="21">
        <f ca="1">IF(AF12=0,0,
IF(OR(AF12="",COUNTIF(AF12,"*保育無し*")),"",
IF(MOD(AF13-AF12,1)*24&gt;=8,1,
IF(MOD(AF13-AF12,1)*24&gt;=6,0.75,0))))</f>
        <v>0</v>
      </c>
      <c r="AH13" s="21">
        <f t="array" aca="1" ref="AH13" ca="1">IFERROR(IF(AG12&lt;&gt;0,INDEX(
INDIRECT("'シフト一覧（転載）'!"&amp;AG12&amp;":AK100"),1+1,
MATCH(1,INDEX((LEN(INDIRECT("'シフト一覧（転載）'!"&amp;AG12&amp;":AK100"))&gt;0)
*(INDIRECT("'シフト一覧（転載）'!"&amp;AG12&amp;":AK100")&lt;&gt;"休み"),1,0),0)),0),"")</f>
        <v>0</v>
      </c>
      <c r="AI13" s="21">
        <f ca="1">IF(AH12=0,0,
IF(OR(AH12="",COUNTIF(AH12,"*保育無し*")),"",
IF(MOD(AH13-AH12,1)*24&gt;=8,1,
IF(MOD(AH13-AH12,1)*24&gt;=6,0.75,0))))</f>
        <v>0</v>
      </c>
      <c r="AJ13" s="21">
        <f t="array" aca="1" ref="AJ13" ca="1">IFERROR(IF(AI12&lt;&gt;0,INDEX(
INDIRECT("'シフト一覧（転載）'!"&amp;AI12&amp;":AK100"),1+1,
MATCH(1,INDEX((LEN(INDIRECT("'シフト一覧（転載）'!"&amp;AI12&amp;":AK100"))&gt;0)
*(INDIRECT("'シフト一覧（転載）'!"&amp;AI12&amp;":AK100")&lt;&gt;"休み"),1,0),0)),0),"")</f>
        <v>0</v>
      </c>
      <c r="AK13" s="21">
        <f ca="1">IF(AJ12=0,0,
IF(OR(AJ12="",COUNTIF(AJ12,"*保育無し*")),"",
IF(MOD(AJ13-AJ12,1)*24&gt;=8,1,
IF(MOD(AJ13-AJ12,1)*24&gt;=6,0.75,0))))</f>
        <v>0</v>
      </c>
      <c r="AL13" s="21">
        <f t="array" aca="1" ref="AL13" ca="1">IFERROR(IF(AK12&lt;&gt;0,INDEX(
INDIRECT("'シフト一覧（転載）'!"&amp;AK12&amp;":AK100"),1+1,
MATCH(1,INDEX((LEN(INDIRECT("'シフト一覧（転載）'!"&amp;AK12&amp;":AK100"))&gt;0)
*(INDIRECT("'シフト一覧（転載）'!"&amp;AK12&amp;":AK100")&lt;&gt;"休み"),1,0),0)),0),"")</f>
        <v>0</v>
      </c>
      <c r="AM13" s="21">
        <f ca="1">IF(AL12=0,0,
IF(OR(AL12="",COUNTIF(AL12,"*保育無し*")),"",
IF(MOD(AL13-AL12,1)*24&gt;=8,1,
IF(MOD(AL13-AL12,1)*24&gt;=6,0.75,0))))</f>
        <v>0</v>
      </c>
      <c r="AN13" s="21">
        <f t="array" aca="1" ref="AN13" ca="1">IFERROR(IF(AM12&lt;&gt;0,INDEX(
INDIRECT("'シフト一覧（転載）'!"&amp;AM12&amp;":AK100"),1+1,
MATCH(1,INDEX((LEN(INDIRECT("'シフト一覧（転載）'!"&amp;AM12&amp;":AK100"))&gt;0)
*(INDIRECT("'シフト一覧（転載）'!"&amp;AM12&amp;":AK100")&lt;&gt;"休み"),1,0),0)),0),"")</f>
        <v>0</v>
      </c>
      <c r="AO13" s="21">
        <f ca="1">IF(AN12=0,0,
IF(OR(AN12="",COUNTIF(AN12,"*保育無し*")),"",
IF(MOD(AN13-AN12,1)*24&gt;=8,1,
IF(MOD(AN13-AN12,1)*24&gt;=6,0.75,0))))</f>
        <v>0</v>
      </c>
      <c r="AP13" s="21">
        <f t="array" aca="1" ref="AP13" ca="1">IFERROR(IF(AO12&lt;&gt;0,INDEX(
INDIRECT("'シフト一覧（転載）'!"&amp;AO12&amp;":AK100"),1+1,
MATCH(1,INDEX((LEN(INDIRECT("'シフト一覧（転載）'!"&amp;AO12&amp;":AK100"))&gt;0)
*(INDIRECT("'シフト一覧（転載）'!"&amp;AO12&amp;":AK100")&lt;&gt;"休み"),1,0),0)),0),"")</f>
        <v>0</v>
      </c>
      <c r="AQ13" s="21">
        <f ca="1">IF(AP12=0,0,
IF(OR(AP12="",COUNTIF(AP12,"*保育無し*")),"",
IF(MOD(AP13-AP12,1)*24&gt;=8,1,
IF(MOD(AP13-AP12,1)*24&gt;=6,0.75,0))))</f>
        <v>0</v>
      </c>
      <c r="AR13" s="21">
        <f t="array" aca="1" ref="AR13" ca="1">IFERROR(IF(AQ12&lt;&gt;0,INDEX(
INDIRECT("'シフト一覧（転載）'!"&amp;AQ12&amp;":AK100"),1+1,
MATCH(1,INDEX((LEN(INDIRECT("'シフト一覧（転載）'!"&amp;AQ12&amp;":AK100"))&gt;0)
*(INDIRECT("'シフト一覧（転載）'!"&amp;AQ12&amp;":AK100")&lt;&gt;"休み"),1,0),0)),0),"")</f>
        <v>0</v>
      </c>
      <c r="AS13" s="21">
        <f ca="1">IF(AR12=0,0,
IF(OR(AR12="",COUNTIF(AR12,"*保育無し*")),"",
IF(MOD(AR13-AR12,1)*24&gt;=8,1,
IF(MOD(AR13-AR12,1)*24&gt;=6,0.75,0))))</f>
        <v>0</v>
      </c>
      <c r="AT13" s="21">
        <f t="array" aca="1" ref="AT13" ca="1">IFERROR(IF(AS12&lt;&gt;0,INDEX(
INDIRECT("'シフト一覧（転載）'!"&amp;AS12&amp;":AK100"),1+1,
MATCH(1,INDEX((LEN(INDIRECT("'シフト一覧（転載）'!"&amp;AS12&amp;":AK100"))&gt;0)
*(INDIRECT("'シフト一覧（転載）'!"&amp;AS12&amp;":AK100")&lt;&gt;"休み"),1,0),0)),0),"")</f>
        <v>0</v>
      </c>
      <c r="AU13" s="21">
        <f ca="1">IF(AT12=0,0,
IF(OR(AT12="",COUNTIF(AT12,"*保育無し*")),"",
IF(MOD(AT13-AT12,1)*24&gt;=8,1,
IF(MOD(AT13-AT12,1)*24&gt;=6,0.75,0))))</f>
        <v>0</v>
      </c>
      <c r="AV13" s="21">
        <f t="array" aca="1" ref="AV13" ca="1">IFERROR(IF(AU12&lt;&gt;0,INDEX(
INDIRECT("'シフト一覧（転載）'!"&amp;AU12&amp;":AK100"),1+1,
MATCH(1,INDEX((LEN(INDIRECT("'シフト一覧（転載）'!"&amp;AU12&amp;":AK100"))&gt;0)
*(INDIRECT("'シフト一覧（転載）'!"&amp;AU12&amp;":AK100")&lt;&gt;"休み"),1,0),0)),0),"")</f>
        <v>0</v>
      </c>
      <c r="AW13" s="21">
        <f ca="1">IF(AV12=0,0,
IF(OR(AV12="",COUNTIF(AV12,"*保育無し*")),"",
IF(MOD(AV13-AV12,1)*24&gt;=8,1,
IF(MOD(AV13-AV12,1)*24&gt;=6,0.75,0))))</f>
        <v>0</v>
      </c>
      <c r="AX13" s="21">
        <f t="array" aca="1" ref="AX13" ca="1">IFERROR(IF(AW12&lt;&gt;0,INDEX(
INDIRECT("'シフト一覧（転載）'!"&amp;AW12&amp;":AK100"),1+1,
MATCH(1,INDEX((LEN(INDIRECT("'シフト一覧（転載）'!"&amp;AW12&amp;":AK100"))&gt;0)
*(INDIRECT("'シフト一覧（転載）'!"&amp;AW12&amp;":AK100")&lt;&gt;"休み"),1,0),0)),0),"")</f>
        <v>0</v>
      </c>
      <c r="AY13" s="21">
        <f ca="1">IF(AX12=0,0,
IF(OR(AX12="",COUNTIF(AX12,"*保育無し*")),"",
IF(MOD(AX13-AX12,1)*24&gt;=8,1,
IF(MOD(AX13-AX12,1)*24&gt;=6,0.75,0))))</f>
        <v>0</v>
      </c>
      <c r="AZ13" s="21">
        <f t="array" aca="1" ref="AZ13" ca="1">IFERROR(IF(AY12&lt;&gt;0,INDEX(
INDIRECT("'シフト一覧（転載）'!"&amp;AY12&amp;":AK100"),1+1,
MATCH(1,INDEX((LEN(INDIRECT("'シフト一覧（転載）'!"&amp;AY12&amp;":AK100"))&gt;0)
*(INDIRECT("'シフト一覧（転載）'!"&amp;AY12&amp;":AK100")&lt;&gt;"休み"),1,0),0)),0),"")</f>
        <v>0</v>
      </c>
      <c r="BA13" s="21">
        <f ca="1">IF(AZ12=0,0,
IF(OR(AZ12="",COUNTIF(AZ12,"*保育無し*")),"",
IF(MOD(AZ13-AZ12,1)*24&gt;=8,1,
IF(MOD(AZ13-AZ12,1)*24&gt;=6,0.75,0))))</f>
        <v>0</v>
      </c>
      <c r="BB13" s="21">
        <f t="array" aca="1" ref="BB13" ca="1">IFERROR(IF(BA12&lt;&gt;0,INDEX(
INDIRECT("'シフト一覧（転載）'!"&amp;BA12&amp;":AK100"),1+1,
MATCH(1,INDEX((LEN(INDIRECT("'シフト一覧（転載）'!"&amp;BA12&amp;":AK100"))&gt;0)
*(INDIRECT("'シフト一覧（転載）'!"&amp;BA12&amp;":AK100")&lt;&gt;"休み"),1,0),0)),0),"")</f>
        <v>0</v>
      </c>
      <c r="BC13" s="21">
        <f ca="1">IF(BB12=0,0,
IF(OR(BB12="",COUNTIF(BB12,"*保育無し*")),"",
IF(MOD(BB13-BB12,1)*24&gt;=8,1,
IF(MOD(BB13-BB12,1)*24&gt;=6,0.75,0))))</f>
        <v>0</v>
      </c>
      <c r="BD13" s="21">
        <f t="array" aca="1" ref="BD13" ca="1">IFERROR(IF(BC12&lt;&gt;0,INDEX(
INDIRECT("'シフト一覧（転載）'!"&amp;BC12&amp;":AK100"),1+1,
MATCH(1,INDEX((LEN(INDIRECT("'シフト一覧（転載）'!"&amp;BC12&amp;":AK100"))&gt;0)
*(INDIRECT("'シフト一覧（転載）'!"&amp;BC12&amp;":AK100")&lt;&gt;"休み"),1,0),0)),0),"")</f>
        <v>0</v>
      </c>
      <c r="BE13" s="21">
        <f ca="1">IF(BD12=0,0,
IF(OR(BD12="",COUNTIF(BD12,"*保育無し*")),"",
IF(MOD(BD13-BD12,1)*24&gt;=8,1,
IF(MOD(BD13-BD12,1)*24&gt;=6,0.75,0))))</f>
        <v>0</v>
      </c>
      <c r="BF13" s="21">
        <f t="array" aca="1" ref="BF13" ca="1">IFERROR(IF(BE12&lt;&gt;0,INDEX(
INDIRECT("'シフト一覧（転載）'!"&amp;BE12&amp;":AK100"),1+1,
MATCH(1,INDEX((LEN(INDIRECT("'シフト一覧（転載）'!"&amp;BE12&amp;":AK100"))&gt;0)
*(INDIRECT("'シフト一覧（転載）'!"&amp;BE12&amp;":AK100")&lt;&gt;"休み"),1,0),0)),0),"")</f>
        <v>0</v>
      </c>
      <c r="BG13" s="21">
        <f ca="1">IF(BF12=0,0,
IF(OR(BF12="",COUNTIF(BF12,"*保育無し*")),"",
IF(MOD(BF13-BF12,1)*24&gt;=8,1,
IF(MOD(BF13-BF12,1)*24&gt;=6,0.75,0))))</f>
        <v>0</v>
      </c>
      <c r="BH13" s="21">
        <f t="array" aca="1" ref="BH13" ca="1">IFERROR(IF(BG12&lt;&gt;0,INDEX(
INDIRECT("'シフト一覧（転載）'!"&amp;BG12&amp;":AK100"),1+1,
MATCH(1,INDEX((LEN(INDIRECT("'シフト一覧（転載）'!"&amp;BG12&amp;":AK100"))&gt;0)
*(INDIRECT("'シフト一覧（転載）'!"&amp;BG12&amp;":AK100")&lt;&gt;"休み"),1,0),0)),0),"")</f>
        <v>0</v>
      </c>
      <c r="BI13" s="21">
        <f ca="1">IF(BH12=0,0,
IF(OR(BH12="",COUNTIF(BH12,"*保育無し*")),"",
IF(MOD(BH13-BH12,1)*24&gt;=8,1,
IF(MOD(BH13-BH12,1)*24&gt;=6,0.75,0))))</f>
        <v>0</v>
      </c>
      <c r="BJ13" s="21">
        <f t="array" aca="1" ref="BJ13" ca="1">IFERROR(IF(BI12&lt;&gt;0,INDEX(
INDIRECT("'シフト一覧（転載）'!"&amp;BI12&amp;":AK100"),1+1,
MATCH(1,INDEX((LEN(INDIRECT("'シフト一覧（転載）'!"&amp;BI12&amp;":AK100"))&gt;0)
*(INDIRECT("'シフト一覧（転載）'!"&amp;BI12&amp;":AK100")&lt;&gt;"休み"),1,0),0)),0),"")</f>
        <v>0</v>
      </c>
      <c r="BK13" s="21">
        <f ca="1">IF(BJ12=0,0,
IF(OR(BJ12="",COUNTIF(BJ12,"*保育無し*")),"",
IF(MOD(BJ13-BJ12,1)*24&gt;=8,1,
IF(MOD(BJ13-BJ12,1)*24&gt;=6,0.75,0))))</f>
        <v>0</v>
      </c>
      <c r="BL13" s="21">
        <f t="array" aca="1" ref="BL13" ca="1">IFERROR(IF(BK12&lt;&gt;0,INDEX(
INDIRECT("'シフト一覧（転載）'!"&amp;BK12&amp;":AK100"),1+1,
MATCH(1,INDEX((LEN(INDIRECT("'シフト一覧（転載）'!"&amp;BK12&amp;":AK100"))&gt;0)
*(INDIRECT("'シフト一覧（転載）'!"&amp;BK12&amp;":AK100")&lt;&gt;"休み"),1,0),0)),0),"")</f>
        <v>0</v>
      </c>
      <c r="BM13" s="21">
        <f ca="1">IF(BL12=0,0,
IF(OR(BL12="",COUNTIF(BL12,"*保育無し*")),"",
IF(MOD(BL13-BL12,1)*24&gt;=8,1,
IF(MOD(BL13-BL12,1)*24&gt;=6,0.75,0))))</f>
        <v>0</v>
      </c>
      <c r="BN13" s="21">
        <f t="array" aca="1" ref="BN13" ca="1">IFERROR(IF(BM12&lt;&gt;0,INDEX(
INDIRECT("'シフト一覧（転載）'!"&amp;BM12&amp;":AK100"),1+1,
MATCH(1,INDEX((LEN(INDIRECT("'シフト一覧（転載）'!"&amp;BM12&amp;":AK100"))&gt;0)
*(INDIRECT("'シフト一覧（転載）'!"&amp;BM12&amp;":AK100")&lt;&gt;"休み"),1,0),0)),0),"")</f>
        <v>0</v>
      </c>
      <c r="BO13" s="21">
        <f ca="1">IF(BN12=0,0,
IF(OR(BN12="",COUNTIF(BN12,"*保育無し*")),"",
IF(MOD(BN13-BN12,1)*24&gt;=8,1,
IF(MOD(BN13-BN12,1)*24&gt;=6,0.75,0))))</f>
        <v>0</v>
      </c>
      <c r="BP13" s="21">
        <f t="array" aca="1" ref="BP13" ca="1">IFERROR(IF(BO12&lt;&gt;0,INDEX(
INDIRECT("'シフト一覧（転載）'!"&amp;BO12&amp;":AK100"),1+1,
MATCH(1,INDEX((LEN(INDIRECT("'シフト一覧（転載）'!"&amp;BO12&amp;":AK100"))&gt;0)
*(INDIRECT("'シフト一覧（転載）'!"&amp;BO12&amp;":AK100")&lt;&gt;"休み"),1,0),0)),0),"")</f>
        <v>0</v>
      </c>
      <c r="BQ13" s="21">
        <f ca="1">IF(BP12=0,0,
IF(OR(BP12="",COUNTIF(BP12,"*保育無し*")),"",
IF(MOD(BP13-BP12,1)*24&gt;=8,1,
IF(MOD(BP13-BP12,1)*24&gt;=6,0.75,0))))</f>
        <v>0</v>
      </c>
      <c r="BR13" s="21">
        <f t="array" aca="1" ref="BR13" ca="1">IFERROR(IF(BQ12&lt;&gt;0,INDEX(
INDIRECT("'シフト一覧（転載）'!"&amp;BQ12&amp;":AK100"),1+1,
MATCH(1,INDEX((LEN(INDIRECT("'シフト一覧（転載）'!"&amp;BQ12&amp;":AK100"))&gt;0)
*(INDIRECT("'シフト一覧（転載）'!"&amp;BQ12&amp;":AK100")&lt;&gt;"休み"),1,0),0)),0),"")</f>
        <v>0</v>
      </c>
      <c r="BS13" s="21">
        <f ca="1">IF(BR12=0,0,
IF(OR(BR12="",COUNTIF(BR12,"*保育無し*")),"",
IF(MOD(BR13-BR12,1)*24&gt;=8,1,
IF(MOD(BR13-BR12,1)*24&gt;=6,0.75,0))))</f>
        <v>0</v>
      </c>
      <c r="BT13" s="21">
        <f t="array" aca="1" ref="BT13" ca="1">IFERROR(IF(BS12&lt;&gt;0,INDEX(
INDIRECT("'シフト一覧（転載）'!"&amp;BS12&amp;":AK100"),1+1,
MATCH(1,INDEX((LEN(INDIRECT("'シフト一覧（転載）'!"&amp;BS12&amp;":AK100"))&gt;0)
*(INDIRECT("'シフト一覧（転載）'!"&amp;BS12&amp;":AK100")&lt;&gt;"休み"),1,0),0)),0),"")</f>
        <v>0</v>
      </c>
      <c r="BU13" s="21">
        <f ca="1">IF(BT12=0,0,
IF(OR(BT12="",COUNTIF(BT12,"*保育無し*")),"",
IF(MOD(BT13-BT12,1)*24&gt;=8,1,
IF(MOD(BT13-BT12,1)*24&gt;=6,0.75,0))))</f>
        <v>0</v>
      </c>
      <c r="BV13" s="21">
        <f t="array" aca="1" ref="BV13" ca="1">IFERROR(IF(BU12&lt;&gt;0,INDEX(
INDIRECT("'シフト一覧（転載）'!"&amp;BU12&amp;":AK100"),1+1,
MATCH(1,INDEX((LEN(INDIRECT("'シフト一覧（転載）'!"&amp;BU12&amp;":AK100"))&gt;0)
*(INDIRECT("'シフト一覧（転載）'!"&amp;BU12&amp;":AK100")&lt;&gt;"休み"),1,0),0)),0),"")</f>
        <v>0</v>
      </c>
      <c r="BW13" s="21">
        <f ca="1">IF(BV12=0,0,
IF(OR(BV12="",COUNTIF(BV12,"*保育無し*")),"",
IF(MOD(BV13-BV12,1)*24&gt;=8,1,
IF(MOD(BV13-BV12,1)*24&gt;=6,0.75,0))))</f>
        <v>0</v>
      </c>
      <c r="BX13" s="21">
        <f t="array" aca="1" ref="BX13" ca="1">IFERROR(IF(BW12&lt;&gt;0,INDEX(
INDIRECT("'シフト一覧（転載）'!"&amp;BW12&amp;":AK100"),1+1,
MATCH(1,INDEX((LEN(INDIRECT("'シフト一覧（転載）'!"&amp;BW12&amp;":AK100"))&gt;0)
*(INDIRECT("'シフト一覧（転載）'!"&amp;BW12&amp;":AK100")&lt;&gt;"休み"),1,0),0)),0),"")</f>
        <v>0</v>
      </c>
      <c r="BY13" s="21">
        <f ca="1">IF(BX12=0,0,
IF(OR(BX12="",COUNTIF(BX12,"*保育無し*")),"",
IF(MOD(BX13-BX12,1)*24&gt;=8,1,
IF(MOD(BX13-BX12,1)*24&gt;=6,0.75,0))))</f>
        <v>0</v>
      </c>
    </row>
    <row r="14" spans="1:77" ht="19.8" customHeight="1" x14ac:dyDescent="0.2">
      <c r="A14" s="43">
        <f>IF(A13&lt;&gt;0,IF($B$9&gt;A13,A13+1,0),0)</f>
        <v>3</v>
      </c>
      <c r="B14" s="48" t="str" cm="1">
        <f t="array" aca="1" ref="B14" ca="1">IFERROR(_xlfn.TEXTJOIN("", TRUE, IF(ISERR(MID(INDIRECT("'Page_" &amp; A14 &amp; "'!C2"), ROW(INDIRECT("1:" &amp; LEN(INDIRECT("'Page_" &amp; A14 &amp; "'!C2")))), 1)*1), MID(INDIRECT("'Page_" &amp; A14 &amp; "'!C2"), ROW(INDIRECT("1:" &amp; LEN(INDIRECT("'Page_" &amp; A14 &amp; "'!C2")))), 1), "")),"")</f>
        <v>手塚</v>
      </c>
      <c r="C14" s="49" t="str" cm="1">
        <f t="array" aca="1" ref="C14" ca="1">IFERROR(IF(INDIRECT("'Page_" &amp; A14 &amp; "'!E2")&lt;&gt;"",INDIRECT("'Page_" &amp; A14 &amp; "'!E2"),INDIRECT("'Page_" &amp; A14 &amp; "'!D2")),"")</f>
        <v>由起子</v>
      </c>
      <c r="D14" s="58" t="str" cm="1">
        <f t="array" aca="1" ref="D14" ca="1">IFERROR(IF(INDIRECT("'Page_" &amp; A14 &amp; "'!Q3")&lt;&gt;"",INDIRECT("'Page_" &amp; A14 &amp; "'!Q3"),INDIRECT("'Page_" &amp; A14 &amp; "'!P3")),"")</f>
        <v>パート(社保 40H以内)・調理員</v>
      </c>
      <c r="E14" s="39">
        <f t="shared" ca="1" si="2"/>
        <v>1</v>
      </c>
      <c r="F14" s="28">
        <f t="shared" ca="1" si="3"/>
        <v>169.25</v>
      </c>
      <c r="G14" s="25">
        <f t="shared" ca="1" si="0"/>
        <v>168</v>
      </c>
      <c r="H14" s="63" t="str" cm="1">
        <f t="array" aca="1" ref="H14" ca="1">IF(B14&lt;&gt;"",IFERROR(INDEX('シフト一覧（転載）'!$C$8:$C$100,
MATCH(1, (ISNUMBER(SEARCH(B14,'シフト一覧（転載）'!$A$8:$A$100)))
*(ISNUMBER(SEARCH($F$9,'シフト一覧（転載）'!$B$8:$B$100))), 0)),""),"")</f>
        <v/>
      </c>
      <c r="I14" s="54">
        <f t="shared" ca="1" si="1"/>
        <v>0</v>
      </c>
      <c r="J14" s="25" cm="1">
        <f t="array" aca="1" ref="J14" ca="1">IF(B14&lt;&gt;"",IFERROR(SUM(INDIRECT("'Page_" &amp; A14 &amp; "'!K"&amp;MATCH("有休",INDIRECT("'Page_" &amp; A14 &amp; "'!K:K"),0)+2&amp;"")
+INDIRECT("'Page_" &amp; A14 &amp; "'!L"&amp;MATCH("特休",INDIRECT("'Page_" &amp; A14 &amp; "'!L:L"),0)+2&amp;""))*24,0),"")</f>
        <v>0</v>
      </c>
      <c r="K14" s="59"/>
      <c r="M14" s="103" t="str" cm="1">
        <f t="array" aca="1" ref="M1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4" s="101" t="str">
        <f t="shared" ref="N14" ca="1" si="4">IF(M14&lt;&gt;"",VLOOKUP(M14,$B$12:$C$41,2,FALSE),"")</f>
        <v/>
      </c>
      <c r="O14" s="106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20">
        <f t="array" aca="1" ref="P14" ca="1">IFERROR(IF(M14&lt;&gt;"",INDEX('シフト一覧（転載）'!$F$8:$AK$100,
    MATCH(1,(ISNUMBER(SEARCH(M14,'シフト一覧（転載）'!$A$8:$A$100)))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MATCH(1,(ISNUMBER(SEARCH(M14,'シフト一覧（転載）'!$A$8:$A$100)))
                *(ISNUMBER(SEARCH($F$9,'シフト一覧（転載）'!$B$8:$B$100))),
                0),0),0)),0),$F$9&amp;"保育無し")</f>
        <v>0</v>
      </c>
      <c r="Q14" s="20">
        <f t="array" aca="1" ref="Q14" ca="1">IFERROR(IF(COUNTIF(P14,"*無*"),"",IF(M14&lt;&gt;"",ADDRESS(
    MATCH(1,(ISNUMBER(SEARCH(M14,'シフト一覧（転載）'!$A$8:$A$100)))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MATCH(1,(ISNUMBER(SEARCH(M14,'シフト一覧（転載）'!$A$8:$A$100)))
                *(ISNUMBER(SEARCH($F$9,'シフト一覧（転載）'!$B$8:$B$100))),0),0),0) + 6,4),0)),0)</f>
        <v>0</v>
      </c>
      <c r="R14" s="20" cm="1">
        <f t="array" aca="1" ref="R14" ca="1">IFERROR(IF(Q14&lt;&gt;"",IF(Q14&lt;&gt;0,INDEX(
INDIRECT("'シフト一覧（転載）'!"&amp;Q14&amp;":AK100"),1,
MATCH(1,INDEX((LEN(INDIRECT("'シフト一覧（転載）'!"&amp;Q14&amp;":AK100"))&gt;0)
*(INDIRECT("'シフト一覧（転載）'!"&amp;Q14&amp;":AK100")&lt;&gt;"休み"),1,0),0)),0),""),$F$9&amp;"保育無し")</f>
        <v>0</v>
      </c>
      <c r="S14" s="20">
        <f t="array" aca="1" ref="S14" ca="1">IFERROR(IF(Q14&lt;&gt;0,ADDRESS(ROW(INDIRECT(Q14)),
    COLUMN(INDIRECT(Q14)) - 1 +
    MATCH(1,INDEX((LEN(INDIRECT("'シフト一覧（転載）'!"&amp;Q14&amp;":AK100"))&gt;0)
            *(INDIRECT("'シフト一覧（転載）'!"&amp;Q14&amp;":AK100")&lt;&gt;"休み"),
            1,0),0)+1,4),0),"")</f>
        <v>0</v>
      </c>
      <c r="T14" s="20">
        <f t="array" aca="1" ref="T14" ca="1">IFERROR(IF(S14&lt;&gt;"",IF(S14&lt;&gt;0,INDEX(
INDIRECT("'シフト一覧（転載）'!"&amp;S14&amp;":AK100"),1,
MATCH(1,INDEX((LEN(INDIRECT("'シフト一覧（転載）'!"&amp;S14&amp;":AK100"))&gt;0)
*(INDIRECT("'シフト一覧（転載）'!"&amp;S14&amp;":AK100")&lt;&gt;"休み"),1,0),0)),0),""),$F$9&amp;"保育無し")</f>
        <v>0</v>
      </c>
      <c r="U14" s="20">
        <f t="array" aca="1" ref="U14" ca="1">IFERROR(IF(S14&lt;&gt;0,ADDRESS(ROW(INDIRECT(S14)),
    COLUMN(INDIRECT(S14)) - 1 +
    MATCH(1,INDEX((LEN(INDIRECT("'シフト一覧（転載）'!"&amp;S14&amp;":AK100"))&gt;0)
            *(INDIRECT("'シフト一覧（転載）'!"&amp;S14&amp;":AK100")&lt;&gt;"休み"),
            1,0),0)+1,4),0),"")</f>
        <v>0</v>
      </c>
      <c r="V14" s="20">
        <f t="array" aca="1" ref="V14" ca="1">IFERROR(IF(U14&lt;&gt;"",IF(U14&lt;&gt;0,INDEX(
INDIRECT("'シフト一覧（転載）'!"&amp;U14&amp;":AK100"),1,
MATCH(1,INDEX((LEN(INDIRECT("'シフト一覧（転載）'!"&amp;U14&amp;":AK100"))&gt;0)
*(INDIRECT("'シフト一覧（転載）'!"&amp;U14&amp;":AK100")&lt;&gt;"休み"),1,0),0)),0),""),$F$9&amp;"保育無し")</f>
        <v>0</v>
      </c>
      <c r="W14" s="20">
        <f t="array" aca="1" ref="W14" ca="1">IFERROR(IF(U14&lt;&gt;0,ADDRESS(ROW(INDIRECT(U14)),
    COLUMN(INDIRECT(U14)) - 1 +
    MATCH(1,INDEX((LEN(INDIRECT("'シフト一覧（転載）'!"&amp;U14&amp;":AK100"))&gt;0)
            *(INDIRECT("'シフト一覧（転載）'!"&amp;U14&amp;":AK100")&lt;&gt;"休み"),
            1,0),0)+1,4),0),"")</f>
        <v>0</v>
      </c>
      <c r="X14" s="20">
        <f t="array" aca="1" ref="X14" ca="1">IFERROR(IF(W14&lt;&gt;"",IF(W14&lt;&gt;0,INDEX(
INDIRECT("'シフト一覧（転載）'!"&amp;W14&amp;":AK100"),1,
MATCH(1,INDEX((LEN(INDIRECT("'シフト一覧（転載）'!"&amp;W14&amp;":AK100"))&gt;0)
*(INDIRECT("'シフト一覧（転載）'!"&amp;W14&amp;":AK100")&lt;&gt;"休み"),1,0),0)),0),""),$F$9&amp;"保育無し")</f>
        <v>0</v>
      </c>
      <c r="Y14" s="20">
        <f t="array" aca="1" ref="Y14" ca="1">IFERROR(IF(W14&lt;&gt;0,ADDRESS(ROW(INDIRECT(W14)),
    COLUMN(INDIRECT(W14)) - 1 +
    MATCH(1,INDEX((LEN(INDIRECT("'シフト一覧（転載）'!"&amp;W14&amp;":AK100"))&gt;0)
            *(INDIRECT("'シフト一覧（転載）'!"&amp;W14&amp;":AK100")&lt;&gt;"休み"),
            1,0),0)+1,4),0),"")</f>
        <v>0</v>
      </c>
      <c r="Z14" s="20">
        <f t="array" aca="1" ref="Z14" ca="1">IFERROR(IF(Y14&lt;&gt;"",IF(Y14&lt;&gt;0,INDEX(
INDIRECT("'シフト一覧（転載）'!"&amp;Y14&amp;":AK100"),1,
MATCH(1,INDEX((LEN(INDIRECT("'シフト一覧（転載）'!"&amp;Y14&amp;":AK100"))&gt;0)
*(INDIRECT("'シフト一覧（転載）'!"&amp;Y14&amp;":AK100")&lt;&gt;"休み"),1,0),0)),0),""),$F$9&amp;"保育無し")</f>
        <v>0</v>
      </c>
      <c r="AA14" s="20">
        <f t="array" aca="1" ref="AA14" ca="1">IFERROR(IF(Y14&lt;&gt;0,ADDRESS(ROW(INDIRECT(Y14)),
    COLUMN(INDIRECT(Y14)) - 1 +
    MATCH(1,INDEX((LEN(INDIRECT("'シフト一覧（転載）'!"&amp;Y14&amp;":AK100"))&gt;0)
            *(INDIRECT("'シフト一覧（転載）'!"&amp;Y14&amp;":AK100")&lt;&gt;"休み"),
            1,0),0)+1,4),0),"")</f>
        <v>0</v>
      </c>
      <c r="AB14" s="20">
        <f t="array" aca="1" ref="AB14" ca="1">IFERROR(IF(AA14&lt;&gt;"",IF(AA14&lt;&gt;0,INDEX(
INDIRECT("'シフト一覧（転載）'!"&amp;AA14&amp;":AK100"),1,
MATCH(1,INDEX((LEN(INDIRECT("'シフト一覧（転載）'!"&amp;AA14&amp;":AK100"))&gt;0)
*(INDIRECT("'シフト一覧（転載）'!"&amp;AA14&amp;":AK100")&lt;&gt;"休み"),1,0),0)),0),""),$F$9&amp;"保育無し")</f>
        <v>0</v>
      </c>
      <c r="AC14" s="20">
        <f t="array" aca="1" ref="AC14" ca="1">IFERROR(IF(AA14&lt;&gt;0,ADDRESS(ROW(INDIRECT(AA14)),
    COLUMN(INDIRECT(AA14)) - 1 +
    MATCH(1,INDEX((LEN(INDIRECT("'シフト一覧（転載）'!"&amp;AA14&amp;":AK100"))&gt;0)
            *(INDIRECT("'シフト一覧（転載）'!"&amp;AA14&amp;":AK100")&lt;&gt;"休み"),
            1,0),0)+1,4),0),"")</f>
        <v>0</v>
      </c>
      <c r="AD14" s="20">
        <f t="array" aca="1" ref="AD14" ca="1">IFERROR(IF(AC14&lt;&gt;"",IF(AC14&lt;&gt;0,INDEX(
INDIRECT("'シフト一覧（転載）'!"&amp;AC14&amp;":AK100"),1,
MATCH(1,INDEX((LEN(INDIRECT("'シフト一覧（転載）'!"&amp;AC14&amp;":AK100"))&gt;0)
*(INDIRECT("'シフト一覧（転載）'!"&amp;AC14&amp;":AK100")&lt;&gt;"休み"),1,0),0)),0),""),$F$9&amp;"保育無し")</f>
        <v>0</v>
      </c>
      <c r="AE14" s="20">
        <f t="array" aca="1" ref="AE14" ca="1">IFERROR(IF(AC14&lt;&gt;0,ADDRESS(ROW(INDIRECT(AC14)),
    COLUMN(INDIRECT(AC14)) - 1 +
    MATCH(1,INDEX((LEN(INDIRECT("'シフト一覧（転載）'!"&amp;AC14&amp;":AK100"))&gt;0)
            *(INDIRECT("'シフト一覧（転載）'!"&amp;AC14&amp;":AK100")&lt;&gt;"休み"),
            1,0),0)+1,4),0),"")</f>
        <v>0</v>
      </c>
      <c r="AF14" s="20">
        <f t="array" aca="1" ref="AF14" ca="1">IFERROR(IF(AE14&lt;&gt;"",IF(AE14&lt;&gt;0,INDEX(
INDIRECT("'シフト一覧（転載）'!"&amp;AE14&amp;":AK100"),1,
MATCH(1,INDEX((LEN(INDIRECT("'シフト一覧（転載）'!"&amp;AE14&amp;":AK100"))&gt;0)
*(INDIRECT("'シフト一覧（転載）'!"&amp;AE14&amp;":AK100")&lt;&gt;"休み"),1,0),0)),0),""),$F$9&amp;"保育無し")</f>
        <v>0</v>
      </c>
      <c r="AG14" s="20">
        <f t="array" aca="1" ref="AG14" ca="1">IFERROR(IF(AE14&lt;&gt;0,ADDRESS(ROW(INDIRECT(AE14)),
    COLUMN(INDIRECT(AE14)) - 1 +
    MATCH(1,INDEX((LEN(INDIRECT("'シフト一覧（転載）'!"&amp;AE14&amp;":AK100"))&gt;0)
            *(INDIRECT("'シフト一覧（転載）'!"&amp;AE14&amp;":AK100")&lt;&gt;"休み"),
            1,0),0)+1,4),0),"")</f>
        <v>0</v>
      </c>
      <c r="AH14" s="20">
        <f t="array" aca="1" ref="AH14" ca="1">IFERROR(IF(AG14&lt;&gt;"",IF(AG14&lt;&gt;0,INDEX(
INDIRECT("'シフト一覧（転載）'!"&amp;AG14&amp;":AK100"),1,
MATCH(1,INDEX((LEN(INDIRECT("'シフト一覧（転載）'!"&amp;AG14&amp;":AK100"))&gt;0)
*(INDIRECT("'シフト一覧（転載）'!"&amp;AG14&amp;":AK100")&lt;&gt;"休み"),1,0),0)),0),""),$F$9&amp;"保育無し")</f>
        <v>0</v>
      </c>
      <c r="AI14" s="20">
        <f t="array" aca="1" ref="AI14" ca="1">IFERROR(IF(AG14&lt;&gt;0,ADDRESS(ROW(INDIRECT(AG14)),
    COLUMN(INDIRECT(AG14)) - 1 +
    MATCH(1,INDEX((LEN(INDIRECT("'シフト一覧（転載）'!"&amp;AG14&amp;":AK100"))&gt;0)
            *(INDIRECT("'シフト一覧（転載）'!"&amp;AG14&amp;":AK100")&lt;&gt;"休み"),
            1,0),0)+1,4),0),"")</f>
        <v>0</v>
      </c>
      <c r="AJ14" s="20">
        <f t="array" aca="1" ref="AJ14" ca="1">IFERROR(IF(AI14&lt;&gt;"",IF(AI14&lt;&gt;0,INDEX(
INDIRECT("'シフト一覧（転載）'!"&amp;AI14&amp;":AK100"),1,
MATCH(1,INDEX((LEN(INDIRECT("'シフト一覧（転載）'!"&amp;AI14&amp;":AK100"))&gt;0)
*(INDIRECT("'シフト一覧（転載）'!"&amp;AI14&amp;":AK100")&lt;&gt;"休み"),1,0),0)),0),""),$F$9&amp;"保育無し")</f>
        <v>0</v>
      </c>
      <c r="AK14" s="20">
        <f t="array" aca="1" ref="AK14" ca="1">IFERROR(IF(AI14&lt;&gt;0,ADDRESS(ROW(INDIRECT(AI14)),
    COLUMN(INDIRECT(AI14)) - 1 +
    MATCH(1,INDEX((LEN(INDIRECT("'シフト一覧（転載）'!"&amp;AI14&amp;":AK100"))&gt;0)
            *(INDIRECT("'シフト一覧（転載）'!"&amp;AI14&amp;":AK100")&lt;&gt;"休み"),
            1,0),0)+1,4),0),"")</f>
        <v>0</v>
      </c>
      <c r="AL14" s="20">
        <f t="array" aca="1" ref="AL14" ca="1">IFERROR(IF(AK14&lt;&gt;"",IF(AK14&lt;&gt;0,INDEX(
INDIRECT("'シフト一覧（転載）'!"&amp;AK14&amp;":AK100"),1,
MATCH(1,INDEX((LEN(INDIRECT("'シフト一覧（転載）'!"&amp;AK14&amp;":AK100"))&gt;0)
*(INDIRECT("'シフト一覧（転載）'!"&amp;AK14&amp;":AK100")&lt;&gt;"休み"),1,0),0)),0),""),$F$9&amp;"保育無し")</f>
        <v>0</v>
      </c>
      <c r="AM14" s="20">
        <f t="array" aca="1" ref="AM14" ca="1">IFERROR(IF(AK14&lt;&gt;0,ADDRESS(ROW(INDIRECT(AK14)),
    COLUMN(INDIRECT(AK14)) - 1 +
    MATCH(1,INDEX((LEN(INDIRECT("'シフト一覧（転載）'!"&amp;AK14&amp;":AK100"))&gt;0)
            *(INDIRECT("'シフト一覧（転載）'!"&amp;AK14&amp;":AK100")&lt;&gt;"休み"),
            1,0),0)+1,4),0),"")</f>
        <v>0</v>
      </c>
      <c r="AN14" s="20">
        <f t="array" aca="1" ref="AN14" ca="1">IFERROR(IF(AM14&lt;&gt;"",IF(AM14&lt;&gt;0,INDEX(
INDIRECT("'シフト一覧（転載）'!"&amp;AM14&amp;":AK100"),1,
MATCH(1,INDEX((LEN(INDIRECT("'シフト一覧（転載）'!"&amp;AM14&amp;":AK100"))&gt;0)
*(INDIRECT("'シフト一覧（転載）'!"&amp;AM14&amp;":AK100")&lt;&gt;"休み"),1,0),0)),0),""),$F$9&amp;"保育無し")</f>
        <v>0</v>
      </c>
      <c r="AO14" s="20">
        <f t="array" aca="1" ref="AO14" ca="1">IFERROR(IF(AM14&lt;&gt;0,ADDRESS(ROW(INDIRECT(AM14)),
    COLUMN(INDIRECT(AM14)) - 1 +
    MATCH(1,INDEX((LEN(INDIRECT("'シフト一覧（転載）'!"&amp;AM14&amp;":AK100"))&gt;0)
            *(INDIRECT("'シフト一覧（転載）'!"&amp;AM14&amp;":AK100")&lt;&gt;"休み"),
            1,0),0)+1,4),0),"")</f>
        <v>0</v>
      </c>
      <c r="AP14" s="20">
        <f t="array" aca="1" ref="AP14" ca="1">IFERROR(IF(AO14&lt;&gt;"",IF(AO14&lt;&gt;0,INDEX(
INDIRECT("'シフト一覧（転載）'!"&amp;AO14&amp;":AK100"),1,
MATCH(1,INDEX((LEN(INDIRECT("'シフト一覧（転載）'!"&amp;AO14&amp;":AK100"))&gt;0)
*(INDIRECT("'シフト一覧（転載）'!"&amp;AO14&amp;":AK100")&lt;&gt;"休み"),1,0),0)),0),""),$F$9&amp;"保育無し")</f>
        <v>0</v>
      </c>
      <c r="AQ14" s="20">
        <f t="array" aca="1" ref="AQ14" ca="1">IFERROR(IF(AO14&lt;&gt;0,ADDRESS(ROW(INDIRECT(AO14)),
    COLUMN(INDIRECT(AO14)) - 1 +
    MATCH(1,INDEX((LEN(INDIRECT("'シフト一覧（転載）'!"&amp;AO14&amp;":AK100"))&gt;0)
            *(INDIRECT("'シフト一覧（転載）'!"&amp;AO14&amp;":AK100")&lt;&gt;"休み"),
            1,0),0)+1,4),0),"")</f>
        <v>0</v>
      </c>
      <c r="AR14" s="20">
        <f t="array" aca="1" ref="AR14" ca="1">IFERROR(IF(AQ14&lt;&gt;"",IF(AQ14&lt;&gt;0,INDEX(
INDIRECT("'シフト一覧（転載）'!"&amp;AQ14&amp;":AK100"),1,
MATCH(1,INDEX((LEN(INDIRECT("'シフト一覧（転載）'!"&amp;AQ14&amp;":AK100"))&gt;0)
*(INDIRECT("'シフト一覧（転載）'!"&amp;AQ14&amp;":AK100")&lt;&gt;"休み"),1,0),0)),0),""),$F$9&amp;"保育無し")</f>
        <v>0</v>
      </c>
      <c r="AS14" s="20">
        <f t="array" aca="1" ref="AS14" ca="1">IFERROR(IF(AQ14&lt;&gt;0,ADDRESS(ROW(INDIRECT(AQ14)),
    COLUMN(INDIRECT(AQ14)) - 1 +
    MATCH(1,INDEX((LEN(INDIRECT("'シフト一覧（転載）'!"&amp;AQ14&amp;":AK100"))&gt;0)
            *(INDIRECT("'シフト一覧（転載）'!"&amp;AQ14&amp;":AK100")&lt;&gt;"休み"),
            1,0),0)+1,4),0),"")</f>
        <v>0</v>
      </c>
      <c r="AT14" s="20">
        <f t="array" aca="1" ref="AT14" ca="1">IFERROR(IF(AS14&lt;&gt;"",IF(AS14&lt;&gt;0,INDEX(
INDIRECT("'シフト一覧（転載）'!"&amp;AS14&amp;":AK100"),1,
MATCH(1,INDEX((LEN(INDIRECT("'シフト一覧（転載）'!"&amp;AS14&amp;":AK100"))&gt;0)
*(INDIRECT("'シフト一覧（転載）'!"&amp;AS14&amp;":AK100")&lt;&gt;"休み"),1,0),0)),0),""),$F$9&amp;"保育無し")</f>
        <v>0</v>
      </c>
      <c r="AU14" s="20">
        <f t="array" aca="1" ref="AU14" ca="1">IFERROR(IF(AS14&lt;&gt;0,ADDRESS(ROW(INDIRECT(AS14)),
    COLUMN(INDIRECT(AS14)) - 1 +
    MATCH(1,INDEX((LEN(INDIRECT("'シフト一覧（転載）'!"&amp;AS14&amp;":AK100"))&gt;0)
            *(INDIRECT("'シフト一覧（転載）'!"&amp;AS14&amp;":AK100")&lt;&gt;"休み"),
            1,0),0)+1,4),0),"")</f>
        <v>0</v>
      </c>
      <c r="AV14" s="20">
        <f t="array" aca="1" ref="AV14" ca="1">IFERROR(IF(AU14&lt;&gt;"",IF(AU14&lt;&gt;0,INDEX(
INDIRECT("'シフト一覧（転載）'!"&amp;AU14&amp;":AK100"),1,
MATCH(1,INDEX((LEN(INDIRECT("'シフト一覧（転載）'!"&amp;AU14&amp;":AK100"))&gt;0)
*(INDIRECT("'シフト一覧（転載）'!"&amp;AU14&amp;":AK100")&lt;&gt;"休み"),1,0),0)),0),""),$F$9&amp;"保育無し")</f>
        <v>0</v>
      </c>
      <c r="AW14" s="20">
        <f t="array" aca="1" ref="AW14" ca="1">IFERROR(IF(AU14&lt;&gt;0,ADDRESS(ROW(INDIRECT(AU14)),
    COLUMN(INDIRECT(AU14)) - 1 +
    MATCH(1,INDEX((LEN(INDIRECT("'シフト一覧（転載）'!"&amp;AU14&amp;":AK100"))&gt;0)
            *(INDIRECT("'シフト一覧（転載）'!"&amp;AU14&amp;":AK100")&lt;&gt;"休み"),
            1,0),0)+1,4),0),"")</f>
        <v>0</v>
      </c>
      <c r="AX14" s="20">
        <f t="array" aca="1" ref="AX14" ca="1">IFERROR(IF(AW14&lt;&gt;"",IF(AW14&lt;&gt;0,INDEX(
INDIRECT("'シフト一覧（転載）'!"&amp;AW14&amp;":AK100"),1,
MATCH(1,INDEX((LEN(INDIRECT("'シフト一覧（転載）'!"&amp;AW14&amp;":AK100"))&gt;0)
*(INDIRECT("'シフト一覧（転載）'!"&amp;AW14&amp;":AK100")&lt;&gt;"休み"),1,0),0)),0),""),$F$9&amp;"保育無し")</f>
        <v>0</v>
      </c>
      <c r="AY14" s="20">
        <f t="array" aca="1" ref="AY14" ca="1">IFERROR(IF(AW14&lt;&gt;0,ADDRESS(ROW(INDIRECT(AW14)),
    COLUMN(INDIRECT(AW14)) - 1 +
    MATCH(1,INDEX((LEN(INDIRECT("'シフト一覧（転載）'!"&amp;AW14&amp;":AK100"))&gt;0)
            *(INDIRECT("'シフト一覧（転載）'!"&amp;AW14&amp;":AK100")&lt;&gt;"休み"),
            1,0),0)+1,4),0),"")</f>
        <v>0</v>
      </c>
      <c r="AZ14" s="20">
        <f t="array" aca="1" ref="AZ14" ca="1">IFERROR(IF(AY14&lt;&gt;"",IF(AY14&lt;&gt;0,INDEX(
INDIRECT("'シフト一覧（転載）'!"&amp;AY14&amp;":AK100"),1,
MATCH(1,INDEX((LEN(INDIRECT("'シフト一覧（転載）'!"&amp;AY14&amp;":AK100"))&gt;0)
*(INDIRECT("'シフト一覧（転載）'!"&amp;AY14&amp;":AK100")&lt;&gt;"休み"),1,0),0)),0),""),$F$9&amp;"保育無し")</f>
        <v>0</v>
      </c>
      <c r="BA14" s="20">
        <f t="array" aca="1" ref="BA14" ca="1">IFERROR(IF(AY14&lt;&gt;0,ADDRESS(ROW(INDIRECT(AY14)),
    COLUMN(INDIRECT(AY14)) - 1 +
    MATCH(1,INDEX((LEN(INDIRECT("'シフト一覧（転載）'!"&amp;AY14&amp;":AK100"))&gt;0)
            *(INDIRECT("'シフト一覧（転載）'!"&amp;AY14&amp;":AK100")&lt;&gt;"休み"),
            1,0),0)+1,4),0),"")</f>
        <v>0</v>
      </c>
      <c r="BB14" s="20">
        <f t="array" aca="1" ref="BB14" ca="1">IFERROR(IF(BA14&lt;&gt;"",IF(BA14&lt;&gt;0,INDEX(
INDIRECT("'シフト一覧（転載）'!"&amp;BA14&amp;":AK100"),1,
MATCH(1,INDEX((LEN(INDIRECT("'シフト一覧（転載）'!"&amp;BA14&amp;":AK100"))&gt;0)
*(INDIRECT("'シフト一覧（転載）'!"&amp;BA14&amp;":AK100")&lt;&gt;"休み"),1,0),0)),0),""),$F$9&amp;"保育無し")</f>
        <v>0</v>
      </c>
      <c r="BC14" s="20">
        <f t="array" aca="1" ref="BC14" ca="1">IFERROR(IF(BA14&lt;&gt;0,ADDRESS(ROW(INDIRECT(BA14)),
    COLUMN(INDIRECT(BA14)) - 1 +
    MATCH(1,INDEX((LEN(INDIRECT("'シフト一覧（転載）'!"&amp;BA14&amp;":AK100"))&gt;0)
            *(INDIRECT("'シフト一覧（転載）'!"&amp;BA14&amp;":AK100")&lt;&gt;"休み"),
            1,0),0)+1,4),0),"")</f>
        <v>0</v>
      </c>
      <c r="BD14" s="20">
        <f t="array" aca="1" ref="BD14" ca="1">IFERROR(IF(BC14&lt;&gt;"",IF(BC14&lt;&gt;0,INDEX(
INDIRECT("'シフト一覧（転載）'!"&amp;BC14&amp;":AK100"),1,
MATCH(1,INDEX((LEN(INDIRECT("'シフト一覧（転載）'!"&amp;BC14&amp;":AK100"))&gt;0)
*(INDIRECT("'シフト一覧（転載）'!"&amp;BC14&amp;":AK100")&lt;&gt;"休み"),1,0),0)),0),""),$F$9&amp;"保育無し")</f>
        <v>0</v>
      </c>
      <c r="BE14" s="20">
        <f t="array" aca="1" ref="BE14" ca="1">IFERROR(IF(BC14&lt;&gt;0,ADDRESS(ROW(INDIRECT(BC14)),
    COLUMN(INDIRECT(BC14)) - 1 +
    MATCH(1,INDEX((LEN(INDIRECT("'シフト一覧（転載）'!"&amp;BC14&amp;":AK100"))&gt;0)
            *(INDIRECT("'シフト一覧（転載）'!"&amp;BC14&amp;":AK100")&lt;&gt;"休み"),
            1,0),0)+1,4),0),"")</f>
        <v>0</v>
      </c>
      <c r="BF14" s="20">
        <f t="array" aca="1" ref="BF14" ca="1">IFERROR(IF(BE14&lt;&gt;"",IF(BE14&lt;&gt;0,INDEX(
INDIRECT("'シフト一覧（転載）'!"&amp;BE14&amp;":AK100"),1,
MATCH(1,INDEX((LEN(INDIRECT("'シフト一覧（転載）'!"&amp;BE14&amp;":AK100"))&gt;0)
*(INDIRECT("'シフト一覧（転載）'!"&amp;BE14&amp;":AK100")&lt;&gt;"休み"),1,0),0)),0),""),$F$9&amp;"保育無し")</f>
        <v>0</v>
      </c>
      <c r="BG14" s="20">
        <f t="array" aca="1" ref="BG14" ca="1">IFERROR(IF(BE14&lt;&gt;0,ADDRESS(ROW(INDIRECT(BE14)),
    COLUMN(INDIRECT(BE14)) - 1 +
    MATCH(1,INDEX((LEN(INDIRECT("'シフト一覧（転載）'!"&amp;BE14&amp;":AK100"))&gt;0)
            *(INDIRECT("'シフト一覧（転載）'!"&amp;BE14&amp;":AK100")&lt;&gt;"休み"),
            1,0),0)+1,4),0),"")</f>
        <v>0</v>
      </c>
      <c r="BH14" s="20">
        <f t="array" aca="1" ref="BH14" ca="1">IFERROR(IF(BG14&lt;&gt;"",IF(BG14&lt;&gt;0,INDEX(
INDIRECT("'シフト一覧（転載）'!"&amp;BG14&amp;":AK100"),1,
MATCH(1,INDEX((LEN(INDIRECT("'シフト一覧（転載）'!"&amp;BG14&amp;":AK100"))&gt;0)
*(INDIRECT("'シフト一覧（転載）'!"&amp;BG14&amp;":AK100")&lt;&gt;"休み"),1,0),0)),0),""),$F$9&amp;"保育無し")</f>
        <v>0</v>
      </c>
      <c r="BI14" s="20">
        <f t="array" aca="1" ref="BI14" ca="1">IFERROR(IF(BG14&lt;&gt;0,ADDRESS(ROW(INDIRECT(BG14)),
    COLUMN(INDIRECT(BG14)) - 1 +
    MATCH(1,INDEX((LEN(INDIRECT("'シフト一覧（転載）'!"&amp;BG14&amp;":AK100"))&gt;0)
            *(INDIRECT("'シフト一覧（転載）'!"&amp;BG14&amp;":AK100")&lt;&gt;"休み"),
            1,0),0)+1,4),0),"")</f>
        <v>0</v>
      </c>
      <c r="BJ14" s="20">
        <f t="array" aca="1" ref="BJ14" ca="1">IFERROR(IF(BI14&lt;&gt;"",IF(BI14&lt;&gt;0,INDEX(
INDIRECT("'シフト一覧（転載）'!"&amp;BI14&amp;":AK100"),1,
MATCH(1,INDEX((LEN(INDIRECT("'シフト一覧（転載）'!"&amp;BI14&amp;":AK100"))&gt;0)
*(INDIRECT("'シフト一覧（転載）'!"&amp;BI14&amp;":AK100")&lt;&gt;"休み"),1,0),0)),0),""),$F$9&amp;"保育無し")</f>
        <v>0</v>
      </c>
      <c r="BK14" s="20">
        <f t="array" aca="1" ref="BK14" ca="1">IFERROR(IF(BI14&lt;&gt;0,ADDRESS(ROW(INDIRECT(BI14)),
    COLUMN(INDIRECT(BI14)) - 1 +
    MATCH(1,INDEX((LEN(INDIRECT("'シフト一覧（転載）'!"&amp;BI14&amp;":AK100"))&gt;0)
            *(INDIRECT("'シフト一覧（転載）'!"&amp;BI14&amp;":AK100")&lt;&gt;"休み"),
            1,0),0)+1,4),0),"")</f>
        <v>0</v>
      </c>
      <c r="BL14" s="20">
        <f t="array" aca="1" ref="BL14" ca="1">IFERROR(IF(BK14&lt;&gt;"",IF(BK14&lt;&gt;0,INDEX(
INDIRECT("'シフト一覧（転載）'!"&amp;BK14&amp;":AK100"),1,
MATCH(1,INDEX((LEN(INDIRECT("'シフト一覧（転載）'!"&amp;BK14&amp;":AK100"))&gt;0)
*(INDIRECT("'シフト一覧（転載）'!"&amp;BK14&amp;":AK100")&lt;&gt;"休み"),1,0),0)),0),""),$F$9&amp;"保育無し")</f>
        <v>0</v>
      </c>
      <c r="BM14" s="20">
        <f t="array" aca="1" ref="BM14" ca="1">IFERROR(IF(BK14&lt;&gt;0,ADDRESS(ROW(INDIRECT(BK14)),
    COLUMN(INDIRECT(BK14)) - 1 +
    MATCH(1,INDEX((LEN(INDIRECT("'シフト一覧（転載）'!"&amp;BK14&amp;":AK100"))&gt;0)
            *(INDIRECT("'シフト一覧（転載）'!"&amp;BK14&amp;":AK100")&lt;&gt;"休み"),
            1,0),0)+1,4),0),"")</f>
        <v>0</v>
      </c>
      <c r="BN14" s="20">
        <f t="array" aca="1" ref="BN14" ca="1">IFERROR(IF(BM14&lt;&gt;"",IF(BM14&lt;&gt;0,INDEX(
INDIRECT("'シフト一覧（転載）'!"&amp;BM14&amp;":AK100"),1,
MATCH(1,INDEX((LEN(INDIRECT("'シフト一覧（転載）'!"&amp;BM14&amp;":AK100"))&gt;0)
*(INDIRECT("'シフト一覧（転載）'!"&amp;BM14&amp;":AK100")&lt;&gt;"休み"),1,0),0)),0),""),$F$9&amp;"保育無し")</f>
        <v>0</v>
      </c>
      <c r="BO14" s="20">
        <f t="array" aca="1" ref="BO14" ca="1">IFERROR(IF(BM14&lt;&gt;0,ADDRESS(ROW(INDIRECT(BM14)),
    COLUMN(INDIRECT(BM14)) - 1 +
    MATCH(1,INDEX((LEN(INDIRECT("'シフト一覧（転載）'!"&amp;BM14&amp;":AK100"))&gt;0)
            *(INDIRECT("'シフト一覧（転載）'!"&amp;BM14&amp;":AK100")&lt;&gt;"休み"),
            1,0),0)+1,4),0),"")</f>
        <v>0</v>
      </c>
      <c r="BP14" s="20">
        <f t="array" aca="1" ref="BP14" ca="1">IFERROR(IF(BO14&lt;&gt;"",IF(BO14&lt;&gt;0,INDEX(
INDIRECT("'シフト一覧（転載）'!"&amp;BO14&amp;":AK100"),1,
MATCH(1,INDEX((LEN(INDIRECT("'シフト一覧（転載）'!"&amp;BO14&amp;":AK100"))&gt;0)
*(INDIRECT("'シフト一覧（転載）'!"&amp;BO14&amp;":AK100")&lt;&gt;"休み"),1,0),0)),0),""),$F$9&amp;"保育無し")</f>
        <v>0</v>
      </c>
      <c r="BQ14" s="20">
        <f t="array" aca="1" ref="BQ14" ca="1">IFERROR(IF(BO14&lt;&gt;0,ADDRESS(ROW(INDIRECT(BO14)),
    COLUMN(INDIRECT(BO14)) - 1 +
    MATCH(1,INDEX((LEN(INDIRECT("'シフト一覧（転載）'!"&amp;BO14&amp;":AK100"))&gt;0)
            *(INDIRECT("'シフト一覧（転載）'!"&amp;BO14&amp;":AK100")&lt;&gt;"休み"),
            1,0),0)+1,4),0),"")</f>
        <v>0</v>
      </c>
      <c r="BR14" s="20">
        <f t="array" aca="1" ref="BR14" ca="1">IFERROR(IF(BQ14&lt;&gt;"",IF(BQ14&lt;&gt;0,INDEX(
INDIRECT("'シフト一覧（転載）'!"&amp;BQ14&amp;":AK100"),1,
MATCH(1,INDEX((LEN(INDIRECT("'シフト一覧（転載）'!"&amp;BQ14&amp;":AK100"))&gt;0)
*(INDIRECT("'シフト一覧（転載）'!"&amp;BQ14&amp;":AK100")&lt;&gt;"休み"),1,0),0)),0),""),$F$9&amp;"保育無し")</f>
        <v>0</v>
      </c>
      <c r="BS14" s="20">
        <f t="array" aca="1" ref="BS14" ca="1">IFERROR(IF(BQ14&lt;&gt;0,ADDRESS(ROW(INDIRECT(BQ14)),
    COLUMN(INDIRECT(BQ14)) - 1 +
    MATCH(1,INDEX((LEN(INDIRECT("'シフト一覧（転載）'!"&amp;BQ14&amp;":AK100"))&gt;0)
            *(INDIRECT("'シフト一覧（転載）'!"&amp;BQ14&amp;":AK100")&lt;&gt;"休み"),
            1,0),0)+1,4),0),"")</f>
        <v>0</v>
      </c>
      <c r="BT14" s="20">
        <f t="array" aca="1" ref="BT14" ca="1">IFERROR(IF(BS14&lt;&gt;"",IF(BS14&lt;&gt;0,INDEX(
INDIRECT("'シフト一覧（転載）'!"&amp;BS14&amp;":AK100"),1,
MATCH(1,INDEX((LEN(INDIRECT("'シフト一覧（転載）'!"&amp;BS14&amp;":AK100"))&gt;0)
*(INDIRECT("'シフト一覧（転載）'!"&amp;BS14&amp;":AK100")&lt;&gt;"休み"),1,0),0)),0),""),$F$9&amp;"保育無し")</f>
        <v>0</v>
      </c>
      <c r="BU14" s="20">
        <f t="array" aca="1" ref="BU14" ca="1">IFERROR(IF(BS14&lt;&gt;0,ADDRESS(ROW(INDIRECT(BS14)),
    COLUMN(INDIRECT(BS14)) - 1 +
    MATCH(1,INDEX((LEN(INDIRECT("'シフト一覧（転載）'!"&amp;BS14&amp;":AK100"))&gt;0)
            *(INDIRECT("'シフト一覧（転載）'!"&amp;BS14&amp;":AK100")&lt;&gt;"休み"),
            1,0),0)+1,4),0),"")</f>
        <v>0</v>
      </c>
      <c r="BV14" s="20">
        <f t="array" aca="1" ref="BV14" ca="1">IFERROR(IF(BU14&lt;&gt;"",IF(BU14&lt;&gt;0,INDEX(
INDIRECT("'シフト一覧（転載）'!"&amp;BU14&amp;":AK100"),1,
MATCH(1,INDEX((LEN(INDIRECT("'シフト一覧（転載）'!"&amp;BU14&amp;":AK100"))&gt;0)
*(INDIRECT("'シフト一覧（転載）'!"&amp;BU14&amp;":AK100")&lt;&gt;"休み"),1,0),0)),0),""),$F$9&amp;"保育無し")</f>
        <v>0</v>
      </c>
      <c r="BW14" s="20">
        <f t="array" aca="1" ref="BW14" ca="1">IFERROR(IF(BU14&lt;&gt;0,ADDRESS(ROW(INDIRECT(BU14)),
    COLUMN(INDIRECT(BU14)) - 1 +
    MATCH(1,INDEX((LEN(INDIRECT("'シフト一覧（転載）'!"&amp;BU14&amp;":AK100"))&gt;0)
            *(INDIRECT("'シフト一覧（転載）'!"&amp;BU14&amp;":AK100")&lt;&gt;"休み"),
            1,0),0)+1,4),0),"")</f>
        <v>0</v>
      </c>
      <c r="BX14" s="20">
        <f t="array" aca="1" ref="BX14" ca="1">IFERROR(IF(BW14&lt;&gt;"",IF(BW14&lt;&gt;0,INDEX(
INDIRECT("'シフト一覧（転載）'!"&amp;BW14&amp;":AK100"),1,
MATCH(1,INDEX((LEN(INDIRECT("'シフト一覧（転載）'!"&amp;BW14&amp;":AK100"))&gt;0)
*(INDIRECT("'シフト一覧（転載）'!"&amp;BW14&amp;":AK100")&lt;&gt;"休み"),1,0),0)),0),""),$F$9&amp;"保育無し")</f>
        <v>0</v>
      </c>
      <c r="BY14" s="20">
        <f t="array" aca="1" ref="BY14" ca="1">IFERROR(IF(BW14&lt;&gt;0,ADDRESS(ROW(INDIRECT(BW14)),
    COLUMN(INDIRECT(BW14)) - 1 +
    MATCH(1,INDEX((LEN(INDIRECT("'シフト一覧（転載）'!"&amp;BW14&amp;":AK100"))&gt;0)
            *(INDIRECT("'シフト一覧（転載）'!"&amp;BW14&amp;":AK100")&lt;&gt;"休み"),
            1,0),0)+1,4),0),"")</f>
        <v>0</v>
      </c>
    </row>
    <row r="15" spans="1:77" ht="19.8" customHeight="1" x14ac:dyDescent="0.2">
      <c r="A15" s="43">
        <f>IF(A14&lt;&gt;0,IF($B$9&gt;A14,A14+1,0),0)</f>
        <v>4</v>
      </c>
      <c r="B15" s="48" t="str" cm="1">
        <f t="array" aca="1" ref="B15" ca="1">IFERROR(_xlfn.TEXTJOIN("", TRUE, IF(ISERR(MID(INDIRECT("'Page_" &amp; A15 &amp; "'!C2"), ROW(INDIRECT("1:" &amp; LEN(INDIRECT("'Page_" &amp; A15 &amp; "'!C2")))), 1)*1), MID(INDIRECT("'Page_" &amp; A15 &amp; "'!C2"), ROW(INDIRECT("1:" &amp; LEN(INDIRECT("'Page_" &amp; A15 &amp; "'!C2")))), 1), "")),"")</f>
        <v>髙坂</v>
      </c>
      <c r="C15" s="49" t="str" cm="1">
        <f t="array" aca="1" ref="C15" ca="1">IFERROR(IF(INDIRECT("'Page_" &amp; A15 &amp; "'!E2")&lt;&gt;"",INDIRECT("'Page_" &amp; A15 &amp; "'!E2"),INDIRECT("'Page_" &amp; A15 &amp; "'!D2")),"")</f>
        <v>千佳子</v>
      </c>
      <c r="D15" s="58" t="str" cm="1">
        <f t="array" aca="1" ref="D15" ca="1">IFERROR(IF(INDIRECT("'Page_" &amp; A15 &amp; "'!Q3")&lt;&gt;"",INDIRECT("'Page_" &amp; A15 &amp; "'!Q3"),INDIRECT("'Page_" &amp; A15 &amp; "'!P3")),"")</f>
        <v>パート(社保 29H以内)・保育士</v>
      </c>
      <c r="E15" s="39">
        <f t="shared" ca="1" si="2"/>
        <v>0</v>
      </c>
      <c r="F15" s="28">
        <f t="shared" ca="1" si="3"/>
        <v>128.25</v>
      </c>
      <c r="G15" s="25">
        <f t="shared" ca="1" si="0"/>
        <v>128.25</v>
      </c>
      <c r="H15" s="63" t="str" cm="1">
        <f t="array" aca="1" ref="H15" ca="1">IF(B15&lt;&gt;"",IFERROR(INDEX('シフト一覧（転載）'!$C$8:$C$100,
MATCH(1, (ISNUMBER(SEARCH(B15,'シフト一覧（転載）'!$A$8:$A$100)))
*(ISNUMBER(SEARCH($F$9,'シフト一覧（転載）'!$B$8:$B$100))), 0)),""),"")</f>
        <v/>
      </c>
      <c r="I15" s="54">
        <f t="shared" ca="1" si="1"/>
        <v>0</v>
      </c>
      <c r="J15" s="25" cm="1">
        <f t="array" aca="1" ref="J15" ca="1">IF(B15&lt;&gt;"",IFERROR(SUM(INDIRECT("'Page_" &amp; A15 &amp; "'!K"&amp;MATCH("有休",INDIRECT("'Page_" &amp; A15 &amp; "'!K:K"),0)+2&amp;"")
+INDIRECT("'Page_" &amp; A15 &amp; "'!L"&amp;MATCH("特休",INDIRECT("'Page_" &amp; A15 &amp; "'!L:L"),0)+2&amp;""))*24,0),"")</f>
        <v>16</v>
      </c>
      <c r="K15" s="59"/>
      <c r="M15" s="104"/>
      <c r="N15" s="102"/>
      <c r="O15" s="107"/>
      <c r="P15" s="21">
        <f t="array" aca="1" ref="P15" ca="1">IFERROR(IF(M14&lt;&gt;"",INDEX('シフト一覧（転載）'!$F$8:$AK$100,
    MATCH(1,(ISNUMBER(SEARCH(M14,'シフト一覧（転載）'!$A$8:$A$100)))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MATCH(1,(ISNUMBER(SEARCH(M14,'シフト一覧（転載）'!$A$8:$A$100)))
                *(ISNUMBER(SEARCH($F$9,'シフト一覧（転載）'!$B$8:$B$100))),
                0),0),0)),0),"")</f>
        <v>0</v>
      </c>
      <c r="Q15" s="21">
        <f ca="1">IF(P14=0,0,
IF(OR(P14="",COUNTIF(P14,"*保育無し*")),"",
IF(MOD(P15-P14,1)*24&gt;=8,1,
IF(MOD(P15-P14,1)*24&gt;=6,0.75,0))))</f>
        <v>0</v>
      </c>
      <c r="R15" s="21" cm="1">
        <f t="array" aca="1" ref="R15" ca="1">IFERROR(IF(Q14&lt;&gt;0,INDEX(
INDIRECT("'シフト一覧（転載）'!"&amp;Q14&amp;":AK100"),1+1,
MATCH(1,INDEX((LEN(INDIRECT("'シフト一覧（転載）'!"&amp;Q14&amp;":AK100"))&gt;0)
*(INDIRECT("'シフト一覧（転載）'!"&amp;Q14&amp;":AK100")&lt;&gt;"休み"),1,0),0)),0),"")</f>
        <v>0</v>
      </c>
      <c r="S15" s="21">
        <f ca="1">IF(R14=0,0,
IF(OR(R14="",COUNTIF(R14,"*保育無し*")),"",
IF(MOD(R15-R14,1)*24&gt;=8,1,
IF(MOD(R15-R14,1)*24&gt;=6,0.75,0))))</f>
        <v>0</v>
      </c>
      <c r="T15" s="21">
        <f t="array" aca="1" ref="T15" ca="1">IFERROR(IF(S14&lt;&gt;0,INDEX(
INDIRECT("'シフト一覧（転載）'!"&amp;S14&amp;":AK100"),1+1,
MATCH(1,INDEX((LEN(INDIRECT("'シフト一覧（転載）'!"&amp;S14&amp;":AK100"))&gt;0)
*(INDIRECT("'シフト一覧（転載）'!"&amp;S14&amp;":AK100")&lt;&gt;"休み"),1,0),0)),0),"")</f>
        <v>0</v>
      </c>
      <c r="U15" s="21">
        <f ca="1">IF(T14=0,0,
IF(OR(T14="",COUNTIF(T14,"*保育無し*")),"",
IF(MOD(T15-T14,1)*24&gt;=8,1,
IF(MOD(T15-T14,1)*24&gt;=6,0.75,0))))</f>
        <v>0</v>
      </c>
      <c r="V15" s="21">
        <f t="array" aca="1" ref="V15" ca="1">IFERROR(IF(U14&lt;&gt;0,INDEX(
INDIRECT("'シフト一覧（転載）'!"&amp;U14&amp;":AK100"),1+1,
MATCH(1,INDEX((LEN(INDIRECT("'シフト一覧（転載）'!"&amp;U14&amp;":AK100"))&gt;0)
*(INDIRECT("'シフト一覧（転載）'!"&amp;U14&amp;":AK100")&lt;&gt;"休み"),1,0),0)),0),"")</f>
        <v>0</v>
      </c>
      <c r="W15" s="21">
        <f ca="1">IF(V14=0,0,
IF(OR(V14="",COUNTIF(V14,"*保育無し*")),"",
IF(MOD(V15-V14,1)*24&gt;=8,1,
IF(MOD(V15-V14,1)*24&gt;=6,0.75,0))))</f>
        <v>0</v>
      </c>
      <c r="X15" s="21">
        <f t="array" aca="1" ref="X15" ca="1">IFERROR(IF(W14&lt;&gt;0,INDEX(
INDIRECT("'シフト一覧（転載）'!"&amp;W14&amp;":AK100"),1+1,
MATCH(1,INDEX((LEN(INDIRECT("'シフト一覧（転載）'!"&amp;W14&amp;":AK100"))&gt;0)
*(INDIRECT("'シフト一覧（転載）'!"&amp;W14&amp;":AK100")&lt;&gt;"休み"),1,0),0)),0),"")</f>
        <v>0</v>
      </c>
      <c r="Y15" s="21">
        <f ca="1">IF(X14=0,0,
IF(OR(X14="",COUNTIF(X14,"*保育無し*")),"",
IF(MOD(X15-X14,1)*24&gt;=8,1,
IF(MOD(X15-X14,1)*24&gt;=6,0.75,0))))</f>
        <v>0</v>
      </c>
      <c r="Z15" s="21">
        <f t="array" aca="1" ref="Z15" ca="1">IFERROR(IF(Y14&lt;&gt;0,INDEX(
INDIRECT("'シフト一覧（転載）'!"&amp;Y14&amp;":AK100"),1+1,
MATCH(1,INDEX((LEN(INDIRECT("'シフト一覧（転載）'!"&amp;Y14&amp;":AK100"))&gt;0)
*(INDIRECT("'シフト一覧（転載）'!"&amp;Y14&amp;":AK100")&lt;&gt;"休み"),1,0),0)),0),"")</f>
        <v>0</v>
      </c>
      <c r="AA15" s="21">
        <f ca="1">IF(Z14=0,0,
IF(OR(Z14="",COUNTIF(Z14,"*保育無し*")),"",
IF(MOD(Z15-Z14,1)*24&gt;=8,1,
IF(MOD(Z15-Z14,1)*24&gt;=6,0.75,0))))</f>
        <v>0</v>
      </c>
      <c r="AB15" s="21">
        <f t="array" aca="1" ref="AB15" ca="1">IFERROR(IF(AA14&lt;&gt;0,INDEX(
INDIRECT("'シフト一覧（転載）'!"&amp;AA14&amp;":AK100"),1+1,
MATCH(1,INDEX((LEN(INDIRECT("'シフト一覧（転載）'!"&amp;AA14&amp;":AK100"))&gt;0)
*(INDIRECT("'シフト一覧（転載）'!"&amp;AA14&amp;":AK100")&lt;&gt;"休み"),1,0),0)),0),"")</f>
        <v>0</v>
      </c>
      <c r="AC15" s="21">
        <f ca="1">IF(AB14=0,0,
IF(OR(AB14="",COUNTIF(AB14,"*保育無し*")),"",
IF(MOD(AB15-AB14,1)*24&gt;=8,1,
IF(MOD(AB15-AB14,1)*24&gt;=6,0.75,0))))</f>
        <v>0</v>
      </c>
      <c r="AD15" s="21">
        <f t="array" aca="1" ref="AD15" ca="1">IFERROR(IF(AC14&lt;&gt;0,INDEX(
INDIRECT("'シフト一覧（転載）'!"&amp;AC14&amp;":AK100"),1+1,
MATCH(1,INDEX((LEN(INDIRECT("'シフト一覧（転載）'!"&amp;AC14&amp;":AK100"))&gt;0)
*(INDIRECT("'シフト一覧（転載）'!"&amp;AC14&amp;":AK100")&lt;&gt;"休み"),1,0),0)),0),"")</f>
        <v>0</v>
      </c>
      <c r="AE15" s="21">
        <f ca="1">IF(AD14=0,0,
IF(OR(AD14="",COUNTIF(AD14,"*保育無し*")),"",
IF(MOD(AD15-AD14,1)*24&gt;=8,1,
IF(MOD(AD15-AD14,1)*24&gt;=6,0.75,0))))</f>
        <v>0</v>
      </c>
      <c r="AF15" s="21">
        <f t="array" aca="1" ref="AF15" ca="1">IFERROR(IF(AE14&lt;&gt;0,INDEX(
INDIRECT("'シフト一覧（転載）'!"&amp;AE14&amp;":AK100"),1+1,
MATCH(1,INDEX((LEN(INDIRECT("'シフト一覧（転載）'!"&amp;AE14&amp;":AK100"))&gt;0)
*(INDIRECT("'シフト一覧（転載）'!"&amp;AE14&amp;":AK100")&lt;&gt;"休み"),1,0),0)),0),"")</f>
        <v>0</v>
      </c>
      <c r="AG15" s="21">
        <f ca="1">IF(AF14=0,0,
IF(OR(AF14="",COUNTIF(AF14,"*保育無し*")),"",
IF(MOD(AF15-AF14,1)*24&gt;=8,1,
IF(MOD(AF15-AF14,1)*24&gt;=6,0.75,0))))</f>
        <v>0</v>
      </c>
      <c r="AH15" s="21">
        <f t="array" aca="1" ref="AH15" ca="1">IFERROR(IF(AG14&lt;&gt;0,INDEX(
INDIRECT("'シフト一覧（転載）'!"&amp;AG14&amp;":AK100"),1+1,
MATCH(1,INDEX((LEN(INDIRECT("'シフト一覧（転載）'!"&amp;AG14&amp;":AK100"))&gt;0)
*(INDIRECT("'シフト一覧（転載）'!"&amp;AG14&amp;":AK100")&lt;&gt;"休み"),1,0),0)),0),"")</f>
        <v>0</v>
      </c>
      <c r="AI15" s="21">
        <f ca="1">IF(AH14=0,0,
IF(OR(AH14="",COUNTIF(AH14,"*保育無し*")),"",
IF(MOD(AH15-AH14,1)*24&gt;=8,1,
IF(MOD(AH15-AH14,1)*24&gt;=6,0.75,0))))</f>
        <v>0</v>
      </c>
      <c r="AJ15" s="21">
        <f t="array" aca="1" ref="AJ15" ca="1">IFERROR(IF(AI14&lt;&gt;0,INDEX(
INDIRECT("'シフト一覧（転載）'!"&amp;AI14&amp;":AK100"),1+1,
MATCH(1,INDEX((LEN(INDIRECT("'シフト一覧（転載）'!"&amp;AI14&amp;":AK100"))&gt;0)
*(INDIRECT("'シフト一覧（転載）'!"&amp;AI14&amp;":AK100")&lt;&gt;"休み"),1,0),0)),0),"")</f>
        <v>0</v>
      </c>
      <c r="AK15" s="21">
        <f ca="1">IF(AJ14=0,0,
IF(OR(AJ14="",COUNTIF(AJ14,"*保育無し*")),"",
IF(MOD(AJ15-AJ14,1)*24&gt;=8,1,
IF(MOD(AJ15-AJ14,1)*24&gt;=6,0.75,0))))</f>
        <v>0</v>
      </c>
      <c r="AL15" s="21">
        <f t="array" aca="1" ref="AL15" ca="1">IFERROR(IF(AK14&lt;&gt;0,INDEX(
INDIRECT("'シフト一覧（転載）'!"&amp;AK14&amp;":AK100"),1+1,
MATCH(1,INDEX((LEN(INDIRECT("'シフト一覧（転載）'!"&amp;AK14&amp;":AK100"))&gt;0)
*(INDIRECT("'シフト一覧（転載）'!"&amp;AK14&amp;":AK100")&lt;&gt;"休み"),1,0),0)),0),"")</f>
        <v>0</v>
      </c>
      <c r="AM15" s="21">
        <f ca="1">IF(AL14=0,0,
IF(OR(AL14="",COUNTIF(AL14,"*保育無し*")),"",
IF(MOD(AL15-AL14,1)*24&gt;=8,1,
IF(MOD(AL15-AL14,1)*24&gt;=6,0.75,0))))</f>
        <v>0</v>
      </c>
      <c r="AN15" s="21">
        <f t="array" aca="1" ref="AN15" ca="1">IFERROR(IF(AM14&lt;&gt;0,INDEX(
INDIRECT("'シフト一覧（転載）'!"&amp;AM14&amp;":AK100"),1+1,
MATCH(1,INDEX((LEN(INDIRECT("'シフト一覧（転載）'!"&amp;AM14&amp;":AK100"))&gt;0)
*(INDIRECT("'シフト一覧（転載）'!"&amp;AM14&amp;":AK100")&lt;&gt;"休み"),1,0),0)),0),"")</f>
        <v>0</v>
      </c>
      <c r="AO15" s="21">
        <f ca="1">IF(AN14=0,0,
IF(OR(AN14="",COUNTIF(AN14,"*保育無し*")),"",
IF(MOD(AN15-AN14,1)*24&gt;=8,1,
IF(MOD(AN15-AN14,1)*24&gt;=6,0.75,0))))</f>
        <v>0</v>
      </c>
      <c r="AP15" s="21">
        <f t="array" aca="1" ref="AP15" ca="1">IFERROR(IF(AO14&lt;&gt;0,INDEX(
INDIRECT("'シフト一覧（転載）'!"&amp;AO14&amp;":AK100"),1+1,
MATCH(1,INDEX((LEN(INDIRECT("'シフト一覧（転載）'!"&amp;AO14&amp;":AK100"))&gt;0)
*(INDIRECT("'シフト一覧（転載）'!"&amp;AO14&amp;":AK100")&lt;&gt;"休み"),1,0),0)),0),"")</f>
        <v>0</v>
      </c>
      <c r="AQ15" s="21">
        <f ca="1">IF(AP14=0,0,
IF(OR(AP14="",COUNTIF(AP14,"*保育無し*")),"",
IF(MOD(AP15-AP14,1)*24&gt;=8,1,
IF(MOD(AP15-AP14,1)*24&gt;=6,0.75,0))))</f>
        <v>0</v>
      </c>
      <c r="AR15" s="21">
        <f t="array" aca="1" ref="AR15" ca="1">IFERROR(IF(AQ14&lt;&gt;0,INDEX(
INDIRECT("'シフト一覧（転載）'!"&amp;AQ14&amp;":AK100"),1+1,
MATCH(1,INDEX((LEN(INDIRECT("'シフト一覧（転載）'!"&amp;AQ14&amp;":AK100"))&gt;0)
*(INDIRECT("'シフト一覧（転載）'!"&amp;AQ14&amp;":AK100")&lt;&gt;"休み"),1,0),0)),0),"")</f>
        <v>0</v>
      </c>
      <c r="AS15" s="21">
        <f ca="1">IF(AR14=0,0,
IF(OR(AR14="",COUNTIF(AR14,"*保育無し*")),"",
IF(MOD(AR15-AR14,1)*24&gt;=8,1,
IF(MOD(AR15-AR14,1)*24&gt;=6,0.75,0))))</f>
        <v>0</v>
      </c>
      <c r="AT15" s="21">
        <f t="array" aca="1" ref="AT15" ca="1">IFERROR(IF(AS14&lt;&gt;0,INDEX(
INDIRECT("'シフト一覧（転載）'!"&amp;AS14&amp;":AK100"),1+1,
MATCH(1,INDEX((LEN(INDIRECT("'シフト一覧（転載）'!"&amp;AS14&amp;":AK100"))&gt;0)
*(INDIRECT("'シフト一覧（転載）'!"&amp;AS14&amp;":AK100")&lt;&gt;"休み"),1,0),0)),0),"")</f>
        <v>0</v>
      </c>
      <c r="AU15" s="21">
        <f ca="1">IF(AT14=0,0,
IF(OR(AT14="",COUNTIF(AT14,"*保育無し*")),"",
IF(MOD(AT15-AT14,1)*24&gt;=8,1,
IF(MOD(AT15-AT14,1)*24&gt;=6,0.75,0))))</f>
        <v>0</v>
      </c>
      <c r="AV15" s="21">
        <f t="array" aca="1" ref="AV15" ca="1">IFERROR(IF(AU14&lt;&gt;0,INDEX(
INDIRECT("'シフト一覧（転載）'!"&amp;AU14&amp;":AK100"),1+1,
MATCH(1,INDEX((LEN(INDIRECT("'シフト一覧（転載）'!"&amp;AU14&amp;":AK100"))&gt;0)
*(INDIRECT("'シフト一覧（転載）'!"&amp;AU14&amp;":AK100")&lt;&gt;"休み"),1,0),0)),0),"")</f>
        <v>0</v>
      </c>
      <c r="AW15" s="21">
        <f ca="1">IF(AV14=0,0,
IF(OR(AV14="",COUNTIF(AV14,"*保育無し*")),"",
IF(MOD(AV15-AV14,1)*24&gt;=8,1,
IF(MOD(AV15-AV14,1)*24&gt;=6,0.75,0))))</f>
        <v>0</v>
      </c>
      <c r="AX15" s="21">
        <f t="array" aca="1" ref="AX15" ca="1">IFERROR(IF(AW14&lt;&gt;0,INDEX(
INDIRECT("'シフト一覧（転載）'!"&amp;AW14&amp;":AK100"),1+1,
MATCH(1,INDEX((LEN(INDIRECT("'シフト一覧（転載）'!"&amp;AW14&amp;":AK100"))&gt;0)
*(INDIRECT("'シフト一覧（転載）'!"&amp;AW14&amp;":AK100")&lt;&gt;"休み"),1,0),0)),0),"")</f>
        <v>0</v>
      </c>
      <c r="AY15" s="21">
        <f ca="1">IF(AX14=0,0,
IF(OR(AX14="",COUNTIF(AX14,"*保育無し*")),"",
IF(MOD(AX15-AX14,1)*24&gt;=8,1,
IF(MOD(AX15-AX14,1)*24&gt;=6,0.75,0))))</f>
        <v>0</v>
      </c>
      <c r="AZ15" s="21">
        <f t="array" aca="1" ref="AZ15" ca="1">IFERROR(IF(AY14&lt;&gt;0,INDEX(
INDIRECT("'シフト一覧（転載）'!"&amp;AY14&amp;":AK100"),1+1,
MATCH(1,INDEX((LEN(INDIRECT("'シフト一覧（転載）'!"&amp;AY14&amp;":AK100"))&gt;0)
*(INDIRECT("'シフト一覧（転載）'!"&amp;AY14&amp;":AK100")&lt;&gt;"休み"),1,0),0)),0),"")</f>
        <v>0</v>
      </c>
      <c r="BA15" s="21">
        <f ca="1">IF(AZ14=0,0,
IF(OR(AZ14="",COUNTIF(AZ14,"*保育無し*")),"",
IF(MOD(AZ15-AZ14,1)*24&gt;=8,1,
IF(MOD(AZ15-AZ14,1)*24&gt;=6,0.75,0))))</f>
        <v>0</v>
      </c>
      <c r="BB15" s="21">
        <f t="array" aca="1" ref="BB15" ca="1">IFERROR(IF(BA14&lt;&gt;0,INDEX(
INDIRECT("'シフト一覧（転載）'!"&amp;BA14&amp;":AK100"),1+1,
MATCH(1,INDEX((LEN(INDIRECT("'シフト一覧（転載）'!"&amp;BA14&amp;":AK100"))&gt;0)
*(INDIRECT("'シフト一覧（転載）'!"&amp;BA14&amp;":AK100")&lt;&gt;"休み"),1,0),0)),0),"")</f>
        <v>0</v>
      </c>
      <c r="BC15" s="21">
        <f ca="1">IF(BB14=0,0,
IF(OR(BB14="",COUNTIF(BB14,"*保育無し*")),"",
IF(MOD(BB15-BB14,1)*24&gt;=8,1,
IF(MOD(BB15-BB14,1)*24&gt;=6,0.75,0))))</f>
        <v>0</v>
      </c>
      <c r="BD15" s="21">
        <f t="array" aca="1" ref="BD15" ca="1">IFERROR(IF(BC14&lt;&gt;0,INDEX(
INDIRECT("'シフト一覧（転載）'!"&amp;BC14&amp;":AK100"),1+1,
MATCH(1,INDEX((LEN(INDIRECT("'シフト一覧（転載）'!"&amp;BC14&amp;":AK100"))&gt;0)
*(INDIRECT("'シフト一覧（転載）'!"&amp;BC14&amp;":AK100")&lt;&gt;"休み"),1,0),0)),0),"")</f>
        <v>0</v>
      </c>
      <c r="BE15" s="21">
        <f ca="1">IF(BD14=0,0,
IF(OR(BD14="",COUNTIF(BD14,"*保育無し*")),"",
IF(MOD(BD15-BD14,1)*24&gt;=8,1,
IF(MOD(BD15-BD14,1)*24&gt;=6,0.75,0))))</f>
        <v>0</v>
      </c>
      <c r="BF15" s="21">
        <f t="array" aca="1" ref="BF15" ca="1">IFERROR(IF(BE14&lt;&gt;0,INDEX(
INDIRECT("'シフト一覧（転載）'!"&amp;BE14&amp;":AK100"),1+1,
MATCH(1,INDEX((LEN(INDIRECT("'シフト一覧（転載）'!"&amp;BE14&amp;":AK100"))&gt;0)
*(INDIRECT("'シフト一覧（転載）'!"&amp;BE14&amp;":AK100")&lt;&gt;"休み"),1,0),0)),0),"")</f>
        <v>0</v>
      </c>
      <c r="BG15" s="21">
        <f ca="1">IF(BF14=0,0,
IF(OR(BF14="",COUNTIF(BF14,"*保育無し*")),"",
IF(MOD(BF15-BF14,1)*24&gt;=8,1,
IF(MOD(BF15-BF14,1)*24&gt;=6,0.75,0))))</f>
        <v>0</v>
      </c>
      <c r="BH15" s="21">
        <f t="array" aca="1" ref="BH15" ca="1">IFERROR(IF(BG14&lt;&gt;0,INDEX(
INDIRECT("'シフト一覧（転載）'!"&amp;BG14&amp;":AK100"),1+1,
MATCH(1,INDEX((LEN(INDIRECT("'シフト一覧（転載）'!"&amp;BG14&amp;":AK100"))&gt;0)
*(INDIRECT("'シフト一覧（転載）'!"&amp;BG14&amp;":AK100")&lt;&gt;"休み"),1,0),0)),0),"")</f>
        <v>0</v>
      </c>
      <c r="BI15" s="21">
        <f ca="1">IF(BH14=0,0,
IF(OR(BH14="",COUNTIF(BH14,"*保育無し*")),"",
IF(MOD(BH15-BH14,1)*24&gt;=8,1,
IF(MOD(BH15-BH14,1)*24&gt;=6,0.75,0))))</f>
        <v>0</v>
      </c>
      <c r="BJ15" s="21">
        <f t="array" aca="1" ref="BJ15" ca="1">IFERROR(IF(BI14&lt;&gt;0,INDEX(
INDIRECT("'シフト一覧（転載）'!"&amp;BI14&amp;":AK100"),1+1,
MATCH(1,INDEX((LEN(INDIRECT("'シフト一覧（転載）'!"&amp;BI14&amp;":AK100"))&gt;0)
*(INDIRECT("'シフト一覧（転載）'!"&amp;BI14&amp;":AK100")&lt;&gt;"休み"),1,0),0)),0),"")</f>
        <v>0</v>
      </c>
      <c r="BK15" s="21">
        <f ca="1">IF(BJ14=0,0,
IF(OR(BJ14="",COUNTIF(BJ14,"*保育無し*")),"",
IF(MOD(BJ15-BJ14,1)*24&gt;=8,1,
IF(MOD(BJ15-BJ14,1)*24&gt;=6,0.75,0))))</f>
        <v>0</v>
      </c>
      <c r="BL15" s="21">
        <f t="array" aca="1" ref="BL15" ca="1">IFERROR(IF(BK14&lt;&gt;0,INDEX(
INDIRECT("'シフト一覧（転載）'!"&amp;BK14&amp;":AK100"),1+1,
MATCH(1,INDEX((LEN(INDIRECT("'シフト一覧（転載）'!"&amp;BK14&amp;":AK100"))&gt;0)
*(INDIRECT("'シフト一覧（転載）'!"&amp;BK14&amp;":AK100")&lt;&gt;"休み"),1,0),0)),0),"")</f>
        <v>0</v>
      </c>
      <c r="BM15" s="21">
        <f ca="1">IF(BL14=0,0,
IF(OR(BL14="",COUNTIF(BL14,"*保育無し*")),"",
IF(MOD(BL15-BL14,1)*24&gt;=8,1,
IF(MOD(BL15-BL14,1)*24&gt;=6,0.75,0))))</f>
        <v>0</v>
      </c>
      <c r="BN15" s="21">
        <f t="array" aca="1" ref="BN15" ca="1">IFERROR(IF(BM14&lt;&gt;0,INDEX(
INDIRECT("'シフト一覧（転載）'!"&amp;BM14&amp;":AK100"),1+1,
MATCH(1,INDEX((LEN(INDIRECT("'シフト一覧（転載）'!"&amp;BM14&amp;":AK100"))&gt;0)
*(INDIRECT("'シフト一覧（転載）'!"&amp;BM14&amp;":AK100")&lt;&gt;"休み"),1,0),0)),0),"")</f>
        <v>0</v>
      </c>
      <c r="BO15" s="21">
        <f ca="1">IF(BN14=0,0,
IF(OR(BN14="",COUNTIF(BN14,"*保育無し*")),"",
IF(MOD(BN15-BN14,1)*24&gt;=8,1,
IF(MOD(BN15-BN14,1)*24&gt;=6,0.75,0))))</f>
        <v>0</v>
      </c>
      <c r="BP15" s="21">
        <f t="array" aca="1" ref="BP15" ca="1">IFERROR(IF(BO14&lt;&gt;0,INDEX(
INDIRECT("'シフト一覧（転載）'!"&amp;BO14&amp;":AK100"),1+1,
MATCH(1,INDEX((LEN(INDIRECT("'シフト一覧（転載）'!"&amp;BO14&amp;":AK100"))&gt;0)
*(INDIRECT("'シフト一覧（転載）'!"&amp;BO14&amp;":AK100")&lt;&gt;"休み"),1,0),0)),0),"")</f>
        <v>0</v>
      </c>
      <c r="BQ15" s="21">
        <f ca="1">IF(BP14=0,0,
IF(OR(BP14="",COUNTIF(BP14,"*保育無し*")),"",
IF(MOD(BP15-BP14,1)*24&gt;=8,1,
IF(MOD(BP15-BP14,1)*24&gt;=6,0.75,0))))</f>
        <v>0</v>
      </c>
      <c r="BR15" s="21">
        <f t="array" aca="1" ref="BR15" ca="1">IFERROR(IF(BQ14&lt;&gt;0,INDEX(
INDIRECT("'シフト一覧（転載）'!"&amp;BQ14&amp;":AK100"),1+1,
MATCH(1,INDEX((LEN(INDIRECT("'シフト一覧（転載）'!"&amp;BQ14&amp;":AK100"))&gt;0)
*(INDIRECT("'シフト一覧（転載）'!"&amp;BQ14&amp;":AK100")&lt;&gt;"休み"),1,0),0)),0),"")</f>
        <v>0</v>
      </c>
      <c r="BS15" s="21">
        <f ca="1">IF(BR14=0,0,
IF(OR(BR14="",COUNTIF(BR14,"*保育無し*")),"",
IF(MOD(BR15-BR14,1)*24&gt;=8,1,
IF(MOD(BR15-BR14,1)*24&gt;=6,0.75,0))))</f>
        <v>0</v>
      </c>
      <c r="BT15" s="21">
        <f t="array" aca="1" ref="BT15" ca="1">IFERROR(IF(BS14&lt;&gt;0,INDEX(
INDIRECT("'シフト一覧（転載）'!"&amp;BS14&amp;":AK100"),1+1,
MATCH(1,INDEX((LEN(INDIRECT("'シフト一覧（転載）'!"&amp;BS14&amp;":AK100"))&gt;0)
*(INDIRECT("'シフト一覧（転載）'!"&amp;BS14&amp;":AK100")&lt;&gt;"休み"),1,0),0)),0),"")</f>
        <v>0</v>
      </c>
      <c r="BU15" s="21">
        <f ca="1">IF(BT14=0,0,
IF(OR(BT14="",COUNTIF(BT14,"*保育無し*")),"",
IF(MOD(BT15-BT14,1)*24&gt;=8,1,
IF(MOD(BT15-BT14,1)*24&gt;=6,0.75,0))))</f>
        <v>0</v>
      </c>
      <c r="BV15" s="21">
        <f t="array" aca="1" ref="BV15" ca="1">IFERROR(IF(BU14&lt;&gt;0,INDEX(
INDIRECT("'シフト一覧（転載）'!"&amp;BU14&amp;":AK100"),1+1,
MATCH(1,INDEX((LEN(INDIRECT("'シフト一覧（転載）'!"&amp;BU14&amp;":AK100"))&gt;0)
*(INDIRECT("'シフト一覧（転載）'!"&amp;BU14&amp;":AK100")&lt;&gt;"休み"),1,0),0)),0),"")</f>
        <v>0</v>
      </c>
      <c r="BW15" s="21">
        <f ca="1">IF(BV14=0,0,
IF(OR(BV14="",COUNTIF(BV14,"*保育無し*")),"",
IF(MOD(BV15-BV14,1)*24&gt;=8,1,
IF(MOD(BV15-BV14,1)*24&gt;=6,0.75,0))))</f>
        <v>0</v>
      </c>
      <c r="BX15" s="21">
        <f t="array" aca="1" ref="BX15" ca="1">IFERROR(IF(BW14&lt;&gt;0,INDEX(
INDIRECT("'シフト一覧（転載）'!"&amp;BW14&amp;":AK100"),1+1,
MATCH(1,INDEX((LEN(INDIRECT("'シフト一覧（転載）'!"&amp;BW14&amp;":AK100"))&gt;0)
*(INDIRECT("'シフト一覧（転載）'!"&amp;BW14&amp;":AK100")&lt;&gt;"休み"),1,0),0)),0),"")</f>
        <v>0</v>
      </c>
      <c r="BY15" s="21">
        <f ca="1">IF(BX14=0,0,
IF(OR(BX14="",COUNTIF(BX14,"*保育無し*")),"",
IF(MOD(BX15-BX14,1)*24&gt;=8,1,
IF(MOD(BX15-BX14,1)*24&gt;=6,0.75,0))))</f>
        <v>0</v>
      </c>
    </row>
    <row r="16" spans="1:77" ht="19.8" customHeight="1" x14ac:dyDescent="0.2">
      <c r="A16" s="43">
        <f>IF(A15&lt;&gt;0,IF($B$9&gt;A15,A15+1,0),0)</f>
        <v>5</v>
      </c>
      <c r="B16" s="48" t="str" cm="1">
        <f t="array" aca="1" ref="B16" ca="1">IFERROR(_xlfn.TEXTJOIN("", TRUE, IF(ISERR(MID(INDIRECT("'Page_" &amp; A16 &amp; "'!C2"), ROW(INDIRECT("1:" &amp; LEN(INDIRECT("'Page_" &amp; A16 &amp; "'!C2")))), 1)*1), MID(INDIRECT("'Page_" &amp; A16 &amp; "'!C2"), ROW(INDIRECT("1:" &amp; LEN(INDIRECT("'Page_" &amp; A16 &amp; "'!C2")))), 1), "")),"")</f>
        <v>中原</v>
      </c>
      <c r="C16" s="49" t="str" cm="1">
        <f t="array" aca="1" ref="C16" ca="1">IFERROR(IF(INDIRECT("'Page_" &amp; A16 &amp; "'!E2")&lt;&gt;"",INDIRECT("'Page_" &amp; A16 &amp; "'!E2"),INDIRECT("'Page_" &amp; A16 &amp; "'!D2")),"")</f>
        <v>郁子</v>
      </c>
      <c r="D16" s="58" t="str" cm="1">
        <f t="array" aca="1" ref="D16" ca="1">IFERROR(IF(INDIRECT("'Page_" &amp; A16 &amp; "'!Q3")&lt;&gt;"",INDIRECT("'Page_" &amp; A16 &amp; "'!Q3"),INDIRECT("'Page_" &amp; A16 &amp; "'!P3")),"")</f>
        <v>パート(雇保無)・保育士</v>
      </c>
      <c r="E16" s="39">
        <f t="shared" ca="1" si="2"/>
        <v>0</v>
      </c>
      <c r="F16" s="28">
        <f t="shared" ca="1" si="3"/>
        <v>79.75</v>
      </c>
      <c r="G16" s="25">
        <f t="shared" ca="1" si="0"/>
        <v>79.75</v>
      </c>
      <c r="H16" s="63" t="str" cm="1">
        <f t="array" aca="1" ref="H16" ca="1">IF(B16&lt;&gt;"",IFERROR(INDEX('シフト一覧（転載）'!$C$8:$C$100,
MATCH(1, (ISNUMBER(SEARCH(B16,'シフト一覧（転載）'!$A$8:$A$100)))
*(ISNUMBER(SEARCH($F$9,'シフト一覧（転載）'!$B$8:$B$100))), 0)),""),"")</f>
        <v/>
      </c>
      <c r="I16" s="54">
        <f t="shared" ca="1" si="1"/>
        <v>0</v>
      </c>
      <c r="J16" s="25" cm="1">
        <f t="array" aca="1" ref="J16" ca="1">IF(B16&lt;&gt;"",IFERROR(SUM(INDIRECT("'Page_" &amp; A16 &amp; "'!K"&amp;MATCH("有休",INDIRECT("'Page_" &amp; A16 &amp; "'!K:K"),0)+2&amp;"")
+INDIRECT("'Page_" &amp; A16 &amp; "'!L"&amp;MATCH("特休",INDIRECT("'Page_" &amp; A16 &amp; "'!L:L"),0)+2&amp;""))*24,0),"")</f>
        <v>0</v>
      </c>
      <c r="K16" s="59"/>
      <c r="M16" s="103" t="str" cm="1">
        <f t="array" aca="1" ref="M1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6" s="101" t="str">
        <f t="shared" ref="N16" ca="1" si="5">IF(M16&lt;&gt;"",VLOOKUP(M16,$B$12:$C$41,2,FALSE),"")</f>
        <v/>
      </c>
      <c r="O16" s="106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20">
        <f t="array" aca="1" ref="P16" ca="1">IFERROR(IF(M16&lt;&gt;"",INDEX('シフト一覧（転載）'!$F$8:$AK$100,
    MATCH(1,(ISNUMBER(SEARCH(M16,'シフト一覧（転載）'!$A$8:$A$100)))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MATCH(1,(ISNUMBER(SEARCH(M16,'シフト一覧（転載）'!$A$8:$A$100)))
                *(ISNUMBER(SEARCH($F$9,'シフト一覧（転載）'!$B$8:$B$100))),
                0),0),0)),0),$F$9&amp;"保育無し")</f>
        <v>0</v>
      </c>
      <c r="Q16" s="20">
        <f t="array" aca="1" ref="Q16" ca="1">IFERROR(IF(COUNTIF(P16,"*無*"),"",IF(M16&lt;&gt;"",ADDRESS(
    MATCH(1,(ISNUMBER(SEARCH(M16,'シフト一覧（転載）'!$A$8:$A$100)))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MATCH(1,(ISNUMBER(SEARCH(M16,'シフト一覧（転載）'!$A$8:$A$100)))
                *(ISNUMBER(SEARCH($F$9,'シフト一覧（転載）'!$B$8:$B$100))),0),0),0) + 6,4),0)),0)</f>
        <v>0</v>
      </c>
      <c r="R16" s="20">
        <f t="array" aca="1" ref="R16" ca="1">IFERROR(IF(Q16&lt;&gt;"",IF(Q16&lt;&gt;0,INDEX(
INDIRECT("'シフト一覧（転載）'!"&amp;Q16&amp;":AK100"),1,
MATCH(1,INDEX((LEN(INDIRECT("'シフト一覧（転載）'!"&amp;Q16&amp;":AK100"))&gt;0)
*(INDIRECT("'シフト一覧（転載）'!"&amp;Q16&amp;":AK100")&lt;&gt;"休み"),1,0),0)),0),""),$F$9&amp;"保育無し")</f>
        <v>0</v>
      </c>
      <c r="S16" s="20">
        <f t="array" aca="1" ref="S16" ca="1">IFERROR(IF(Q16&lt;&gt;0,ADDRESS(ROW(INDIRECT(Q16)),
    COLUMN(INDIRECT(Q16)) - 1 +
    MATCH(1,INDEX((LEN(INDIRECT("'シフト一覧（転載）'!"&amp;Q16&amp;":AK100"))&gt;0)
            *(INDIRECT("'シフト一覧（転載）'!"&amp;Q16&amp;":AK100")&lt;&gt;"休み"),
            1,0),0)+1,4),0),"")</f>
        <v>0</v>
      </c>
      <c r="T16" s="20">
        <f t="array" aca="1" ref="T16" ca="1">IFERROR(IF(S16&lt;&gt;"",IF(S16&lt;&gt;0,INDEX(
INDIRECT("'シフト一覧（転載）'!"&amp;S16&amp;":AK100"),1,
MATCH(1,INDEX((LEN(INDIRECT("'シフト一覧（転載）'!"&amp;S16&amp;":AK100"))&gt;0)
*(INDIRECT("'シフト一覧（転載）'!"&amp;S16&amp;":AK100")&lt;&gt;"休み"),1,0),0)),0),""),$F$9&amp;"保育無し")</f>
        <v>0</v>
      </c>
      <c r="U16" s="20">
        <f t="array" aca="1" ref="U16" ca="1">IFERROR(IF(S16&lt;&gt;0,ADDRESS(ROW(INDIRECT(S16)),
    COLUMN(INDIRECT(S16)) - 1 +
    MATCH(1,INDEX((LEN(INDIRECT("'シフト一覧（転載）'!"&amp;S16&amp;":AK100"))&gt;0)
            *(INDIRECT("'シフト一覧（転載）'!"&amp;S16&amp;":AK100")&lt;&gt;"休み"),
            1,0),0)+1,4),0),"")</f>
        <v>0</v>
      </c>
      <c r="V16" s="20">
        <f t="array" aca="1" ref="V16" ca="1">IFERROR(IF(U16&lt;&gt;"",IF(U16&lt;&gt;0,INDEX(
INDIRECT("'シフト一覧（転載）'!"&amp;U16&amp;":AK100"),1,
MATCH(1,INDEX((LEN(INDIRECT("'シフト一覧（転載）'!"&amp;U16&amp;":AK100"))&gt;0)
*(INDIRECT("'シフト一覧（転載）'!"&amp;U16&amp;":AK100")&lt;&gt;"休み"),1,0),0)),0),""),$F$9&amp;"保育無し")</f>
        <v>0</v>
      </c>
      <c r="W16" s="20">
        <f t="array" aca="1" ref="W16" ca="1">IFERROR(IF(U16&lt;&gt;0,ADDRESS(ROW(INDIRECT(U16)),
    COLUMN(INDIRECT(U16)) - 1 +
    MATCH(1,INDEX((LEN(INDIRECT("'シフト一覧（転載）'!"&amp;U16&amp;":AK100"))&gt;0)
            *(INDIRECT("'シフト一覧（転載）'!"&amp;U16&amp;":AK100")&lt;&gt;"休み"),
            1,0),0)+1,4),0),"")</f>
        <v>0</v>
      </c>
      <c r="X16" s="20">
        <f t="array" aca="1" ref="X16" ca="1">IFERROR(IF(W16&lt;&gt;"",IF(W16&lt;&gt;0,INDEX(
INDIRECT("'シフト一覧（転載）'!"&amp;W16&amp;":AK100"),1,
MATCH(1,INDEX((LEN(INDIRECT("'シフト一覧（転載）'!"&amp;W16&amp;":AK100"))&gt;0)
*(INDIRECT("'シフト一覧（転載）'!"&amp;W16&amp;":AK100")&lt;&gt;"休み"),1,0),0)),0),""),$F$9&amp;"保育無し")</f>
        <v>0</v>
      </c>
      <c r="Y16" s="20">
        <f t="array" aca="1" ref="Y16" ca="1">IFERROR(IF(W16&lt;&gt;0,ADDRESS(ROW(INDIRECT(W16)),
    COLUMN(INDIRECT(W16)) - 1 +
    MATCH(1,INDEX((LEN(INDIRECT("'シフト一覧（転載）'!"&amp;W16&amp;":AK100"))&gt;0)
            *(INDIRECT("'シフト一覧（転載）'!"&amp;W16&amp;":AK100")&lt;&gt;"休み"),
            1,0),0)+1,4),0),"")</f>
        <v>0</v>
      </c>
      <c r="Z16" s="20">
        <f t="array" aca="1" ref="Z16" ca="1">IFERROR(IF(Y16&lt;&gt;"",IF(Y16&lt;&gt;0,INDEX(
INDIRECT("'シフト一覧（転載）'!"&amp;Y16&amp;":AK100"),1,
MATCH(1,INDEX((LEN(INDIRECT("'シフト一覧（転載）'!"&amp;Y16&amp;":AK100"))&gt;0)
*(INDIRECT("'シフト一覧（転載）'!"&amp;Y16&amp;":AK100")&lt;&gt;"休み"),1,0),0)),0),""),$F$9&amp;"保育無し")</f>
        <v>0</v>
      </c>
      <c r="AA16" s="20">
        <f t="array" aca="1" ref="AA16" ca="1">IFERROR(IF(Y16&lt;&gt;0,ADDRESS(ROW(INDIRECT(Y16)),
    COLUMN(INDIRECT(Y16)) - 1 +
    MATCH(1,INDEX((LEN(INDIRECT("'シフト一覧（転載）'!"&amp;Y16&amp;":AK100"))&gt;0)
            *(INDIRECT("'シフト一覧（転載）'!"&amp;Y16&amp;":AK100")&lt;&gt;"休み"),
            1,0),0)+1,4),0),"")</f>
        <v>0</v>
      </c>
      <c r="AB16" s="20">
        <f t="array" aca="1" ref="AB16" ca="1">IFERROR(IF(AA16&lt;&gt;"",IF(AA16&lt;&gt;0,INDEX(
INDIRECT("'シフト一覧（転載）'!"&amp;AA16&amp;":AK100"),1,
MATCH(1,INDEX((LEN(INDIRECT("'シフト一覧（転載）'!"&amp;AA16&amp;":AK100"))&gt;0)
*(INDIRECT("'シフト一覧（転載）'!"&amp;AA16&amp;":AK100")&lt;&gt;"休み"),1,0),0)),0),""),$F$9&amp;"保育無し")</f>
        <v>0</v>
      </c>
      <c r="AC16" s="20">
        <f t="array" aca="1" ref="AC16" ca="1">IFERROR(IF(AA16&lt;&gt;0,ADDRESS(ROW(INDIRECT(AA16)),
    COLUMN(INDIRECT(AA16)) - 1 +
    MATCH(1,INDEX((LEN(INDIRECT("'シフト一覧（転載）'!"&amp;AA16&amp;":AK100"))&gt;0)
            *(INDIRECT("'シフト一覧（転載）'!"&amp;AA16&amp;":AK100")&lt;&gt;"休み"),
            1,0),0)+1,4),0),"")</f>
        <v>0</v>
      </c>
      <c r="AD16" s="20">
        <f t="array" aca="1" ref="AD16" ca="1">IFERROR(IF(AC16&lt;&gt;"",IF(AC16&lt;&gt;0,INDEX(
INDIRECT("'シフト一覧（転載）'!"&amp;AC16&amp;":AK100"),1,
MATCH(1,INDEX((LEN(INDIRECT("'シフト一覧（転載）'!"&amp;AC16&amp;":AK100"))&gt;0)
*(INDIRECT("'シフト一覧（転載）'!"&amp;AC16&amp;":AK100")&lt;&gt;"休み"),1,0),0)),0),""),$F$9&amp;"保育無し")</f>
        <v>0</v>
      </c>
      <c r="AE16" s="20">
        <f t="array" aca="1" ref="AE16" ca="1">IFERROR(IF(AC16&lt;&gt;0,ADDRESS(ROW(INDIRECT(AC16)),
    COLUMN(INDIRECT(AC16)) - 1 +
    MATCH(1,INDEX((LEN(INDIRECT("'シフト一覧（転載）'!"&amp;AC16&amp;":AK100"))&gt;0)
            *(INDIRECT("'シフト一覧（転載）'!"&amp;AC16&amp;":AK100")&lt;&gt;"休み"),
            1,0),0)+1,4),0),"")</f>
        <v>0</v>
      </c>
      <c r="AF16" s="20">
        <f t="array" aca="1" ref="AF16" ca="1">IFERROR(IF(AE16&lt;&gt;"",IF(AE16&lt;&gt;0,INDEX(
INDIRECT("'シフト一覧（転載）'!"&amp;AE16&amp;":AK100"),1,
MATCH(1,INDEX((LEN(INDIRECT("'シフト一覧（転載）'!"&amp;AE16&amp;":AK100"))&gt;0)
*(INDIRECT("'シフト一覧（転載）'!"&amp;AE16&amp;":AK100")&lt;&gt;"休み"),1,0),0)),0),""),$F$9&amp;"保育無し")</f>
        <v>0</v>
      </c>
      <c r="AG16" s="20">
        <f t="array" aca="1" ref="AG16" ca="1">IFERROR(IF(AE16&lt;&gt;0,ADDRESS(ROW(INDIRECT(AE16)),
    COLUMN(INDIRECT(AE16)) - 1 +
    MATCH(1,INDEX((LEN(INDIRECT("'シフト一覧（転載）'!"&amp;AE16&amp;":AK100"))&gt;0)
            *(INDIRECT("'シフト一覧（転載）'!"&amp;AE16&amp;":AK100")&lt;&gt;"休み"),
            1,0),0)+1,4),0),"")</f>
        <v>0</v>
      </c>
      <c r="AH16" s="20">
        <f t="array" aca="1" ref="AH16" ca="1">IFERROR(IF(AG16&lt;&gt;"",IF(AG16&lt;&gt;0,INDEX(
INDIRECT("'シフト一覧（転載）'!"&amp;AG16&amp;":AK100"),1,
MATCH(1,INDEX((LEN(INDIRECT("'シフト一覧（転載）'!"&amp;AG16&amp;":AK100"))&gt;0)
*(INDIRECT("'シフト一覧（転載）'!"&amp;AG16&amp;":AK100")&lt;&gt;"休み"),1,0),0)),0),""),$F$9&amp;"保育無し")</f>
        <v>0</v>
      </c>
      <c r="AI16" s="20">
        <f t="array" aca="1" ref="AI16" ca="1">IFERROR(IF(AG16&lt;&gt;0,ADDRESS(ROW(INDIRECT(AG16)),
    COLUMN(INDIRECT(AG16)) - 1 +
    MATCH(1,INDEX((LEN(INDIRECT("'シフト一覧（転載）'!"&amp;AG16&amp;":AK100"))&gt;0)
            *(INDIRECT("'シフト一覧（転載）'!"&amp;AG16&amp;":AK100")&lt;&gt;"休み"),
            1,0),0)+1,4),0),"")</f>
        <v>0</v>
      </c>
      <c r="AJ16" s="20">
        <f t="array" aca="1" ref="AJ16" ca="1">IFERROR(IF(AI16&lt;&gt;"",IF(AI16&lt;&gt;0,INDEX(
INDIRECT("'シフト一覧（転載）'!"&amp;AI16&amp;":AK100"),1,
MATCH(1,INDEX((LEN(INDIRECT("'シフト一覧（転載）'!"&amp;AI16&amp;":AK100"))&gt;0)
*(INDIRECT("'シフト一覧（転載）'!"&amp;AI16&amp;":AK100")&lt;&gt;"休み"),1,0),0)),0),""),$F$9&amp;"保育無し")</f>
        <v>0</v>
      </c>
      <c r="AK16" s="20">
        <f t="array" aca="1" ref="AK16" ca="1">IFERROR(IF(AI16&lt;&gt;0,ADDRESS(ROW(INDIRECT(AI16)),
    COLUMN(INDIRECT(AI16)) - 1 +
    MATCH(1,INDEX((LEN(INDIRECT("'シフト一覧（転載）'!"&amp;AI16&amp;":AK100"))&gt;0)
            *(INDIRECT("'シフト一覧（転載）'!"&amp;AI16&amp;":AK100")&lt;&gt;"休み"),
            1,0),0)+1,4),0),"")</f>
        <v>0</v>
      </c>
      <c r="AL16" s="20">
        <f t="array" aca="1" ref="AL16" ca="1">IFERROR(IF(AK16&lt;&gt;"",IF(AK16&lt;&gt;0,INDEX(
INDIRECT("'シフト一覧（転載）'!"&amp;AK16&amp;":AK100"),1,
MATCH(1,INDEX((LEN(INDIRECT("'シフト一覧（転載）'!"&amp;AK16&amp;":AK100"))&gt;0)
*(INDIRECT("'シフト一覧（転載）'!"&amp;AK16&amp;":AK100")&lt;&gt;"休み"),1,0),0)),0),""),$F$9&amp;"保育無し")</f>
        <v>0</v>
      </c>
      <c r="AM16" s="20">
        <f t="array" aca="1" ref="AM16" ca="1">IFERROR(IF(AK16&lt;&gt;0,ADDRESS(ROW(INDIRECT(AK16)),
    COLUMN(INDIRECT(AK16)) - 1 +
    MATCH(1,INDEX((LEN(INDIRECT("'シフト一覧（転載）'!"&amp;AK16&amp;":AK100"))&gt;0)
            *(INDIRECT("'シフト一覧（転載）'!"&amp;AK16&amp;":AK100")&lt;&gt;"休み"),
            1,0),0)+1,4),0),"")</f>
        <v>0</v>
      </c>
      <c r="AN16" s="20">
        <f t="array" aca="1" ref="AN16" ca="1">IFERROR(IF(AM16&lt;&gt;"",IF(AM16&lt;&gt;0,INDEX(
INDIRECT("'シフト一覧（転載）'!"&amp;AM16&amp;":AK100"),1,
MATCH(1,INDEX((LEN(INDIRECT("'シフト一覧（転載）'!"&amp;AM16&amp;":AK100"))&gt;0)
*(INDIRECT("'シフト一覧（転載）'!"&amp;AM16&amp;":AK100")&lt;&gt;"休み"),1,0),0)),0),""),$F$9&amp;"保育無し")</f>
        <v>0</v>
      </c>
      <c r="AO16" s="20">
        <f t="array" aca="1" ref="AO16" ca="1">IFERROR(IF(AM16&lt;&gt;0,ADDRESS(ROW(INDIRECT(AM16)),
    COLUMN(INDIRECT(AM16)) - 1 +
    MATCH(1,INDEX((LEN(INDIRECT("'シフト一覧（転載）'!"&amp;AM16&amp;":AK100"))&gt;0)
            *(INDIRECT("'シフト一覧（転載）'!"&amp;AM16&amp;":AK100")&lt;&gt;"休み"),
            1,0),0)+1,4),0),"")</f>
        <v>0</v>
      </c>
      <c r="AP16" s="20">
        <f t="array" aca="1" ref="AP16" ca="1">IFERROR(IF(AO16&lt;&gt;"",IF(AO16&lt;&gt;0,INDEX(
INDIRECT("'シフト一覧（転載）'!"&amp;AO16&amp;":AK100"),1,
MATCH(1,INDEX((LEN(INDIRECT("'シフト一覧（転載）'!"&amp;AO16&amp;":AK100"))&gt;0)
*(INDIRECT("'シフト一覧（転載）'!"&amp;AO16&amp;":AK100")&lt;&gt;"休み"),1,0),0)),0),""),$F$9&amp;"保育無し")</f>
        <v>0</v>
      </c>
      <c r="AQ16" s="20">
        <f t="array" aca="1" ref="AQ16" ca="1">IFERROR(IF(AO16&lt;&gt;0,ADDRESS(ROW(INDIRECT(AO16)),
    COLUMN(INDIRECT(AO16)) - 1 +
    MATCH(1,INDEX((LEN(INDIRECT("'シフト一覧（転載）'!"&amp;AO16&amp;":AK100"))&gt;0)
            *(INDIRECT("'シフト一覧（転載）'!"&amp;AO16&amp;":AK100")&lt;&gt;"休み"),
            1,0),0)+1,4),0),"")</f>
        <v>0</v>
      </c>
      <c r="AR16" s="20">
        <f t="array" aca="1" ref="AR16" ca="1">IFERROR(IF(AQ16&lt;&gt;"",IF(AQ16&lt;&gt;0,INDEX(
INDIRECT("'シフト一覧（転載）'!"&amp;AQ16&amp;":AK100"),1,
MATCH(1,INDEX((LEN(INDIRECT("'シフト一覧（転載）'!"&amp;AQ16&amp;":AK100"))&gt;0)
*(INDIRECT("'シフト一覧（転載）'!"&amp;AQ16&amp;":AK100")&lt;&gt;"休み"),1,0),0)),0),""),$F$9&amp;"保育無し")</f>
        <v>0</v>
      </c>
      <c r="AS16" s="20">
        <f t="array" aca="1" ref="AS16" ca="1">IFERROR(IF(AQ16&lt;&gt;0,ADDRESS(ROW(INDIRECT(AQ16)),
    COLUMN(INDIRECT(AQ16)) - 1 +
    MATCH(1,INDEX((LEN(INDIRECT("'シフト一覧（転載）'!"&amp;AQ16&amp;":AK100"))&gt;0)
            *(INDIRECT("'シフト一覧（転載）'!"&amp;AQ16&amp;":AK100")&lt;&gt;"休み"),
            1,0),0)+1,4),0),"")</f>
        <v>0</v>
      </c>
      <c r="AT16" s="20">
        <f t="array" aca="1" ref="AT16" ca="1">IFERROR(IF(AS16&lt;&gt;"",IF(AS16&lt;&gt;0,INDEX(
INDIRECT("'シフト一覧（転載）'!"&amp;AS16&amp;":AK100"),1,
MATCH(1,INDEX((LEN(INDIRECT("'シフト一覧（転載）'!"&amp;AS16&amp;":AK100"))&gt;0)
*(INDIRECT("'シフト一覧（転載）'!"&amp;AS16&amp;":AK100")&lt;&gt;"休み"),1,0),0)),0),""),$F$9&amp;"保育無し")</f>
        <v>0</v>
      </c>
      <c r="AU16" s="20">
        <f t="array" aca="1" ref="AU16" ca="1">IFERROR(IF(AS16&lt;&gt;0,ADDRESS(ROW(INDIRECT(AS16)),
    COLUMN(INDIRECT(AS16)) - 1 +
    MATCH(1,INDEX((LEN(INDIRECT("'シフト一覧（転載）'!"&amp;AS16&amp;":AK100"))&gt;0)
            *(INDIRECT("'シフト一覧（転載）'!"&amp;AS16&amp;":AK100")&lt;&gt;"休み"),
            1,0),0)+1,4),0),"")</f>
        <v>0</v>
      </c>
      <c r="AV16" s="20">
        <f t="array" aca="1" ref="AV16" ca="1">IFERROR(IF(AU16&lt;&gt;"",IF(AU16&lt;&gt;0,INDEX(
INDIRECT("'シフト一覧（転載）'!"&amp;AU16&amp;":AK100"),1,
MATCH(1,INDEX((LEN(INDIRECT("'シフト一覧（転載）'!"&amp;AU16&amp;":AK100"))&gt;0)
*(INDIRECT("'シフト一覧（転載）'!"&amp;AU16&amp;":AK100")&lt;&gt;"休み"),1,0),0)),0),""),$F$9&amp;"保育無し")</f>
        <v>0</v>
      </c>
      <c r="AW16" s="20">
        <f t="array" aca="1" ref="AW16" ca="1">IFERROR(IF(AU16&lt;&gt;0,ADDRESS(ROW(INDIRECT(AU16)),
    COLUMN(INDIRECT(AU16)) - 1 +
    MATCH(1,INDEX((LEN(INDIRECT("'シフト一覧（転載）'!"&amp;AU16&amp;":AK100"))&gt;0)
            *(INDIRECT("'シフト一覧（転載）'!"&amp;AU16&amp;":AK100")&lt;&gt;"休み"),
            1,0),0)+1,4),0),"")</f>
        <v>0</v>
      </c>
      <c r="AX16" s="20">
        <f t="array" aca="1" ref="AX16" ca="1">IFERROR(IF(AW16&lt;&gt;"",IF(AW16&lt;&gt;0,INDEX(
INDIRECT("'シフト一覧（転載）'!"&amp;AW16&amp;":AK100"),1,
MATCH(1,INDEX((LEN(INDIRECT("'シフト一覧（転載）'!"&amp;AW16&amp;":AK100"))&gt;0)
*(INDIRECT("'シフト一覧（転載）'!"&amp;AW16&amp;":AK100")&lt;&gt;"休み"),1,0),0)),0),""),$F$9&amp;"保育無し")</f>
        <v>0</v>
      </c>
      <c r="AY16" s="20">
        <f t="array" aca="1" ref="AY16" ca="1">IFERROR(IF(AW16&lt;&gt;0,ADDRESS(ROW(INDIRECT(AW16)),
    COLUMN(INDIRECT(AW16)) - 1 +
    MATCH(1,INDEX((LEN(INDIRECT("'シフト一覧（転載）'!"&amp;AW16&amp;":AK100"))&gt;0)
            *(INDIRECT("'シフト一覧（転載）'!"&amp;AW16&amp;":AK100")&lt;&gt;"休み"),
            1,0),0)+1,4),0),"")</f>
        <v>0</v>
      </c>
      <c r="AZ16" s="20">
        <f t="array" aca="1" ref="AZ16" ca="1">IFERROR(IF(AY16&lt;&gt;"",IF(AY16&lt;&gt;0,INDEX(
INDIRECT("'シフト一覧（転載）'!"&amp;AY16&amp;":AK100"),1,
MATCH(1,INDEX((LEN(INDIRECT("'シフト一覧（転載）'!"&amp;AY16&amp;":AK100"))&gt;0)
*(INDIRECT("'シフト一覧（転載）'!"&amp;AY16&amp;":AK100")&lt;&gt;"休み"),1,0),0)),0),""),$F$9&amp;"保育無し")</f>
        <v>0</v>
      </c>
      <c r="BA16" s="20">
        <f t="array" aca="1" ref="BA16" ca="1">IFERROR(IF(AY16&lt;&gt;0,ADDRESS(ROW(INDIRECT(AY16)),
    COLUMN(INDIRECT(AY16)) - 1 +
    MATCH(1,INDEX((LEN(INDIRECT("'シフト一覧（転載）'!"&amp;AY16&amp;":AK100"))&gt;0)
            *(INDIRECT("'シフト一覧（転載）'!"&amp;AY16&amp;":AK100")&lt;&gt;"休み"),
            1,0),0)+1,4),0),"")</f>
        <v>0</v>
      </c>
      <c r="BB16" s="20">
        <f t="array" aca="1" ref="BB16" ca="1">IFERROR(IF(BA16&lt;&gt;"",IF(BA16&lt;&gt;0,INDEX(
INDIRECT("'シフト一覧（転載）'!"&amp;BA16&amp;":AK100"),1,
MATCH(1,INDEX((LEN(INDIRECT("'シフト一覧（転載）'!"&amp;BA16&amp;":AK100"))&gt;0)
*(INDIRECT("'シフト一覧（転載）'!"&amp;BA16&amp;":AK100")&lt;&gt;"休み"),1,0),0)),0),""),$F$9&amp;"保育無し")</f>
        <v>0</v>
      </c>
      <c r="BC16" s="20">
        <f t="array" aca="1" ref="BC16" ca="1">IFERROR(IF(BA16&lt;&gt;0,ADDRESS(ROW(INDIRECT(BA16)),
    COLUMN(INDIRECT(BA16)) - 1 +
    MATCH(1,INDEX((LEN(INDIRECT("'シフト一覧（転載）'!"&amp;BA16&amp;":AK100"))&gt;0)
            *(INDIRECT("'シフト一覧（転載）'!"&amp;BA16&amp;":AK100")&lt;&gt;"休み"),
            1,0),0)+1,4),0),"")</f>
        <v>0</v>
      </c>
      <c r="BD16" s="20">
        <f t="array" aca="1" ref="BD16" ca="1">IFERROR(IF(BC16&lt;&gt;"",IF(BC16&lt;&gt;0,INDEX(
INDIRECT("'シフト一覧（転載）'!"&amp;BC16&amp;":AK100"),1,
MATCH(1,INDEX((LEN(INDIRECT("'シフト一覧（転載）'!"&amp;BC16&amp;":AK100"))&gt;0)
*(INDIRECT("'シフト一覧（転載）'!"&amp;BC16&amp;":AK100")&lt;&gt;"休み"),1,0),0)),0),""),$F$9&amp;"保育無し")</f>
        <v>0</v>
      </c>
      <c r="BE16" s="20">
        <f t="array" aca="1" ref="BE16" ca="1">IFERROR(IF(BC16&lt;&gt;0,ADDRESS(ROW(INDIRECT(BC16)),
    COLUMN(INDIRECT(BC16)) - 1 +
    MATCH(1,INDEX((LEN(INDIRECT("'シフト一覧（転載）'!"&amp;BC16&amp;":AK100"))&gt;0)
            *(INDIRECT("'シフト一覧（転載）'!"&amp;BC16&amp;":AK100")&lt;&gt;"休み"),
            1,0),0)+1,4),0),"")</f>
        <v>0</v>
      </c>
      <c r="BF16" s="20">
        <f t="array" aca="1" ref="BF16" ca="1">IFERROR(IF(BE16&lt;&gt;"",IF(BE16&lt;&gt;0,INDEX(
INDIRECT("'シフト一覧（転載）'!"&amp;BE16&amp;":AK100"),1,
MATCH(1,INDEX((LEN(INDIRECT("'シフト一覧（転載）'!"&amp;BE16&amp;":AK100"))&gt;0)
*(INDIRECT("'シフト一覧（転載）'!"&amp;BE16&amp;":AK100")&lt;&gt;"休み"),1,0),0)),0),""),$F$9&amp;"保育無し")</f>
        <v>0</v>
      </c>
      <c r="BG16" s="20">
        <f t="array" aca="1" ref="BG16" ca="1">IFERROR(IF(BE16&lt;&gt;0,ADDRESS(ROW(INDIRECT(BE16)),
    COLUMN(INDIRECT(BE16)) - 1 +
    MATCH(1,INDEX((LEN(INDIRECT("'シフト一覧（転載）'!"&amp;BE16&amp;":AK100"))&gt;0)
            *(INDIRECT("'シフト一覧（転載）'!"&amp;BE16&amp;":AK100")&lt;&gt;"休み"),
            1,0),0)+1,4),0),"")</f>
        <v>0</v>
      </c>
      <c r="BH16" s="20">
        <f t="array" aca="1" ref="BH16" ca="1">IFERROR(IF(BG16&lt;&gt;"",IF(BG16&lt;&gt;0,INDEX(
INDIRECT("'シフト一覧（転載）'!"&amp;BG16&amp;":AK100"),1,
MATCH(1,INDEX((LEN(INDIRECT("'シフト一覧（転載）'!"&amp;BG16&amp;":AK100"))&gt;0)
*(INDIRECT("'シフト一覧（転載）'!"&amp;BG16&amp;":AK100")&lt;&gt;"休み"),1,0),0)),0),""),$F$9&amp;"保育無し")</f>
        <v>0</v>
      </c>
      <c r="BI16" s="20">
        <f t="array" aca="1" ref="BI16" ca="1">IFERROR(IF(BG16&lt;&gt;0,ADDRESS(ROW(INDIRECT(BG16)),
    COLUMN(INDIRECT(BG16)) - 1 +
    MATCH(1,INDEX((LEN(INDIRECT("'シフト一覧（転載）'!"&amp;BG16&amp;":AK100"))&gt;0)
            *(INDIRECT("'シフト一覧（転載）'!"&amp;BG16&amp;":AK100")&lt;&gt;"休み"),
            1,0),0)+1,4),0),"")</f>
        <v>0</v>
      </c>
      <c r="BJ16" s="20">
        <f t="array" aca="1" ref="BJ16" ca="1">IFERROR(IF(BI16&lt;&gt;"",IF(BI16&lt;&gt;0,INDEX(
INDIRECT("'シフト一覧（転載）'!"&amp;BI16&amp;":AK100"),1,
MATCH(1,INDEX((LEN(INDIRECT("'シフト一覧（転載）'!"&amp;BI16&amp;":AK100"))&gt;0)
*(INDIRECT("'シフト一覧（転載）'!"&amp;BI16&amp;":AK100")&lt;&gt;"休み"),1,0),0)),0),""),$F$9&amp;"保育無し")</f>
        <v>0</v>
      </c>
      <c r="BK16" s="20">
        <f t="array" aca="1" ref="BK16" ca="1">IFERROR(IF(BI16&lt;&gt;0,ADDRESS(ROW(INDIRECT(BI16)),
    COLUMN(INDIRECT(BI16)) - 1 +
    MATCH(1,INDEX((LEN(INDIRECT("'シフト一覧（転載）'!"&amp;BI16&amp;":AK100"))&gt;0)
            *(INDIRECT("'シフト一覧（転載）'!"&amp;BI16&amp;":AK100")&lt;&gt;"休み"),
            1,0),0)+1,4),0),"")</f>
        <v>0</v>
      </c>
      <c r="BL16" s="20">
        <f t="array" aca="1" ref="BL16" ca="1">IFERROR(IF(BK16&lt;&gt;"",IF(BK16&lt;&gt;0,INDEX(
INDIRECT("'シフト一覧（転載）'!"&amp;BK16&amp;":AK100"),1,
MATCH(1,INDEX((LEN(INDIRECT("'シフト一覧（転載）'!"&amp;BK16&amp;":AK100"))&gt;0)
*(INDIRECT("'シフト一覧（転載）'!"&amp;BK16&amp;":AK100")&lt;&gt;"休み"),1,0),0)),0),""),$F$9&amp;"保育無し")</f>
        <v>0</v>
      </c>
      <c r="BM16" s="20">
        <f t="array" aca="1" ref="BM16" ca="1">IFERROR(IF(BK16&lt;&gt;0,ADDRESS(ROW(INDIRECT(BK16)),
    COLUMN(INDIRECT(BK16)) - 1 +
    MATCH(1,INDEX((LEN(INDIRECT("'シフト一覧（転載）'!"&amp;BK16&amp;":AK100"))&gt;0)
            *(INDIRECT("'シフト一覧（転載）'!"&amp;BK16&amp;":AK100")&lt;&gt;"休み"),
            1,0),0)+1,4),0),"")</f>
        <v>0</v>
      </c>
      <c r="BN16" s="20">
        <f t="array" aca="1" ref="BN16" ca="1">IFERROR(IF(BM16&lt;&gt;"",IF(BM16&lt;&gt;0,INDEX(
INDIRECT("'シフト一覧（転載）'!"&amp;BM16&amp;":AK100"),1,
MATCH(1,INDEX((LEN(INDIRECT("'シフト一覧（転載）'!"&amp;BM16&amp;":AK100"))&gt;0)
*(INDIRECT("'シフト一覧（転載）'!"&amp;BM16&amp;":AK100")&lt;&gt;"休み"),1,0),0)),0),""),$F$9&amp;"保育無し")</f>
        <v>0</v>
      </c>
      <c r="BO16" s="20">
        <f t="array" aca="1" ref="BO16" ca="1">IFERROR(IF(BM16&lt;&gt;0,ADDRESS(ROW(INDIRECT(BM16)),
    COLUMN(INDIRECT(BM16)) - 1 +
    MATCH(1,INDEX((LEN(INDIRECT("'シフト一覧（転載）'!"&amp;BM16&amp;":AK100"))&gt;0)
            *(INDIRECT("'シフト一覧（転載）'!"&amp;BM16&amp;":AK100")&lt;&gt;"休み"),
            1,0),0)+1,4),0),"")</f>
        <v>0</v>
      </c>
      <c r="BP16" s="20">
        <f t="array" aca="1" ref="BP16" ca="1">IFERROR(IF(BO16&lt;&gt;"",IF(BO16&lt;&gt;0,INDEX(
INDIRECT("'シフト一覧（転載）'!"&amp;BO16&amp;":AK100"),1,
MATCH(1,INDEX((LEN(INDIRECT("'シフト一覧（転載）'!"&amp;BO16&amp;":AK100"))&gt;0)
*(INDIRECT("'シフト一覧（転載）'!"&amp;BO16&amp;":AK100")&lt;&gt;"休み"),1,0),0)),0),""),$F$9&amp;"保育無し")</f>
        <v>0</v>
      </c>
      <c r="BQ16" s="20">
        <f t="array" aca="1" ref="BQ16" ca="1">IFERROR(IF(BO16&lt;&gt;0,ADDRESS(ROW(INDIRECT(BO16)),
    COLUMN(INDIRECT(BO16)) - 1 +
    MATCH(1,INDEX((LEN(INDIRECT("'シフト一覧（転載）'!"&amp;BO16&amp;":AK100"))&gt;0)
            *(INDIRECT("'シフト一覧（転載）'!"&amp;BO16&amp;":AK100")&lt;&gt;"休み"),
            1,0),0)+1,4),0),"")</f>
        <v>0</v>
      </c>
      <c r="BR16" s="20">
        <f t="array" aca="1" ref="BR16" ca="1">IFERROR(IF(BQ16&lt;&gt;"",IF(BQ16&lt;&gt;0,INDEX(
INDIRECT("'シフト一覧（転載）'!"&amp;BQ16&amp;":AK100"),1,
MATCH(1,INDEX((LEN(INDIRECT("'シフト一覧（転載）'!"&amp;BQ16&amp;":AK100"))&gt;0)
*(INDIRECT("'シフト一覧（転載）'!"&amp;BQ16&amp;":AK100")&lt;&gt;"休み"),1,0),0)),0),""),$F$9&amp;"保育無し")</f>
        <v>0</v>
      </c>
      <c r="BS16" s="20">
        <f t="array" aca="1" ref="BS16" ca="1">IFERROR(IF(BQ16&lt;&gt;0,ADDRESS(ROW(INDIRECT(BQ16)),
    COLUMN(INDIRECT(BQ16)) - 1 +
    MATCH(1,INDEX((LEN(INDIRECT("'シフト一覧（転載）'!"&amp;BQ16&amp;":AK100"))&gt;0)
            *(INDIRECT("'シフト一覧（転載）'!"&amp;BQ16&amp;":AK100")&lt;&gt;"休み"),
            1,0),0)+1,4),0),"")</f>
        <v>0</v>
      </c>
      <c r="BT16" s="20">
        <f t="array" aca="1" ref="BT16" ca="1">IFERROR(IF(BS16&lt;&gt;"",IF(BS16&lt;&gt;0,INDEX(
INDIRECT("'シフト一覧（転載）'!"&amp;BS16&amp;":AK100"),1,
MATCH(1,INDEX((LEN(INDIRECT("'シフト一覧（転載）'!"&amp;BS16&amp;":AK100"))&gt;0)
*(INDIRECT("'シフト一覧（転載）'!"&amp;BS16&amp;":AK100")&lt;&gt;"休み"),1,0),0)),0),""),$F$9&amp;"保育無し")</f>
        <v>0</v>
      </c>
      <c r="BU16" s="20">
        <f t="array" aca="1" ref="BU16" ca="1">IFERROR(IF(BS16&lt;&gt;0,ADDRESS(ROW(INDIRECT(BS16)),
    COLUMN(INDIRECT(BS16)) - 1 +
    MATCH(1,INDEX((LEN(INDIRECT("'シフト一覧（転載）'!"&amp;BS16&amp;":AK100"))&gt;0)
            *(INDIRECT("'シフト一覧（転載）'!"&amp;BS16&amp;":AK100")&lt;&gt;"休み"),
            1,0),0)+1,4),0),"")</f>
        <v>0</v>
      </c>
      <c r="BV16" s="20">
        <f t="array" aca="1" ref="BV16" ca="1">IFERROR(IF(BU16&lt;&gt;"",IF(BU16&lt;&gt;0,INDEX(
INDIRECT("'シフト一覧（転載）'!"&amp;BU16&amp;":AK100"),1,
MATCH(1,INDEX((LEN(INDIRECT("'シフト一覧（転載）'!"&amp;BU16&amp;":AK100"))&gt;0)
*(INDIRECT("'シフト一覧（転載）'!"&amp;BU16&amp;":AK100")&lt;&gt;"休み"),1,0),0)),0),""),$F$9&amp;"保育無し")</f>
        <v>0</v>
      </c>
      <c r="BW16" s="20">
        <f t="array" aca="1" ref="BW16" ca="1">IFERROR(IF(BU16&lt;&gt;0,ADDRESS(ROW(INDIRECT(BU16)),
    COLUMN(INDIRECT(BU16)) - 1 +
    MATCH(1,INDEX((LEN(INDIRECT("'シフト一覧（転載）'!"&amp;BU16&amp;":AK100"))&gt;0)
            *(INDIRECT("'シフト一覧（転載）'!"&amp;BU16&amp;":AK100")&lt;&gt;"休み"),
            1,0),0)+1,4),0),"")</f>
        <v>0</v>
      </c>
      <c r="BX16" s="20">
        <f t="array" aca="1" ref="BX16" ca="1">IFERROR(IF(BW16&lt;&gt;"",IF(BW16&lt;&gt;0,INDEX(
INDIRECT("'シフト一覧（転載）'!"&amp;BW16&amp;":AK100"),1,
MATCH(1,INDEX((LEN(INDIRECT("'シフト一覧（転載）'!"&amp;BW16&amp;":AK100"))&gt;0)
*(INDIRECT("'シフト一覧（転載）'!"&amp;BW16&amp;":AK100")&lt;&gt;"休み"),1,0),0)),0),""),$F$9&amp;"保育無し")</f>
        <v>0</v>
      </c>
      <c r="BY16" s="20">
        <f t="array" aca="1" ref="BY16" ca="1">IFERROR(IF(BW16&lt;&gt;0,ADDRESS(ROW(INDIRECT(BW16)),
    COLUMN(INDIRECT(BW16)) - 1 +
    MATCH(1,INDEX((LEN(INDIRECT("'シフト一覧（転載）'!"&amp;BW16&amp;":AK100"))&gt;0)
            *(INDIRECT("'シフト一覧（転載）'!"&amp;BW16&amp;":AK100")&lt;&gt;"休み"),
            1,0),0)+1,4),0),"")</f>
        <v>0</v>
      </c>
    </row>
    <row r="17" spans="1:77" ht="19.8" customHeight="1" x14ac:dyDescent="0.2">
      <c r="A17" s="43">
        <f>IF(A16&lt;&gt;0,IF($B$9&gt;A16,A16+1,0),0)</f>
        <v>6</v>
      </c>
      <c r="B17" s="48" t="str" cm="1">
        <f t="array" aca="1" ref="B17" ca="1">IFERROR(_xlfn.TEXTJOIN("", TRUE, IF(ISERR(MID(INDIRECT("'Page_" &amp; A17 &amp; "'!C2"), ROW(INDIRECT("1:" &amp; LEN(INDIRECT("'Page_" &amp; A17 &amp; "'!C2")))), 1)*1), MID(INDIRECT("'Page_" &amp; A17 &amp; "'!C2"), ROW(INDIRECT("1:" &amp; LEN(INDIRECT("'Page_" &amp; A17 &amp; "'!C2")))), 1), "")),"")</f>
        <v>大中</v>
      </c>
      <c r="C17" s="49" t="str" cm="1">
        <f t="array" aca="1" ref="C17" ca="1">IFERROR(IF(INDIRECT("'Page_" &amp; A17 &amp; "'!E2")&lt;&gt;"",INDIRECT("'Page_" &amp; A17 &amp; "'!E2"),INDIRECT("'Page_" &amp; A17 &amp; "'!D2")),"")</f>
        <v>章子</v>
      </c>
      <c r="D17" s="58" t="str" cm="1">
        <f t="array" aca="1" ref="D17" ca="1">IFERROR(IF(INDIRECT("'Page_" &amp; A17 &amp; "'!Q3")&lt;&gt;"",INDIRECT("'Page_" &amp; A17 &amp; "'!Q3"),INDIRECT("'Page_" &amp; A17 &amp; "'!P3")),"")</f>
        <v>パート(雇保有)・保育士</v>
      </c>
      <c r="E17" s="39">
        <f t="shared" ca="1" si="2"/>
        <v>0</v>
      </c>
      <c r="F17" s="28">
        <f t="shared" ca="1" si="3"/>
        <v>81.25</v>
      </c>
      <c r="G17" s="25">
        <f t="shared" ca="1" si="0"/>
        <v>81.25</v>
      </c>
      <c r="H17" s="63" t="str" cm="1">
        <f t="array" aca="1" ref="H17" ca="1">IF(B17&lt;&gt;"",IFERROR(INDEX('シフト一覧（転載）'!$C$8:$C$100,
MATCH(1, (ISNUMBER(SEARCH(B17,'シフト一覧（転載）'!$A$8:$A$100)))
*(ISNUMBER(SEARCH($F$9,'シフト一覧（転載）'!$B$8:$B$100))), 0)),""),"")</f>
        <v/>
      </c>
      <c r="I17" s="54">
        <f t="shared" ca="1" si="1"/>
        <v>0</v>
      </c>
      <c r="J17" s="25" cm="1">
        <f t="array" aca="1" ref="J17" ca="1">IF(B17&lt;&gt;"",IFERROR(SUM(INDIRECT("'Page_" &amp; A17 &amp; "'!K"&amp;MATCH("有休",INDIRECT("'Page_" &amp; A17 &amp; "'!K:K"),0)+2&amp;"")
+INDIRECT("'Page_" &amp; A17 &amp; "'!L"&amp;MATCH("特休",INDIRECT("'Page_" &amp; A17 &amp; "'!L:L"),0)+2&amp;""))*24,0),"")</f>
        <v>0</v>
      </c>
      <c r="K17" s="59"/>
      <c r="M17" s="104"/>
      <c r="N17" s="102"/>
      <c r="O17" s="107"/>
      <c r="P17" s="21">
        <f t="array" aca="1" ref="P17" ca="1">IFERROR(IF(M16&lt;&gt;"",INDEX('シフト一覧（転載）'!$F$8:$AK$100,
    MATCH(1,(ISNUMBER(SEARCH(M16,'シフト一覧（転載）'!$A$8:$A$100)))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MATCH(1,(ISNUMBER(SEARCH(M16,'シフト一覧（転載）'!$A$8:$A$100)))
                *(ISNUMBER(SEARCH($F$9,'シフト一覧（転載）'!$B$8:$B$100))),
                0),0),0)),0),"")</f>
        <v>0</v>
      </c>
      <c r="Q17" s="21">
        <f ca="1">IF(P16=0,0,
IF(OR(P16="",COUNTIF(P16,"*保育無し*")),"",
IF(MOD(P17-P16,1)*24&gt;=8,1,
IF(MOD(P17-P16,1)*24&gt;=6,0.75,0))))</f>
        <v>0</v>
      </c>
      <c r="R17" s="21">
        <f t="array" aca="1" ref="R17" ca="1">IFERROR(IF(Q16&lt;&gt;0,INDEX(
INDIRECT("'シフト一覧（転載）'!"&amp;Q16&amp;":AK100"),1+1,
MATCH(1,INDEX((LEN(INDIRECT("'シフト一覧（転載）'!"&amp;Q16&amp;":AK100"))&gt;0)
*(INDIRECT("'シフト一覧（転載）'!"&amp;Q16&amp;":AK100")&lt;&gt;"休み"),1,0),0)),0),"")</f>
        <v>0</v>
      </c>
      <c r="S17" s="21">
        <f ca="1">IF(R16=0,0,
IF(OR(R16="",COUNTIF(R16,"*保育無し*")),"",
IF(MOD(R17-R16,1)*24&gt;=8,1,
IF(MOD(R17-R16,1)*24&gt;=6,0.75,0))))</f>
        <v>0</v>
      </c>
      <c r="T17" s="21">
        <f t="array" aca="1" ref="T17" ca="1">IFERROR(IF(S16&lt;&gt;0,INDEX(
INDIRECT("'シフト一覧（転載）'!"&amp;S16&amp;":AK100"),1+1,
MATCH(1,INDEX((LEN(INDIRECT("'シフト一覧（転載）'!"&amp;S16&amp;":AK100"))&gt;0)
*(INDIRECT("'シフト一覧（転載）'!"&amp;S16&amp;":AK100")&lt;&gt;"休み"),1,0),0)),0),"")</f>
        <v>0</v>
      </c>
      <c r="U17" s="21">
        <f ca="1">IF(T16=0,0,
IF(OR(T16="",COUNTIF(T16,"*保育無し*")),"",
IF(MOD(T17-T16,1)*24&gt;=8,1,
IF(MOD(T17-T16,1)*24&gt;=6,0.75,0))))</f>
        <v>0</v>
      </c>
      <c r="V17" s="21">
        <f t="array" aca="1" ref="V17" ca="1">IFERROR(IF(U16&lt;&gt;0,INDEX(
INDIRECT("'シフト一覧（転載）'!"&amp;U16&amp;":AK100"),1+1,
MATCH(1,INDEX((LEN(INDIRECT("'シフト一覧（転載）'!"&amp;U16&amp;":AK100"))&gt;0)
*(INDIRECT("'シフト一覧（転載）'!"&amp;U16&amp;":AK100")&lt;&gt;"休み"),1,0),0)),0),"")</f>
        <v>0</v>
      </c>
      <c r="W17" s="21">
        <f ca="1">IF(V16=0,0,
IF(OR(V16="",COUNTIF(V16,"*保育無し*")),"",
IF(MOD(V17-V16,1)*24&gt;=8,1,
IF(MOD(V17-V16,1)*24&gt;=6,0.75,0))))</f>
        <v>0</v>
      </c>
      <c r="X17" s="21">
        <f t="array" aca="1" ref="X17" ca="1">IFERROR(IF(W16&lt;&gt;0,INDEX(
INDIRECT("'シフト一覧（転載）'!"&amp;W16&amp;":AK100"),1+1,
MATCH(1,INDEX((LEN(INDIRECT("'シフト一覧（転載）'!"&amp;W16&amp;":AK100"))&gt;0)
*(INDIRECT("'シフト一覧（転載）'!"&amp;W16&amp;":AK100")&lt;&gt;"休み"),1,0),0)),0),"")</f>
        <v>0</v>
      </c>
      <c r="Y17" s="21">
        <f ca="1">IF(X16=0,0,
IF(OR(X16="",COUNTIF(X16,"*保育無し*")),"",
IF(MOD(X17-X16,1)*24&gt;=8,1,
IF(MOD(X17-X16,1)*24&gt;=6,0.75,0))))</f>
        <v>0</v>
      </c>
      <c r="Z17" s="21">
        <f t="array" aca="1" ref="Z17" ca="1">IFERROR(IF(Y16&lt;&gt;0,INDEX(
INDIRECT("'シフト一覧（転載）'!"&amp;Y16&amp;":AK100"),1+1,
MATCH(1,INDEX((LEN(INDIRECT("'シフト一覧（転載）'!"&amp;Y16&amp;":AK100"))&gt;0)
*(INDIRECT("'シフト一覧（転載）'!"&amp;Y16&amp;":AK100")&lt;&gt;"休み"),1,0),0)),0),"")</f>
        <v>0</v>
      </c>
      <c r="AA17" s="21">
        <f ca="1">IF(Z16=0,0,
IF(OR(Z16="",COUNTIF(Z16,"*保育無し*")),"",
IF(MOD(Z17-Z16,1)*24&gt;=8,1,
IF(MOD(Z17-Z16,1)*24&gt;=6,0.75,0))))</f>
        <v>0</v>
      </c>
      <c r="AB17" s="21">
        <f t="array" aca="1" ref="AB17" ca="1">IFERROR(IF(AA16&lt;&gt;0,INDEX(
INDIRECT("'シフト一覧（転載）'!"&amp;AA16&amp;":AK100"),1+1,
MATCH(1,INDEX((LEN(INDIRECT("'シフト一覧（転載）'!"&amp;AA16&amp;":AK100"))&gt;0)
*(INDIRECT("'シフト一覧（転載）'!"&amp;AA16&amp;":AK100")&lt;&gt;"休み"),1,0),0)),0),"")</f>
        <v>0</v>
      </c>
      <c r="AC17" s="21">
        <f ca="1">IF(AB16=0,0,
IF(OR(AB16="",COUNTIF(AB16,"*保育無し*")),"",
IF(MOD(AB17-AB16,1)*24&gt;=8,1,
IF(MOD(AB17-AB16,1)*24&gt;=6,0.75,0))))</f>
        <v>0</v>
      </c>
      <c r="AD17" s="21">
        <f t="array" aca="1" ref="AD17" ca="1">IFERROR(IF(AC16&lt;&gt;0,INDEX(
INDIRECT("'シフト一覧（転載）'!"&amp;AC16&amp;":AK100"),1+1,
MATCH(1,INDEX((LEN(INDIRECT("'シフト一覧（転載）'!"&amp;AC16&amp;":AK100"))&gt;0)
*(INDIRECT("'シフト一覧（転載）'!"&amp;AC16&amp;":AK100")&lt;&gt;"休み"),1,0),0)),0),"")</f>
        <v>0</v>
      </c>
      <c r="AE17" s="21">
        <f ca="1">IF(AD16=0,0,
IF(OR(AD16="",COUNTIF(AD16,"*保育無し*")),"",
IF(MOD(AD17-AD16,1)*24&gt;=8,1,
IF(MOD(AD17-AD16,1)*24&gt;=6,0.75,0))))</f>
        <v>0</v>
      </c>
      <c r="AF17" s="21">
        <f t="array" aca="1" ref="AF17" ca="1">IFERROR(IF(AE16&lt;&gt;0,INDEX(
INDIRECT("'シフト一覧（転載）'!"&amp;AE16&amp;":AK100"),1+1,
MATCH(1,INDEX((LEN(INDIRECT("'シフト一覧（転載）'!"&amp;AE16&amp;":AK100"))&gt;0)
*(INDIRECT("'シフト一覧（転載）'!"&amp;AE16&amp;":AK100")&lt;&gt;"休み"),1,0),0)),0),"")</f>
        <v>0</v>
      </c>
      <c r="AG17" s="21">
        <f ca="1">IF(AF16=0,0,
IF(OR(AF16="",COUNTIF(AF16,"*保育無し*")),"",
IF(MOD(AF17-AF16,1)*24&gt;=8,1,
IF(MOD(AF17-AF16,1)*24&gt;=6,0.75,0))))</f>
        <v>0</v>
      </c>
      <c r="AH17" s="21">
        <f t="array" aca="1" ref="AH17" ca="1">IFERROR(IF(AG16&lt;&gt;0,INDEX(
INDIRECT("'シフト一覧（転載）'!"&amp;AG16&amp;":AK100"),1+1,
MATCH(1,INDEX((LEN(INDIRECT("'シフト一覧（転載）'!"&amp;AG16&amp;":AK100"))&gt;0)
*(INDIRECT("'シフト一覧（転載）'!"&amp;AG16&amp;":AK100")&lt;&gt;"休み"),1,0),0)),0),"")</f>
        <v>0</v>
      </c>
      <c r="AI17" s="21">
        <f ca="1">IF(AH16=0,0,
IF(OR(AH16="",COUNTIF(AH16,"*保育無し*")),"",
IF(MOD(AH17-AH16,1)*24&gt;=8,1,
IF(MOD(AH17-AH16,1)*24&gt;=6,0.75,0))))</f>
        <v>0</v>
      </c>
      <c r="AJ17" s="21">
        <f t="array" aca="1" ref="AJ17" ca="1">IFERROR(IF(AI16&lt;&gt;0,INDEX(
INDIRECT("'シフト一覧（転載）'!"&amp;AI16&amp;":AK100"),1+1,
MATCH(1,INDEX((LEN(INDIRECT("'シフト一覧（転載）'!"&amp;AI16&amp;":AK100"))&gt;0)
*(INDIRECT("'シフト一覧（転載）'!"&amp;AI16&amp;":AK100")&lt;&gt;"休み"),1,0),0)),0),"")</f>
        <v>0</v>
      </c>
      <c r="AK17" s="21">
        <f ca="1">IF(AJ16=0,0,
IF(OR(AJ16="",COUNTIF(AJ16,"*保育無し*")),"",
IF(MOD(AJ17-AJ16,1)*24&gt;=8,1,
IF(MOD(AJ17-AJ16,1)*24&gt;=6,0.75,0))))</f>
        <v>0</v>
      </c>
      <c r="AL17" s="21">
        <f t="array" aca="1" ref="AL17" ca="1">IFERROR(IF(AK16&lt;&gt;0,INDEX(
INDIRECT("'シフト一覧（転載）'!"&amp;AK16&amp;":AK100"),1+1,
MATCH(1,INDEX((LEN(INDIRECT("'シフト一覧（転載）'!"&amp;AK16&amp;":AK100"))&gt;0)
*(INDIRECT("'シフト一覧（転載）'!"&amp;AK16&amp;":AK100")&lt;&gt;"休み"),1,0),0)),0),"")</f>
        <v>0</v>
      </c>
      <c r="AM17" s="21">
        <f ca="1">IF(AL16=0,0,
IF(OR(AL16="",COUNTIF(AL16,"*保育無し*")),"",
IF(MOD(AL17-AL16,1)*24&gt;=8,1,
IF(MOD(AL17-AL16,1)*24&gt;=6,0.75,0))))</f>
        <v>0</v>
      </c>
      <c r="AN17" s="21">
        <f t="array" aca="1" ref="AN17" ca="1">IFERROR(IF(AM16&lt;&gt;0,INDEX(
INDIRECT("'シフト一覧（転載）'!"&amp;AM16&amp;":AK100"),1+1,
MATCH(1,INDEX((LEN(INDIRECT("'シフト一覧（転載）'!"&amp;AM16&amp;":AK100"))&gt;0)
*(INDIRECT("'シフト一覧（転載）'!"&amp;AM16&amp;":AK100")&lt;&gt;"休み"),1,0),0)),0),"")</f>
        <v>0</v>
      </c>
      <c r="AO17" s="21">
        <f ca="1">IF(AN16=0,0,
IF(OR(AN16="",COUNTIF(AN16,"*保育無し*")),"",
IF(MOD(AN17-AN16,1)*24&gt;=8,1,
IF(MOD(AN17-AN16,1)*24&gt;=6,0.75,0))))</f>
        <v>0</v>
      </c>
      <c r="AP17" s="21">
        <f t="array" aca="1" ref="AP17" ca="1">IFERROR(IF(AO16&lt;&gt;0,INDEX(
INDIRECT("'シフト一覧（転載）'!"&amp;AO16&amp;":AK100"),1+1,
MATCH(1,INDEX((LEN(INDIRECT("'シフト一覧（転載）'!"&amp;AO16&amp;":AK100"))&gt;0)
*(INDIRECT("'シフト一覧（転載）'!"&amp;AO16&amp;":AK100")&lt;&gt;"休み"),1,0),0)),0),"")</f>
        <v>0</v>
      </c>
      <c r="AQ17" s="21">
        <f ca="1">IF(AP16=0,0,
IF(OR(AP16="",COUNTIF(AP16,"*保育無し*")),"",
IF(MOD(AP17-AP16,1)*24&gt;=8,1,
IF(MOD(AP17-AP16,1)*24&gt;=6,0.75,0))))</f>
        <v>0</v>
      </c>
      <c r="AR17" s="21">
        <f t="array" aca="1" ref="AR17" ca="1">IFERROR(IF(AQ16&lt;&gt;0,INDEX(
INDIRECT("'シフト一覧（転載）'!"&amp;AQ16&amp;":AK100"),1+1,
MATCH(1,INDEX((LEN(INDIRECT("'シフト一覧（転載）'!"&amp;AQ16&amp;":AK100"))&gt;0)
*(INDIRECT("'シフト一覧（転載）'!"&amp;AQ16&amp;":AK100")&lt;&gt;"休み"),1,0),0)),0),"")</f>
        <v>0</v>
      </c>
      <c r="AS17" s="21">
        <f ca="1">IF(AR16=0,0,
IF(OR(AR16="",COUNTIF(AR16,"*保育無し*")),"",
IF(MOD(AR17-AR16,1)*24&gt;=8,1,
IF(MOD(AR17-AR16,1)*24&gt;=6,0.75,0))))</f>
        <v>0</v>
      </c>
      <c r="AT17" s="21">
        <f t="array" aca="1" ref="AT17" ca="1">IFERROR(IF(AS16&lt;&gt;0,INDEX(
INDIRECT("'シフト一覧（転載）'!"&amp;AS16&amp;":AK100"),1+1,
MATCH(1,INDEX((LEN(INDIRECT("'シフト一覧（転載）'!"&amp;AS16&amp;":AK100"))&gt;0)
*(INDIRECT("'シフト一覧（転載）'!"&amp;AS16&amp;":AK100")&lt;&gt;"休み"),1,0),0)),0),"")</f>
        <v>0</v>
      </c>
      <c r="AU17" s="21">
        <f ca="1">IF(AT16=0,0,
IF(OR(AT16="",COUNTIF(AT16,"*保育無し*")),"",
IF(MOD(AT17-AT16,1)*24&gt;=8,1,
IF(MOD(AT17-AT16,1)*24&gt;=6,0.75,0))))</f>
        <v>0</v>
      </c>
      <c r="AV17" s="21">
        <f t="array" aca="1" ref="AV17" ca="1">IFERROR(IF(AU16&lt;&gt;0,INDEX(
INDIRECT("'シフト一覧（転載）'!"&amp;AU16&amp;":AK100"),1+1,
MATCH(1,INDEX((LEN(INDIRECT("'シフト一覧（転載）'!"&amp;AU16&amp;":AK100"))&gt;0)
*(INDIRECT("'シフト一覧（転載）'!"&amp;AU16&amp;":AK100")&lt;&gt;"休み"),1,0),0)),0),"")</f>
        <v>0</v>
      </c>
      <c r="AW17" s="21">
        <f ca="1">IF(AV16=0,0,
IF(OR(AV16="",COUNTIF(AV16,"*保育無し*")),"",
IF(MOD(AV17-AV16,1)*24&gt;=8,1,
IF(MOD(AV17-AV16,1)*24&gt;=6,0.75,0))))</f>
        <v>0</v>
      </c>
      <c r="AX17" s="21">
        <f t="array" aca="1" ref="AX17" ca="1">IFERROR(IF(AW16&lt;&gt;0,INDEX(
INDIRECT("'シフト一覧（転載）'!"&amp;AW16&amp;":AK100"),1+1,
MATCH(1,INDEX((LEN(INDIRECT("'シフト一覧（転載）'!"&amp;AW16&amp;":AK100"))&gt;0)
*(INDIRECT("'シフト一覧（転載）'!"&amp;AW16&amp;":AK100")&lt;&gt;"休み"),1,0),0)),0),"")</f>
        <v>0</v>
      </c>
      <c r="AY17" s="21">
        <f ca="1">IF(AX16=0,0,
IF(OR(AX16="",COUNTIF(AX16,"*保育無し*")),"",
IF(MOD(AX17-AX16,1)*24&gt;=8,1,
IF(MOD(AX17-AX16,1)*24&gt;=6,0.75,0))))</f>
        <v>0</v>
      </c>
      <c r="AZ17" s="21">
        <f t="array" aca="1" ref="AZ17" ca="1">IFERROR(IF(AY16&lt;&gt;0,INDEX(
INDIRECT("'シフト一覧（転載）'!"&amp;AY16&amp;":AK100"),1+1,
MATCH(1,INDEX((LEN(INDIRECT("'シフト一覧（転載）'!"&amp;AY16&amp;":AK100"))&gt;0)
*(INDIRECT("'シフト一覧（転載）'!"&amp;AY16&amp;":AK100")&lt;&gt;"休み"),1,0),0)),0),"")</f>
        <v>0</v>
      </c>
      <c r="BA17" s="21">
        <f ca="1">IF(AZ16=0,0,
IF(OR(AZ16="",COUNTIF(AZ16,"*保育無し*")),"",
IF(MOD(AZ17-AZ16,1)*24&gt;=8,1,
IF(MOD(AZ17-AZ16,1)*24&gt;=6,0.75,0))))</f>
        <v>0</v>
      </c>
      <c r="BB17" s="21">
        <f t="array" aca="1" ref="BB17" ca="1">IFERROR(IF(BA16&lt;&gt;0,INDEX(
INDIRECT("'シフト一覧（転載）'!"&amp;BA16&amp;":AK100"),1+1,
MATCH(1,INDEX((LEN(INDIRECT("'シフト一覧（転載）'!"&amp;BA16&amp;":AK100"))&gt;0)
*(INDIRECT("'シフト一覧（転載）'!"&amp;BA16&amp;":AK100")&lt;&gt;"休み"),1,0),0)),0),"")</f>
        <v>0</v>
      </c>
      <c r="BC17" s="21">
        <f ca="1">IF(BB16=0,0,
IF(OR(BB16="",COUNTIF(BB16,"*保育無し*")),"",
IF(MOD(BB17-BB16,1)*24&gt;=8,1,
IF(MOD(BB17-BB16,1)*24&gt;=6,0.75,0))))</f>
        <v>0</v>
      </c>
      <c r="BD17" s="21">
        <f t="array" aca="1" ref="BD17" ca="1">IFERROR(IF(BC16&lt;&gt;0,INDEX(
INDIRECT("'シフト一覧（転載）'!"&amp;BC16&amp;":AK100"),1+1,
MATCH(1,INDEX((LEN(INDIRECT("'シフト一覧（転載）'!"&amp;BC16&amp;":AK100"))&gt;0)
*(INDIRECT("'シフト一覧（転載）'!"&amp;BC16&amp;":AK100")&lt;&gt;"休み"),1,0),0)),0),"")</f>
        <v>0</v>
      </c>
      <c r="BE17" s="21">
        <f ca="1">IF(BD16=0,0,
IF(OR(BD16="",COUNTIF(BD16,"*保育無し*")),"",
IF(MOD(BD17-BD16,1)*24&gt;=8,1,
IF(MOD(BD17-BD16,1)*24&gt;=6,0.75,0))))</f>
        <v>0</v>
      </c>
      <c r="BF17" s="21">
        <f t="array" aca="1" ref="BF17" ca="1">IFERROR(IF(BE16&lt;&gt;0,INDEX(
INDIRECT("'シフト一覧（転載）'!"&amp;BE16&amp;":AK100"),1+1,
MATCH(1,INDEX((LEN(INDIRECT("'シフト一覧（転載）'!"&amp;BE16&amp;":AK100"))&gt;0)
*(INDIRECT("'シフト一覧（転載）'!"&amp;BE16&amp;":AK100")&lt;&gt;"休み"),1,0),0)),0),"")</f>
        <v>0</v>
      </c>
      <c r="BG17" s="21">
        <f ca="1">IF(BF16=0,0,
IF(OR(BF16="",COUNTIF(BF16,"*保育無し*")),"",
IF(MOD(BF17-BF16,1)*24&gt;=8,1,
IF(MOD(BF17-BF16,1)*24&gt;=6,0.75,0))))</f>
        <v>0</v>
      </c>
      <c r="BH17" s="21">
        <f t="array" aca="1" ref="BH17" ca="1">IFERROR(IF(BG16&lt;&gt;0,INDEX(
INDIRECT("'シフト一覧（転載）'!"&amp;BG16&amp;":AK100"),1+1,
MATCH(1,INDEX((LEN(INDIRECT("'シフト一覧（転載）'!"&amp;BG16&amp;":AK100"))&gt;0)
*(INDIRECT("'シフト一覧（転載）'!"&amp;BG16&amp;":AK100")&lt;&gt;"休み"),1,0),0)),0),"")</f>
        <v>0</v>
      </c>
      <c r="BI17" s="21">
        <f ca="1">IF(BH16=0,0,
IF(OR(BH16="",COUNTIF(BH16,"*保育無し*")),"",
IF(MOD(BH17-BH16,1)*24&gt;=8,1,
IF(MOD(BH17-BH16,1)*24&gt;=6,0.75,0))))</f>
        <v>0</v>
      </c>
      <c r="BJ17" s="21">
        <f t="array" aca="1" ref="BJ17" ca="1">IFERROR(IF(BI16&lt;&gt;0,INDEX(
INDIRECT("'シフト一覧（転載）'!"&amp;BI16&amp;":AK100"),1+1,
MATCH(1,INDEX((LEN(INDIRECT("'シフト一覧（転載）'!"&amp;BI16&amp;":AK100"))&gt;0)
*(INDIRECT("'シフト一覧（転載）'!"&amp;BI16&amp;":AK100")&lt;&gt;"休み"),1,0),0)),0),"")</f>
        <v>0</v>
      </c>
      <c r="BK17" s="21">
        <f ca="1">IF(BJ16=0,0,
IF(OR(BJ16="",COUNTIF(BJ16,"*保育無し*")),"",
IF(MOD(BJ17-BJ16,1)*24&gt;=8,1,
IF(MOD(BJ17-BJ16,1)*24&gt;=6,0.75,0))))</f>
        <v>0</v>
      </c>
      <c r="BL17" s="21">
        <f t="array" aca="1" ref="BL17" ca="1">IFERROR(IF(BK16&lt;&gt;0,INDEX(
INDIRECT("'シフト一覧（転載）'!"&amp;BK16&amp;":AK100"),1+1,
MATCH(1,INDEX((LEN(INDIRECT("'シフト一覧（転載）'!"&amp;BK16&amp;":AK100"))&gt;0)
*(INDIRECT("'シフト一覧（転載）'!"&amp;BK16&amp;":AK100")&lt;&gt;"休み"),1,0),0)),0),"")</f>
        <v>0</v>
      </c>
      <c r="BM17" s="21">
        <f ca="1">IF(BL16=0,0,
IF(OR(BL16="",COUNTIF(BL16,"*保育無し*")),"",
IF(MOD(BL17-BL16,1)*24&gt;=8,1,
IF(MOD(BL17-BL16,1)*24&gt;=6,0.75,0))))</f>
        <v>0</v>
      </c>
      <c r="BN17" s="21">
        <f t="array" aca="1" ref="BN17" ca="1">IFERROR(IF(BM16&lt;&gt;0,INDEX(
INDIRECT("'シフト一覧（転載）'!"&amp;BM16&amp;":AK100"),1+1,
MATCH(1,INDEX((LEN(INDIRECT("'シフト一覧（転載）'!"&amp;BM16&amp;":AK100"))&gt;0)
*(INDIRECT("'シフト一覧（転載）'!"&amp;BM16&amp;":AK100")&lt;&gt;"休み"),1,0),0)),0),"")</f>
        <v>0</v>
      </c>
      <c r="BO17" s="21">
        <f ca="1">IF(BN16=0,0,
IF(OR(BN16="",COUNTIF(BN16,"*保育無し*")),"",
IF(MOD(BN17-BN16,1)*24&gt;=8,1,
IF(MOD(BN17-BN16,1)*24&gt;=6,0.75,0))))</f>
        <v>0</v>
      </c>
      <c r="BP17" s="21">
        <f t="array" aca="1" ref="BP17" ca="1">IFERROR(IF(BO16&lt;&gt;0,INDEX(
INDIRECT("'シフト一覧（転載）'!"&amp;BO16&amp;":AK100"),1+1,
MATCH(1,INDEX((LEN(INDIRECT("'シフト一覧（転載）'!"&amp;BO16&amp;":AK100"))&gt;0)
*(INDIRECT("'シフト一覧（転載）'!"&amp;BO16&amp;":AK100")&lt;&gt;"休み"),1,0),0)),0),"")</f>
        <v>0</v>
      </c>
      <c r="BQ17" s="21">
        <f ca="1">IF(BP16=0,0,
IF(OR(BP16="",COUNTIF(BP16,"*保育無し*")),"",
IF(MOD(BP17-BP16,1)*24&gt;=8,1,
IF(MOD(BP17-BP16,1)*24&gt;=6,0.75,0))))</f>
        <v>0</v>
      </c>
      <c r="BR17" s="21">
        <f t="array" aca="1" ref="BR17" ca="1">IFERROR(IF(BQ16&lt;&gt;0,INDEX(
INDIRECT("'シフト一覧（転載）'!"&amp;BQ16&amp;":AK100"),1+1,
MATCH(1,INDEX((LEN(INDIRECT("'シフト一覧（転載）'!"&amp;BQ16&amp;":AK100"))&gt;0)
*(INDIRECT("'シフト一覧（転載）'!"&amp;BQ16&amp;":AK100")&lt;&gt;"休み"),1,0),0)),0),"")</f>
        <v>0</v>
      </c>
      <c r="BS17" s="21">
        <f ca="1">IF(BR16=0,0,
IF(OR(BR16="",COUNTIF(BR16,"*保育無し*")),"",
IF(MOD(BR17-BR16,1)*24&gt;=8,1,
IF(MOD(BR17-BR16,1)*24&gt;=6,0.75,0))))</f>
        <v>0</v>
      </c>
      <c r="BT17" s="21">
        <f t="array" aca="1" ref="BT17" ca="1">IFERROR(IF(BS16&lt;&gt;0,INDEX(
INDIRECT("'シフト一覧（転載）'!"&amp;BS16&amp;":AK100"),1+1,
MATCH(1,INDEX((LEN(INDIRECT("'シフト一覧（転載）'!"&amp;BS16&amp;":AK100"))&gt;0)
*(INDIRECT("'シフト一覧（転載）'!"&amp;BS16&amp;":AK100")&lt;&gt;"休み"),1,0),0)),0),"")</f>
        <v>0</v>
      </c>
      <c r="BU17" s="21">
        <f ca="1">IF(BT16=0,0,
IF(OR(BT16="",COUNTIF(BT16,"*保育無し*")),"",
IF(MOD(BT17-BT16,1)*24&gt;=8,1,
IF(MOD(BT17-BT16,1)*24&gt;=6,0.75,0))))</f>
        <v>0</v>
      </c>
      <c r="BV17" s="21">
        <f t="array" aca="1" ref="BV17" ca="1">IFERROR(IF(BU16&lt;&gt;0,INDEX(
INDIRECT("'シフト一覧（転載）'!"&amp;BU16&amp;":AK100"),1+1,
MATCH(1,INDEX((LEN(INDIRECT("'シフト一覧（転載）'!"&amp;BU16&amp;":AK100"))&gt;0)
*(INDIRECT("'シフト一覧（転載）'!"&amp;BU16&amp;":AK100")&lt;&gt;"休み"),1,0),0)),0),"")</f>
        <v>0</v>
      </c>
      <c r="BW17" s="21">
        <f ca="1">IF(BV16=0,0,
IF(OR(BV16="",COUNTIF(BV16,"*保育無し*")),"",
IF(MOD(BV17-BV16,1)*24&gt;=8,1,
IF(MOD(BV17-BV16,1)*24&gt;=6,0.75,0))))</f>
        <v>0</v>
      </c>
      <c r="BX17" s="21">
        <f t="array" aca="1" ref="BX17" ca="1">IFERROR(IF(BW16&lt;&gt;0,INDEX(
INDIRECT("'シフト一覧（転載）'!"&amp;BW16&amp;":AK100"),1+1,
MATCH(1,INDEX((LEN(INDIRECT("'シフト一覧（転載）'!"&amp;BW16&amp;":AK100"))&gt;0)
*(INDIRECT("'シフト一覧（転載）'!"&amp;BW16&amp;":AK100")&lt;&gt;"休み"),1,0),0)),0),"")</f>
        <v>0</v>
      </c>
      <c r="BY17" s="21">
        <f ca="1">IF(BX16=0,0,
IF(OR(BX16="",COUNTIF(BX16,"*保育無し*")),"",
IF(MOD(BX17-BX16,1)*24&gt;=8,1,
IF(MOD(BX17-BX16,1)*24&gt;=6,0.75,0))))</f>
        <v>0</v>
      </c>
    </row>
    <row r="18" spans="1:77" ht="19.8" customHeight="1" x14ac:dyDescent="0.2">
      <c r="A18" s="43">
        <f>IF(A17&lt;&gt;0,IF($B$9&gt;A17,A17+1,0),0)</f>
        <v>7</v>
      </c>
      <c r="B18" s="48" t="str" cm="1">
        <f t="array" aca="1" ref="B18" ca="1">IFERROR(_xlfn.TEXTJOIN("", TRUE, IF(ISERR(MID(INDIRECT("'Page_" &amp; A18 &amp; "'!C2"), ROW(INDIRECT("1:" &amp; LEN(INDIRECT("'Page_" &amp; A18 &amp; "'!C2")))), 1)*1), MID(INDIRECT("'Page_" &amp; A18 &amp; "'!C2"), ROW(INDIRECT("1:" &amp; LEN(INDIRECT("'Page_" &amp; A18 &amp; "'!C2")))), 1), "")),"")</f>
        <v>長利</v>
      </c>
      <c r="C18" s="49" t="str" cm="1">
        <f t="array" aca="1" ref="C18" ca="1">IFERROR(IF(INDIRECT("'Page_" &amp; A18 &amp; "'!E2")&lt;&gt;"",INDIRECT("'Page_" &amp; A18 &amp; "'!E2"),INDIRECT("'Page_" &amp; A18 &amp; "'!D2")),"")</f>
        <v>奈々</v>
      </c>
      <c r="D18" s="58" t="str" cm="1">
        <f t="array" aca="1" ref="D18" ca="1">IFERROR(IF(INDIRECT("'Page_" &amp; A18 &amp; "'!Q3")&lt;&gt;"",INDIRECT("'Page_" &amp; A18 &amp; "'!Q3"),INDIRECT("'Page_" &amp; A18 &amp; "'!P3")),"")</f>
        <v>パート(社保 40H以内)・保育士</v>
      </c>
      <c r="E18" s="39">
        <f t="shared" ca="1" si="2"/>
        <v>0</v>
      </c>
      <c r="F18" s="28">
        <f t="shared" ca="1" si="3"/>
        <v>163.5</v>
      </c>
      <c r="G18" s="25">
        <f t="shared" ca="1" si="0"/>
        <v>163.5</v>
      </c>
      <c r="H18" s="63" t="str" cm="1">
        <f t="array" aca="1" ref="H18" ca="1">IF(B18&lt;&gt;"",IFERROR(INDEX('シフト一覧（転載）'!$C$8:$C$100,
MATCH(1, (ISNUMBER(SEARCH(B18,'シフト一覧（転載）'!$A$8:$A$100)))
*(ISNUMBER(SEARCH($F$9,'シフト一覧（転載）'!$B$8:$B$100))), 0)),""),"")</f>
        <v/>
      </c>
      <c r="I18" s="54">
        <f t="shared" ca="1" si="1"/>
        <v>0</v>
      </c>
      <c r="J18" s="25" cm="1">
        <f t="array" aca="1" ref="J18" ca="1">IF(B18&lt;&gt;"",IFERROR(SUM(INDIRECT("'Page_" &amp; A18 &amp; "'!K"&amp;MATCH("有休",INDIRECT("'Page_" &amp; A18 &amp; "'!K:K"),0)+2&amp;"")
+INDIRECT("'Page_" &amp; A18 &amp; "'!L"&amp;MATCH("特休",INDIRECT("'Page_" &amp; A18 &amp; "'!L:L"),0)+2&amp;""))*24,0),"")</f>
        <v>8</v>
      </c>
      <c r="K18" s="59"/>
      <c r="M18" s="103" t="str" cm="1">
        <f t="array" aca="1" ref="M1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18" s="101" t="str">
        <f t="shared" ref="N18" ca="1" si="6">IF(M18&lt;&gt;"",VLOOKUP(M18,$B$12:$C$41,2,FALSE),"")</f>
        <v/>
      </c>
      <c r="O18" s="106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20">
        <f t="array" aca="1" ref="P18" ca="1">IFERROR(IF(M18&lt;&gt;"",INDEX('シフト一覧（転載）'!$F$8:$AK$100,
    MATCH(1,(ISNUMBER(SEARCH(M18,'シフト一覧（転載）'!$A$8:$A$100)))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MATCH(1,(ISNUMBER(SEARCH(M18,'シフト一覧（転載）'!$A$8:$A$100)))
                *(ISNUMBER(SEARCH($F$9,'シフト一覧（転載）'!$B$8:$B$100))),
                0),0),0)),0),$F$9&amp;"保育無し")</f>
        <v>0</v>
      </c>
      <c r="Q18" s="20">
        <f t="array" aca="1" ref="Q18" ca="1">IFERROR(IF(COUNTIF(P18,"*無*"),"",IF(M18&lt;&gt;"",ADDRESS(
    MATCH(1,(ISNUMBER(SEARCH(M18,'シフト一覧（転載）'!$A$8:$A$100)))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MATCH(1,(ISNUMBER(SEARCH(M18,'シフト一覧（転載）'!$A$8:$A$100)))
                *(ISNUMBER(SEARCH($F$9,'シフト一覧（転載）'!$B$8:$B$100))),0),0),0) + 6,4),0)),0)</f>
        <v>0</v>
      </c>
      <c r="R18" s="20">
        <f t="array" aca="1" ref="R18" ca="1">IFERROR(IF(Q18&lt;&gt;"",IF(Q18&lt;&gt;0,INDEX(
INDIRECT("'シフト一覧（転載）'!"&amp;Q18&amp;":AK100"),1,
MATCH(1,INDEX((LEN(INDIRECT("'シフト一覧（転載）'!"&amp;Q18&amp;":AK100"))&gt;0)
*(INDIRECT("'シフト一覧（転載）'!"&amp;Q18&amp;":AK100")&lt;&gt;"休み"),1,0),0)),0),""),$F$9&amp;"保育無し")</f>
        <v>0</v>
      </c>
      <c r="S18" s="20">
        <f t="array" aca="1" ref="S18" ca="1">IFERROR(IF(Q18&lt;&gt;0,ADDRESS(ROW(INDIRECT(Q18)),
    COLUMN(INDIRECT(Q18)) - 1 +
    MATCH(1,INDEX((LEN(INDIRECT("'シフト一覧（転載）'!"&amp;Q18&amp;":AK100"))&gt;0)
            *(INDIRECT("'シフト一覧（転載）'!"&amp;Q18&amp;":AK100")&lt;&gt;"休み"),
            1,0),0)+1,4),0),"")</f>
        <v>0</v>
      </c>
      <c r="T18" s="20">
        <f t="array" aca="1" ref="T18" ca="1">IFERROR(IF(S18&lt;&gt;"",IF(S18&lt;&gt;0,INDEX(
INDIRECT("'シフト一覧（転載）'!"&amp;S18&amp;":AK100"),1,
MATCH(1,INDEX((LEN(INDIRECT("'シフト一覧（転載）'!"&amp;S18&amp;":AK100"))&gt;0)
*(INDIRECT("'シフト一覧（転載）'!"&amp;S18&amp;":AK100")&lt;&gt;"休み"),1,0),0)),0),""),$F$9&amp;"保育無し")</f>
        <v>0</v>
      </c>
      <c r="U18" s="20">
        <f t="array" aca="1" ref="U18" ca="1">IFERROR(IF(S18&lt;&gt;0,ADDRESS(ROW(INDIRECT(S18)),
    COLUMN(INDIRECT(S18)) - 1 +
    MATCH(1,INDEX((LEN(INDIRECT("'シフト一覧（転載）'!"&amp;S18&amp;":AK100"))&gt;0)
            *(INDIRECT("'シフト一覧（転載）'!"&amp;S18&amp;":AK100")&lt;&gt;"休み"),
            1,0),0)+1,4),0),"")</f>
        <v>0</v>
      </c>
      <c r="V18" s="20">
        <f t="array" aca="1" ref="V18" ca="1">IFERROR(IF(U18&lt;&gt;"",IF(U18&lt;&gt;0,INDEX(
INDIRECT("'シフト一覧（転載）'!"&amp;U18&amp;":AK100"),1,
MATCH(1,INDEX((LEN(INDIRECT("'シフト一覧（転載）'!"&amp;U18&amp;":AK100"))&gt;0)
*(INDIRECT("'シフト一覧（転載）'!"&amp;U18&amp;":AK100")&lt;&gt;"休み"),1,0),0)),0),""),$F$9&amp;"保育無し")</f>
        <v>0</v>
      </c>
      <c r="W18" s="20">
        <f t="array" aca="1" ref="W18" ca="1">IFERROR(IF(U18&lt;&gt;0,ADDRESS(ROW(INDIRECT(U18)),
    COLUMN(INDIRECT(U18)) - 1 +
    MATCH(1,INDEX((LEN(INDIRECT("'シフト一覧（転載）'!"&amp;U18&amp;":AK100"))&gt;0)
            *(INDIRECT("'シフト一覧（転載）'!"&amp;U18&amp;":AK100")&lt;&gt;"休み"),
            1,0),0)+1,4),0),"")</f>
        <v>0</v>
      </c>
      <c r="X18" s="20">
        <f t="array" aca="1" ref="X18" ca="1">IFERROR(IF(W18&lt;&gt;"",IF(W18&lt;&gt;0,INDEX(
INDIRECT("'シフト一覧（転載）'!"&amp;W18&amp;":AK100"),1,
MATCH(1,INDEX((LEN(INDIRECT("'シフト一覧（転載）'!"&amp;W18&amp;":AK100"))&gt;0)
*(INDIRECT("'シフト一覧（転載）'!"&amp;W18&amp;":AK100")&lt;&gt;"休み"),1,0),0)),0),""),$F$9&amp;"保育無し")</f>
        <v>0</v>
      </c>
      <c r="Y18" s="20">
        <f t="array" aca="1" ref="Y18" ca="1">IFERROR(IF(W18&lt;&gt;0,ADDRESS(ROW(INDIRECT(W18)),
    COLUMN(INDIRECT(W18)) - 1 +
    MATCH(1,INDEX((LEN(INDIRECT("'シフト一覧（転載）'!"&amp;W18&amp;":AK100"))&gt;0)
            *(INDIRECT("'シフト一覧（転載）'!"&amp;W18&amp;":AK100")&lt;&gt;"休み"),
            1,0),0)+1,4),0),"")</f>
        <v>0</v>
      </c>
      <c r="Z18" s="20">
        <f t="array" aca="1" ref="Z18" ca="1">IFERROR(IF(Y18&lt;&gt;"",IF(Y18&lt;&gt;0,INDEX(
INDIRECT("'シフト一覧（転載）'!"&amp;Y18&amp;":AK100"),1,
MATCH(1,INDEX((LEN(INDIRECT("'シフト一覧（転載）'!"&amp;Y18&amp;":AK100"))&gt;0)
*(INDIRECT("'シフト一覧（転載）'!"&amp;Y18&amp;":AK100")&lt;&gt;"休み"),1,0),0)),0),""),$F$9&amp;"保育無し")</f>
        <v>0</v>
      </c>
      <c r="AA18" s="20">
        <f t="array" aca="1" ref="AA18" ca="1">IFERROR(IF(Y18&lt;&gt;0,ADDRESS(ROW(INDIRECT(Y18)),
    COLUMN(INDIRECT(Y18)) - 1 +
    MATCH(1,INDEX((LEN(INDIRECT("'シフト一覧（転載）'!"&amp;Y18&amp;":AK100"))&gt;0)
            *(INDIRECT("'シフト一覧（転載）'!"&amp;Y18&amp;":AK100")&lt;&gt;"休み"),
            1,0),0)+1,4),0),"")</f>
        <v>0</v>
      </c>
      <c r="AB18" s="20">
        <f t="array" aca="1" ref="AB18" ca="1">IFERROR(IF(AA18&lt;&gt;"",IF(AA18&lt;&gt;0,INDEX(
INDIRECT("'シフト一覧（転載）'!"&amp;AA18&amp;":AK100"),1,
MATCH(1,INDEX((LEN(INDIRECT("'シフト一覧（転載）'!"&amp;AA18&amp;":AK100"))&gt;0)
*(INDIRECT("'シフト一覧（転載）'!"&amp;AA18&amp;":AK100")&lt;&gt;"休み"),1,0),0)),0),""),$F$9&amp;"保育無し")</f>
        <v>0</v>
      </c>
      <c r="AC18" s="20">
        <f t="array" aca="1" ref="AC18" ca="1">IFERROR(IF(AA18&lt;&gt;0,ADDRESS(ROW(INDIRECT(AA18)),
    COLUMN(INDIRECT(AA18)) - 1 +
    MATCH(1,INDEX((LEN(INDIRECT("'シフト一覧（転載）'!"&amp;AA18&amp;":AK100"))&gt;0)
            *(INDIRECT("'シフト一覧（転載）'!"&amp;AA18&amp;":AK100")&lt;&gt;"休み"),
            1,0),0)+1,4),0),"")</f>
        <v>0</v>
      </c>
      <c r="AD18" s="20">
        <f t="array" aca="1" ref="AD18" ca="1">IFERROR(IF(AC18&lt;&gt;"",IF(AC18&lt;&gt;0,INDEX(
INDIRECT("'シフト一覧（転載）'!"&amp;AC18&amp;":AK100"),1,
MATCH(1,INDEX((LEN(INDIRECT("'シフト一覧（転載）'!"&amp;AC18&amp;":AK100"))&gt;0)
*(INDIRECT("'シフト一覧（転載）'!"&amp;AC18&amp;":AK100")&lt;&gt;"休み"),1,0),0)),0),""),$F$9&amp;"保育無し")</f>
        <v>0</v>
      </c>
      <c r="AE18" s="20">
        <f t="array" aca="1" ref="AE18" ca="1">IFERROR(IF(AC18&lt;&gt;0,ADDRESS(ROW(INDIRECT(AC18)),
    COLUMN(INDIRECT(AC18)) - 1 +
    MATCH(1,INDEX((LEN(INDIRECT("'シフト一覧（転載）'!"&amp;AC18&amp;":AK100"))&gt;0)
            *(INDIRECT("'シフト一覧（転載）'!"&amp;AC18&amp;":AK100")&lt;&gt;"休み"),
            1,0),0)+1,4),0),"")</f>
        <v>0</v>
      </c>
      <c r="AF18" s="20">
        <f t="array" aca="1" ref="AF18" ca="1">IFERROR(IF(AE18&lt;&gt;"",IF(AE18&lt;&gt;0,INDEX(
INDIRECT("'シフト一覧（転載）'!"&amp;AE18&amp;":AK100"),1,
MATCH(1,INDEX((LEN(INDIRECT("'シフト一覧（転載）'!"&amp;AE18&amp;":AK100"))&gt;0)
*(INDIRECT("'シフト一覧（転載）'!"&amp;AE18&amp;":AK100")&lt;&gt;"休み"),1,0),0)),0),""),$F$9&amp;"保育無し")</f>
        <v>0</v>
      </c>
      <c r="AG18" s="20">
        <f t="array" aca="1" ref="AG18" ca="1">IFERROR(IF(AE18&lt;&gt;0,ADDRESS(ROW(INDIRECT(AE18)),
    COLUMN(INDIRECT(AE18)) - 1 +
    MATCH(1,INDEX((LEN(INDIRECT("'シフト一覧（転載）'!"&amp;AE18&amp;":AK100"))&gt;0)
            *(INDIRECT("'シフト一覧（転載）'!"&amp;AE18&amp;":AK100")&lt;&gt;"休み"),
            1,0),0)+1,4),0),"")</f>
        <v>0</v>
      </c>
      <c r="AH18" s="20">
        <f t="array" aca="1" ref="AH18" ca="1">IFERROR(IF(AG18&lt;&gt;"",IF(AG18&lt;&gt;0,INDEX(
INDIRECT("'シフト一覧（転載）'!"&amp;AG18&amp;":AK100"),1,
MATCH(1,INDEX((LEN(INDIRECT("'シフト一覧（転載）'!"&amp;AG18&amp;":AK100"))&gt;0)
*(INDIRECT("'シフト一覧（転載）'!"&amp;AG18&amp;":AK100")&lt;&gt;"休み"),1,0),0)),0),""),$F$9&amp;"保育無し")</f>
        <v>0</v>
      </c>
      <c r="AI18" s="20">
        <f t="array" aca="1" ref="AI18" ca="1">IFERROR(IF(AG18&lt;&gt;0,ADDRESS(ROW(INDIRECT(AG18)),
    COLUMN(INDIRECT(AG18)) - 1 +
    MATCH(1,INDEX((LEN(INDIRECT("'シフト一覧（転載）'!"&amp;AG18&amp;":AK100"))&gt;0)
            *(INDIRECT("'シフト一覧（転載）'!"&amp;AG18&amp;":AK100")&lt;&gt;"休み"),
            1,0),0)+1,4),0),"")</f>
        <v>0</v>
      </c>
      <c r="AJ18" s="20">
        <f t="array" aca="1" ref="AJ18" ca="1">IFERROR(IF(AI18&lt;&gt;"",IF(AI18&lt;&gt;0,INDEX(
INDIRECT("'シフト一覧（転載）'!"&amp;AI18&amp;":AK100"),1,
MATCH(1,INDEX((LEN(INDIRECT("'シフト一覧（転載）'!"&amp;AI18&amp;":AK100"))&gt;0)
*(INDIRECT("'シフト一覧（転載）'!"&amp;AI18&amp;":AK100")&lt;&gt;"休み"),1,0),0)),0),""),$F$9&amp;"保育無し")</f>
        <v>0</v>
      </c>
      <c r="AK18" s="20">
        <f t="array" aca="1" ref="AK18" ca="1">IFERROR(IF(AI18&lt;&gt;0,ADDRESS(ROW(INDIRECT(AI18)),
    COLUMN(INDIRECT(AI18)) - 1 +
    MATCH(1,INDEX((LEN(INDIRECT("'シフト一覧（転載）'!"&amp;AI18&amp;":AK100"))&gt;0)
            *(INDIRECT("'シフト一覧（転載）'!"&amp;AI18&amp;":AK100")&lt;&gt;"休み"),
            1,0),0)+1,4),0),"")</f>
        <v>0</v>
      </c>
      <c r="AL18" s="20">
        <f t="array" aca="1" ref="AL18" ca="1">IFERROR(IF(AK18&lt;&gt;"",IF(AK18&lt;&gt;0,INDEX(
INDIRECT("'シフト一覧（転載）'!"&amp;AK18&amp;":AK100"),1,
MATCH(1,INDEX((LEN(INDIRECT("'シフト一覧（転載）'!"&amp;AK18&amp;":AK100"))&gt;0)
*(INDIRECT("'シフト一覧（転載）'!"&amp;AK18&amp;":AK100")&lt;&gt;"休み"),1,0),0)),0),""),$F$9&amp;"保育無し")</f>
        <v>0</v>
      </c>
      <c r="AM18" s="20">
        <f t="array" aca="1" ref="AM18" ca="1">IFERROR(IF(AK18&lt;&gt;0,ADDRESS(ROW(INDIRECT(AK18)),
    COLUMN(INDIRECT(AK18)) - 1 +
    MATCH(1,INDEX((LEN(INDIRECT("'シフト一覧（転載）'!"&amp;AK18&amp;":AK100"))&gt;0)
            *(INDIRECT("'シフト一覧（転載）'!"&amp;AK18&amp;":AK100")&lt;&gt;"休み"),
            1,0),0)+1,4),0),"")</f>
        <v>0</v>
      </c>
      <c r="AN18" s="20">
        <f t="array" aca="1" ref="AN18" ca="1">IFERROR(IF(AM18&lt;&gt;"",IF(AM18&lt;&gt;0,INDEX(
INDIRECT("'シフト一覧（転載）'!"&amp;AM18&amp;":AK100"),1,
MATCH(1,INDEX((LEN(INDIRECT("'シフト一覧（転載）'!"&amp;AM18&amp;":AK100"))&gt;0)
*(INDIRECT("'シフト一覧（転載）'!"&amp;AM18&amp;":AK100")&lt;&gt;"休み"),1,0),0)),0),""),$F$9&amp;"保育無し")</f>
        <v>0</v>
      </c>
      <c r="AO18" s="20">
        <f t="array" aca="1" ref="AO18" ca="1">IFERROR(IF(AM18&lt;&gt;0,ADDRESS(ROW(INDIRECT(AM18)),
    COLUMN(INDIRECT(AM18)) - 1 +
    MATCH(1,INDEX((LEN(INDIRECT("'シフト一覧（転載）'!"&amp;AM18&amp;":AK100"))&gt;0)
            *(INDIRECT("'シフト一覧（転載）'!"&amp;AM18&amp;":AK100")&lt;&gt;"休み"),
            1,0),0)+1,4),0),"")</f>
        <v>0</v>
      </c>
      <c r="AP18" s="20">
        <f t="array" aca="1" ref="AP18" ca="1">IFERROR(IF(AO18&lt;&gt;"",IF(AO18&lt;&gt;0,INDEX(
INDIRECT("'シフト一覧（転載）'!"&amp;AO18&amp;":AK100"),1,
MATCH(1,INDEX((LEN(INDIRECT("'シフト一覧（転載）'!"&amp;AO18&amp;":AK100"))&gt;0)
*(INDIRECT("'シフト一覧（転載）'!"&amp;AO18&amp;":AK100")&lt;&gt;"休み"),1,0),0)),0),""),$F$9&amp;"保育無し")</f>
        <v>0</v>
      </c>
      <c r="AQ18" s="20">
        <f t="array" aca="1" ref="AQ18" ca="1">IFERROR(IF(AO18&lt;&gt;0,ADDRESS(ROW(INDIRECT(AO18)),
    COLUMN(INDIRECT(AO18)) - 1 +
    MATCH(1,INDEX((LEN(INDIRECT("'シフト一覧（転載）'!"&amp;AO18&amp;":AK100"))&gt;0)
            *(INDIRECT("'シフト一覧（転載）'!"&amp;AO18&amp;":AK100")&lt;&gt;"休み"),
            1,0),0)+1,4),0),"")</f>
        <v>0</v>
      </c>
      <c r="AR18" s="20">
        <f t="array" aca="1" ref="AR18" ca="1">IFERROR(IF(AQ18&lt;&gt;"",IF(AQ18&lt;&gt;0,INDEX(
INDIRECT("'シフト一覧（転載）'!"&amp;AQ18&amp;":AK100"),1,
MATCH(1,INDEX((LEN(INDIRECT("'シフト一覧（転載）'!"&amp;AQ18&amp;":AK100"))&gt;0)
*(INDIRECT("'シフト一覧（転載）'!"&amp;AQ18&amp;":AK100")&lt;&gt;"休み"),1,0),0)),0),""),$F$9&amp;"保育無し")</f>
        <v>0</v>
      </c>
      <c r="AS18" s="20">
        <f t="array" aca="1" ref="AS18" ca="1">IFERROR(IF(AQ18&lt;&gt;0,ADDRESS(ROW(INDIRECT(AQ18)),
    COLUMN(INDIRECT(AQ18)) - 1 +
    MATCH(1,INDEX((LEN(INDIRECT("'シフト一覧（転載）'!"&amp;AQ18&amp;":AK100"))&gt;0)
            *(INDIRECT("'シフト一覧（転載）'!"&amp;AQ18&amp;":AK100")&lt;&gt;"休み"),
            1,0),0)+1,4),0),"")</f>
        <v>0</v>
      </c>
      <c r="AT18" s="20">
        <f t="array" aca="1" ref="AT18" ca="1">IFERROR(IF(AS18&lt;&gt;"",IF(AS18&lt;&gt;0,INDEX(
INDIRECT("'シフト一覧（転載）'!"&amp;AS18&amp;":AK100"),1,
MATCH(1,INDEX((LEN(INDIRECT("'シフト一覧（転載）'!"&amp;AS18&amp;":AK100"))&gt;0)
*(INDIRECT("'シフト一覧（転載）'!"&amp;AS18&amp;":AK100")&lt;&gt;"休み"),1,0),0)),0),""),$F$9&amp;"保育無し")</f>
        <v>0</v>
      </c>
      <c r="AU18" s="20">
        <f t="array" aca="1" ref="AU18" ca="1">IFERROR(IF(AS18&lt;&gt;0,ADDRESS(ROW(INDIRECT(AS18)),
    COLUMN(INDIRECT(AS18)) - 1 +
    MATCH(1,INDEX((LEN(INDIRECT("'シフト一覧（転載）'!"&amp;AS18&amp;":AK100"))&gt;0)
            *(INDIRECT("'シフト一覧（転載）'!"&amp;AS18&amp;":AK100")&lt;&gt;"休み"),
            1,0),0)+1,4),0),"")</f>
        <v>0</v>
      </c>
      <c r="AV18" s="20">
        <f t="array" aca="1" ref="AV18" ca="1">IFERROR(IF(AU18&lt;&gt;"",IF(AU18&lt;&gt;0,INDEX(
INDIRECT("'シフト一覧（転載）'!"&amp;AU18&amp;":AK100"),1,
MATCH(1,INDEX((LEN(INDIRECT("'シフト一覧（転載）'!"&amp;AU18&amp;":AK100"))&gt;0)
*(INDIRECT("'シフト一覧（転載）'!"&amp;AU18&amp;":AK100")&lt;&gt;"休み"),1,0),0)),0),""),$F$9&amp;"保育無し")</f>
        <v>0</v>
      </c>
      <c r="AW18" s="20">
        <f t="array" aca="1" ref="AW18" ca="1">IFERROR(IF(AU18&lt;&gt;0,ADDRESS(ROW(INDIRECT(AU18)),
    COLUMN(INDIRECT(AU18)) - 1 +
    MATCH(1,INDEX((LEN(INDIRECT("'シフト一覧（転載）'!"&amp;AU18&amp;":AK100"))&gt;0)
            *(INDIRECT("'シフト一覧（転載）'!"&amp;AU18&amp;":AK100")&lt;&gt;"休み"),
            1,0),0)+1,4),0),"")</f>
        <v>0</v>
      </c>
      <c r="AX18" s="20">
        <f t="array" aca="1" ref="AX18" ca="1">IFERROR(IF(AW18&lt;&gt;"",IF(AW18&lt;&gt;0,INDEX(
INDIRECT("'シフト一覧（転載）'!"&amp;AW18&amp;":AK100"),1,
MATCH(1,INDEX((LEN(INDIRECT("'シフト一覧（転載）'!"&amp;AW18&amp;":AK100"))&gt;0)
*(INDIRECT("'シフト一覧（転載）'!"&amp;AW18&amp;":AK100")&lt;&gt;"休み"),1,0),0)),0),""),$F$9&amp;"保育無し")</f>
        <v>0</v>
      </c>
      <c r="AY18" s="20">
        <f t="array" aca="1" ref="AY18" ca="1">IFERROR(IF(AW18&lt;&gt;0,ADDRESS(ROW(INDIRECT(AW18)),
    COLUMN(INDIRECT(AW18)) - 1 +
    MATCH(1,INDEX((LEN(INDIRECT("'シフト一覧（転載）'!"&amp;AW18&amp;":AK100"))&gt;0)
            *(INDIRECT("'シフト一覧（転載）'!"&amp;AW18&amp;":AK100")&lt;&gt;"休み"),
            1,0),0)+1,4),0),"")</f>
        <v>0</v>
      </c>
      <c r="AZ18" s="20">
        <f t="array" aca="1" ref="AZ18" ca="1">IFERROR(IF(AY18&lt;&gt;"",IF(AY18&lt;&gt;0,INDEX(
INDIRECT("'シフト一覧（転載）'!"&amp;AY18&amp;":AK100"),1,
MATCH(1,INDEX((LEN(INDIRECT("'シフト一覧（転載）'!"&amp;AY18&amp;":AK100"))&gt;0)
*(INDIRECT("'シフト一覧（転載）'!"&amp;AY18&amp;":AK100")&lt;&gt;"休み"),1,0),0)),0),""),$F$9&amp;"保育無し")</f>
        <v>0</v>
      </c>
      <c r="BA18" s="20">
        <f t="array" aca="1" ref="BA18" ca="1">IFERROR(IF(AY18&lt;&gt;0,ADDRESS(ROW(INDIRECT(AY18)),
    COLUMN(INDIRECT(AY18)) - 1 +
    MATCH(1,INDEX((LEN(INDIRECT("'シフト一覧（転載）'!"&amp;AY18&amp;":AK100"))&gt;0)
            *(INDIRECT("'シフト一覧（転載）'!"&amp;AY18&amp;":AK100")&lt;&gt;"休み"),
            1,0),0)+1,4),0),"")</f>
        <v>0</v>
      </c>
      <c r="BB18" s="20">
        <f t="array" aca="1" ref="BB18" ca="1">IFERROR(IF(BA18&lt;&gt;"",IF(BA18&lt;&gt;0,INDEX(
INDIRECT("'シフト一覧（転載）'!"&amp;BA18&amp;":AK100"),1,
MATCH(1,INDEX((LEN(INDIRECT("'シフト一覧（転載）'!"&amp;BA18&amp;":AK100"))&gt;0)
*(INDIRECT("'シフト一覧（転載）'!"&amp;BA18&amp;":AK100")&lt;&gt;"休み"),1,0),0)),0),""),$F$9&amp;"保育無し")</f>
        <v>0</v>
      </c>
      <c r="BC18" s="20">
        <f t="array" aca="1" ref="BC18" ca="1">IFERROR(IF(BA18&lt;&gt;0,ADDRESS(ROW(INDIRECT(BA18)),
    COLUMN(INDIRECT(BA18)) - 1 +
    MATCH(1,INDEX((LEN(INDIRECT("'シフト一覧（転載）'!"&amp;BA18&amp;":AK100"))&gt;0)
            *(INDIRECT("'シフト一覧（転載）'!"&amp;BA18&amp;":AK100")&lt;&gt;"休み"),
            1,0),0)+1,4),0),"")</f>
        <v>0</v>
      </c>
      <c r="BD18" s="20">
        <f t="array" aca="1" ref="BD18" ca="1">IFERROR(IF(BC18&lt;&gt;"",IF(BC18&lt;&gt;0,INDEX(
INDIRECT("'シフト一覧（転載）'!"&amp;BC18&amp;":AK100"),1,
MATCH(1,INDEX((LEN(INDIRECT("'シフト一覧（転載）'!"&amp;BC18&amp;":AK100"))&gt;0)
*(INDIRECT("'シフト一覧（転載）'!"&amp;BC18&amp;":AK100")&lt;&gt;"休み"),1,0),0)),0),""),$F$9&amp;"保育無し")</f>
        <v>0</v>
      </c>
      <c r="BE18" s="20">
        <f t="array" aca="1" ref="BE18" ca="1">IFERROR(IF(BC18&lt;&gt;0,ADDRESS(ROW(INDIRECT(BC18)),
    COLUMN(INDIRECT(BC18)) - 1 +
    MATCH(1,INDEX((LEN(INDIRECT("'シフト一覧（転載）'!"&amp;BC18&amp;":AK100"))&gt;0)
            *(INDIRECT("'シフト一覧（転載）'!"&amp;BC18&amp;":AK100")&lt;&gt;"休み"),
            1,0),0)+1,4),0),"")</f>
        <v>0</v>
      </c>
      <c r="BF18" s="20">
        <f t="array" aca="1" ref="BF18" ca="1">IFERROR(IF(BE18&lt;&gt;"",IF(BE18&lt;&gt;0,INDEX(
INDIRECT("'シフト一覧（転載）'!"&amp;BE18&amp;":AK100"),1,
MATCH(1,INDEX((LEN(INDIRECT("'シフト一覧（転載）'!"&amp;BE18&amp;":AK100"))&gt;0)
*(INDIRECT("'シフト一覧（転載）'!"&amp;BE18&amp;":AK100")&lt;&gt;"休み"),1,0),0)),0),""),$F$9&amp;"保育無し")</f>
        <v>0</v>
      </c>
      <c r="BG18" s="20">
        <f t="array" aca="1" ref="BG18" ca="1">IFERROR(IF(BE18&lt;&gt;0,ADDRESS(ROW(INDIRECT(BE18)),
    COLUMN(INDIRECT(BE18)) - 1 +
    MATCH(1,INDEX((LEN(INDIRECT("'シフト一覧（転載）'!"&amp;BE18&amp;":AK100"))&gt;0)
            *(INDIRECT("'シフト一覧（転載）'!"&amp;BE18&amp;":AK100")&lt;&gt;"休み"),
            1,0),0)+1,4),0),"")</f>
        <v>0</v>
      </c>
      <c r="BH18" s="20">
        <f t="array" aca="1" ref="BH18" ca="1">IFERROR(IF(BG18&lt;&gt;"",IF(BG18&lt;&gt;0,INDEX(
INDIRECT("'シフト一覧（転載）'!"&amp;BG18&amp;":AK100"),1,
MATCH(1,INDEX((LEN(INDIRECT("'シフト一覧（転載）'!"&amp;BG18&amp;":AK100"))&gt;0)
*(INDIRECT("'シフト一覧（転載）'!"&amp;BG18&amp;":AK100")&lt;&gt;"休み"),1,0),0)),0),""),$F$9&amp;"保育無し")</f>
        <v>0</v>
      </c>
      <c r="BI18" s="20">
        <f t="array" aca="1" ref="BI18" ca="1">IFERROR(IF(BG18&lt;&gt;0,ADDRESS(ROW(INDIRECT(BG18)),
    COLUMN(INDIRECT(BG18)) - 1 +
    MATCH(1,INDEX((LEN(INDIRECT("'シフト一覧（転載）'!"&amp;BG18&amp;":AK100"))&gt;0)
            *(INDIRECT("'シフト一覧（転載）'!"&amp;BG18&amp;":AK100")&lt;&gt;"休み"),
            1,0),0)+1,4),0),"")</f>
        <v>0</v>
      </c>
      <c r="BJ18" s="20">
        <f t="array" aca="1" ref="BJ18" ca="1">IFERROR(IF(BI18&lt;&gt;"",IF(BI18&lt;&gt;0,INDEX(
INDIRECT("'シフト一覧（転載）'!"&amp;BI18&amp;":AK100"),1,
MATCH(1,INDEX((LEN(INDIRECT("'シフト一覧（転載）'!"&amp;BI18&amp;":AK100"))&gt;0)
*(INDIRECT("'シフト一覧（転載）'!"&amp;BI18&amp;":AK100")&lt;&gt;"休み"),1,0),0)),0),""),$F$9&amp;"保育無し")</f>
        <v>0</v>
      </c>
      <c r="BK18" s="20">
        <f t="array" aca="1" ref="BK18" ca="1">IFERROR(IF(BI18&lt;&gt;0,ADDRESS(ROW(INDIRECT(BI18)),
    COLUMN(INDIRECT(BI18)) - 1 +
    MATCH(1,INDEX((LEN(INDIRECT("'シフト一覧（転載）'!"&amp;BI18&amp;":AK100"))&gt;0)
            *(INDIRECT("'シフト一覧（転載）'!"&amp;BI18&amp;":AK100")&lt;&gt;"休み"),
            1,0),0)+1,4),0),"")</f>
        <v>0</v>
      </c>
      <c r="BL18" s="20">
        <f t="array" aca="1" ref="BL18" ca="1">IFERROR(IF(BK18&lt;&gt;"",IF(BK18&lt;&gt;0,INDEX(
INDIRECT("'シフト一覧（転載）'!"&amp;BK18&amp;":AK100"),1,
MATCH(1,INDEX((LEN(INDIRECT("'シフト一覧（転載）'!"&amp;BK18&amp;":AK100"))&gt;0)
*(INDIRECT("'シフト一覧（転載）'!"&amp;BK18&amp;":AK100")&lt;&gt;"休み"),1,0),0)),0),""),$F$9&amp;"保育無し")</f>
        <v>0</v>
      </c>
      <c r="BM18" s="20">
        <f t="array" aca="1" ref="BM18" ca="1">IFERROR(IF(BK18&lt;&gt;0,ADDRESS(ROW(INDIRECT(BK18)),
    COLUMN(INDIRECT(BK18)) - 1 +
    MATCH(1,INDEX((LEN(INDIRECT("'シフト一覧（転載）'!"&amp;BK18&amp;":AK100"))&gt;0)
            *(INDIRECT("'シフト一覧（転載）'!"&amp;BK18&amp;":AK100")&lt;&gt;"休み"),
            1,0),0)+1,4),0),"")</f>
        <v>0</v>
      </c>
      <c r="BN18" s="20">
        <f t="array" aca="1" ref="BN18" ca="1">IFERROR(IF(BM18&lt;&gt;"",IF(BM18&lt;&gt;0,INDEX(
INDIRECT("'シフト一覧（転載）'!"&amp;BM18&amp;":AK100"),1,
MATCH(1,INDEX((LEN(INDIRECT("'シフト一覧（転載）'!"&amp;BM18&amp;":AK100"))&gt;0)
*(INDIRECT("'シフト一覧（転載）'!"&amp;BM18&amp;":AK100")&lt;&gt;"休み"),1,0),0)),0),""),$F$9&amp;"保育無し")</f>
        <v>0</v>
      </c>
      <c r="BO18" s="20">
        <f t="array" aca="1" ref="BO18" ca="1">IFERROR(IF(BM18&lt;&gt;0,ADDRESS(ROW(INDIRECT(BM18)),
    COLUMN(INDIRECT(BM18)) - 1 +
    MATCH(1,INDEX((LEN(INDIRECT("'シフト一覧（転載）'!"&amp;BM18&amp;":AK100"))&gt;0)
            *(INDIRECT("'シフト一覧（転載）'!"&amp;BM18&amp;":AK100")&lt;&gt;"休み"),
            1,0),0)+1,4),0),"")</f>
        <v>0</v>
      </c>
      <c r="BP18" s="20">
        <f t="array" aca="1" ref="BP18" ca="1">IFERROR(IF(BO18&lt;&gt;"",IF(BO18&lt;&gt;0,INDEX(
INDIRECT("'シフト一覧（転載）'!"&amp;BO18&amp;":AK100"),1,
MATCH(1,INDEX((LEN(INDIRECT("'シフト一覧（転載）'!"&amp;BO18&amp;":AK100"))&gt;0)
*(INDIRECT("'シフト一覧（転載）'!"&amp;BO18&amp;":AK100")&lt;&gt;"休み"),1,0),0)),0),""),$F$9&amp;"保育無し")</f>
        <v>0</v>
      </c>
      <c r="BQ18" s="20">
        <f t="array" aca="1" ref="BQ18" ca="1">IFERROR(IF(BO18&lt;&gt;0,ADDRESS(ROW(INDIRECT(BO18)),
    COLUMN(INDIRECT(BO18)) - 1 +
    MATCH(1,INDEX((LEN(INDIRECT("'シフト一覧（転載）'!"&amp;BO18&amp;":AK100"))&gt;0)
            *(INDIRECT("'シフト一覧（転載）'!"&amp;BO18&amp;":AK100")&lt;&gt;"休み"),
            1,0),0)+1,4),0),"")</f>
        <v>0</v>
      </c>
      <c r="BR18" s="20">
        <f t="array" aca="1" ref="BR18" ca="1">IFERROR(IF(BQ18&lt;&gt;"",IF(BQ18&lt;&gt;0,INDEX(
INDIRECT("'シフト一覧（転載）'!"&amp;BQ18&amp;":AK100"),1,
MATCH(1,INDEX((LEN(INDIRECT("'シフト一覧（転載）'!"&amp;BQ18&amp;":AK100"))&gt;0)
*(INDIRECT("'シフト一覧（転載）'!"&amp;BQ18&amp;":AK100")&lt;&gt;"休み"),1,0),0)),0),""),$F$9&amp;"保育無し")</f>
        <v>0</v>
      </c>
      <c r="BS18" s="20">
        <f t="array" aca="1" ref="BS18" ca="1">IFERROR(IF(BQ18&lt;&gt;0,ADDRESS(ROW(INDIRECT(BQ18)),
    COLUMN(INDIRECT(BQ18)) - 1 +
    MATCH(1,INDEX((LEN(INDIRECT("'シフト一覧（転載）'!"&amp;BQ18&amp;":AK100"))&gt;0)
            *(INDIRECT("'シフト一覧（転載）'!"&amp;BQ18&amp;":AK100")&lt;&gt;"休み"),
            1,0),0)+1,4),0),"")</f>
        <v>0</v>
      </c>
      <c r="BT18" s="20">
        <f t="array" aca="1" ref="BT18" ca="1">IFERROR(IF(BS18&lt;&gt;"",IF(BS18&lt;&gt;0,INDEX(
INDIRECT("'シフト一覧（転載）'!"&amp;BS18&amp;":AK100"),1,
MATCH(1,INDEX((LEN(INDIRECT("'シフト一覧（転載）'!"&amp;BS18&amp;":AK100"))&gt;0)
*(INDIRECT("'シフト一覧（転載）'!"&amp;BS18&amp;":AK100")&lt;&gt;"休み"),1,0),0)),0),""),$F$9&amp;"保育無し")</f>
        <v>0</v>
      </c>
      <c r="BU18" s="20">
        <f t="array" aca="1" ref="BU18" ca="1">IFERROR(IF(BS18&lt;&gt;0,ADDRESS(ROW(INDIRECT(BS18)),
    COLUMN(INDIRECT(BS18)) - 1 +
    MATCH(1,INDEX((LEN(INDIRECT("'シフト一覧（転載）'!"&amp;BS18&amp;":AK100"))&gt;0)
            *(INDIRECT("'シフト一覧（転載）'!"&amp;BS18&amp;":AK100")&lt;&gt;"休み"),
            1,0),0)+1,4),0),"")</f>
        <v>0</v>
      </c>
      <c r="BV18" s="20">
        <f t="array" aca="1" ref="BV18" ca="1">IFERROR(IF(BU18&lt;&gt;"",IF(BU18&lt;&gt;0,INDEX(
INDIRECT("'シフト一覧（転載）'!"&amp;BU18&amp;":AK100"),1,
MATCH(1,INDEX((LEN(INDIRECT("'シフト一覧（転載）'!"&amp;BU18&amp;":AK100"))&gt;0)
*(INDIRECT("'シフト一覧（転載）'!"&amp;BU18&amp;":AK100")&lt;&gt;"休み"),1,0),0)),0),""),$F$9&amp;"保育無し")</f>
        <v>0</v>
      </c>
      <c r="BW18" s="20">
        <f t="array" aca="1" ref="BW18" ca="1">IFERROR(IF(BU18&lt;&gt;0,ADDRESS(ROW(INDIRECT(BU18)),
    COLUMN(INDIRECT(BU18)) - 1 +
    MATCH(1,INDEX((LEN(INDIRECT("'シフト一覧（転載）'!"&amp;BU18&amp;":AK100"))&gt;0)
            *(INDIRECT("'シフト一覧（転載）'!"&amp;BU18&amp;":AK100")&lt;&gt;"休み"),
            1,0),0)+1,4),0),"")</f>
        <v>0</v>
      </c>
      <c r="BX18" s="20">
        <f t="array" aca="1" ref="BX18" ca="1">IFERROR(IF(BW18&lt;&gt;"",IF(BW18&lt;&gt;0,INDEX(
INDIRECT("'シフト一覧（転載）'!"&amp;BW18&amp;":AK100"),1,
MATCH(1,INDEX((LEN(INDIRECT("'シフト一覧（転載）'!"&amp;BW18&amp;":AK100"))&gt;0)
*(INDIRECT("'シフト一覧（転載）'!"&amp;BW18&amp;":AK100")&lt;&gt;"休み"),1,0),0)),0),""),$F$9&amp;"保育無し")</f>
        <v>0</v>
      </c>
      <c r="BY18" s="20">
        <f t="array" aca="1" ref="BY18" ca="1">IFERROR(IF(BW18&lt;&gt;0,ADDRESS(ROW(INDIRECT(BW18)),
    COLUMN(INDIRECT(BW18)) - 1 +
    MATCH(1,INDEX((LEN(INDIRECT("'シフト一覧（転載）'!"&amp;BW18&amp;":AK100"))&gt;0)
            *(INDIRECT("'シフト一覧（転載）'!"&amp;BW18&amp;":AK100")&lt;&gt;"休み"),
            1,0),0)+1,4),0),"")</f>
        <v>0</v>
      </c>
    </row>
    <row r="19" spans="1:77" ht="19.8" customHeight="1" x14ac:dyDescent="0.2">
      <c r="A19" s="43">
        <f>IF(A18&lt;&gt;0,IF($B$9&gt;A18,A18+1,0),0)</f>
        <v>8</v>
      </c>
      <c r="B19" s="48" t="str" cm="1">
        <f t="array" aca="1" ref="B19" ca="1">IFERROR(_xlfn.TEXTJOIN("", TRUE, IF(ISERR(MID(INDIRECT("'Page_" &amp; A19 &amp; "'!C2"), ROW(INDIRECT("1:" &amp; LEN(INDIRECT("'Page_" &amp; A19 &amp; "'!C2")))), 1)*1), MID(INDIRECT("'Page_" &amp; A19 &amp; "'!C2"), ROW(INDIRECT("1:" &amp; LEN(INDIRECT("'Page_" &amp; A19 &amp; "'!C2")))), 1), "")),"")</f>
        <v>袴田</v>
      </c>
      <c r="C19" s="49" t="str" cm="1">
        <f t="array" aca="1" ref="C19" ca="1">IFERROR(IF(INDIRECT("'Page_" &amp; A19 &amp; "'!E2")&lt;&gt;"",INDIRECT("'Page_" &amp; A19 &amp; "'!E2"),INDIRECT("'Page_" &amp; A19 &amp; "'!D2")),"")</f>
        <v>香寿美</v>
      </c>
      <c r="D19" s="58" t="str" cm="1">
        <f t="array" aca="1" ref="D19" ca="1">IFERROR(IF(INDIRECT("'Page_" &amp; A19 &amp; "'!Q3")&lt;&gt;"",INDIRECT("'Page_" &amp; A19 &amp; "'!Q3"),INDIRECT("'Page_" &amp; A19 &amp; "'!P3")),"")</f>
        <v>パート(雇保有)・保育士</v>
      </c>
      <c r="E19" s="39">
        <f t="shared" ca="1" si="2"/>
        <v>0</v>
      </c>
      <c r="F19" s="28">
        <f t="shared" ca="1" si="3"/>
        <v>80.5</v>
      </c>
      <c r="G19" s="25">
        <f t="shared" ca="1" si="0"/>
        <v>80.5</v>
      </c>
      <c r="H19" s="63" t="str" cm="1">
        <f t="array" aca="1" ref="H19" ca="1">IF(B19&lt;&gt;"",IFERROR(INDEX('シフト一覧（転載）'!$C$8:$C$100,
MATCH(1, (ISNUMBER(SEARCH(B19,'シフト一覧（転載）'!$A$8:$A$100)))
*(ISNUMBER(SEARCH($F$9,'シフト一覧（転載）'!$B$8:$B$100))), 0)),""),"")</f>
        <v/>
      </c>
      <c r="I19" s="54">
        <f t="shared" ca="1" si="1"/>
        <v>0</v>
      </c>
      <c r="J19" s="25" cm="1">
        <f t="array" aca="1" ref="J19" ca="1">IF(B19&lt;&gt;"",IFERROR(SUM(INDIRECT("'Page_" &amp; A19 &amp; "'!K"&amp;MATCH("有休",INDIRECT("'Page_" &amp; A19 &amp; "'!K:K"),0)+2&amp;"")
+INDIRECT("'Page_" &amp; A19 &amp; "'!L"&amp;MATCH("特休",INDIRECT("'Page_" &amp; A19 &amp; "'!L:L"),0)+2&amp;""))*24,0),"")</f>
        <v>0</v>
      </c>
      <c r="K19" s="59"/>
      <c r="M19" s="104"/>
      <c r="N19" s="102"/>
      <c r="O19" s="107"/>
      <c r="P19" s="21">
        <f t="array" aca="1" ref="P19" ca="1">IFERROR(IF(M18&lt;&gt;"",INDEX('シフト一覧（転載）'!$F$8:$AK$100,
    MATCH(1,(ISNUMBER(SEARCH(M18,'シフト一覧（転載）'!$A$8:$A$100)))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MATCH(1,(ISNUMBER(SEARCH(M18,'シフト一覧（転載）'!$A$8:$A$100)))
                *(ISNUMBER(SEARCH($F$9,'シフト一覧（転載）'!$B$8:$B$100))),
                0),0),0)),0),"")</f>
        <v>0</v>
      </c>
      <c r="Q19" s="21">
        <f ca="1">IF(P18=0,0,
IF(OR(P18="",COUNTIF(P18,"*保育無し*")),"",
IF(MOD(P19-P18,1)*24&gt;=8,1,
IF(MOD(P19-P18,1)*24&gt;=6,0.75,0))))</f>
        <v>0</v>
      </c>
      <c r="R19" s="21">
        <f t="array" aca="1" ref="R19" ca="1">IFERROR(IF(Q18&lt;&gt;0,INDEX(
INDIRECT("'シフト一覧（転載）'!"&amp;Q18&amp;":AK100"),1+1,
MATCH(1,INDEX((LEN(INDIRECT("'シフト一覧（転載）'!"&amp;Q18&amp;":AK100"))&gt;0)
*(INDIRECT("'シフト一覧（転載）'!"&amp;Q18&amp;":AK100")&lt;&gt;"休み"),1,0),0)),0),"")</f>
        <v>0</v>
      </c>
      <c r="S19" s="21">
        <f ca="1">IF(R18=0,0,
IF(OR(R18="",COUNTIF(R18,"*保育無し*")),"",
IF(MOD(R19-R18,1)*24&gt;=8,1,
IF(MOD(R19-R18,1)*24&gt;=6,0.75,0))))</f>
        <v>0</v>
      </c>
      <c r="T19" s="21">
        <f t="array" aca="1" ref="T19" ca="1">IFERROR(IF(S18&lt;&gt;0,INDEX(
INDIRECT("'シフト一覧（転載）'!"&amp;S18&amp;":AK100"),1+1,
MATCH(1,INDEX((LEN(INDIRECT("'シフト一覧（転載）'!"&amp;S18&amp;":AK100"))&gt;0)
*(INDIRECT("'シフト一覧（転載）'!"&amp;S18&amp;":AK100")&lt;&gt;"休み"),1,0),0)),0),"")</f>
        <v>0</v>
      </c>
      <c r="U19" s="21">
        <f ca="1">IF(T18=0,0,
IF(OR(T18="",COUNTIF(T18,"*保育無し*")),"",
IF(MOD(T19-T18,1)*24&gt;=8,1,
IF(MOD(T19-T18,1)*24&gt;=6,0.75,0))))</f>
        <v>0</v>
      </c>
      <c r="V19" s="21">
        <f t="array" aca="1" ref="V19" ca="1">IFERROR(IF(U18&lt;&gt;0,INDEX(
INDIRECT("'シフト一覧（転載）'!"&amp;U18&amp;":AK100"),1+1,
MATCH(1,INDEX((LEN(INDIRECT("'シフト一覧（転載）'!"&amp;U18&amp;":AK100"))&gt;0)
*(INDIRECT("'シフト一覧（転載）'!"&amp;U18&amp;":AK100")&lt;&gt;"休み"),1,0),0)),0),"")</f>
        <v>0</v>
      </c>
      <c r="W19" s="21">
        <f ca="1">IF(V18=0,0,
IF(OR(V18="",COUNTIF(V18,"*保育無し*")),"",
IF(MOD(V19-V18,1)*24&gt;=8,1,
IF(MOD(V19-V18,1)*24&gt;=6,0.75,0))))</f>
        <v>0</v>
      </c>
      <c r="X19" s="21">
        <f t="array" aca="1" ref="X19" ca="1">IFERROR(IF(W18&lt;&gt;0,INDEX(
INDIRECT("'シフト一覧（転載）'!"&amp;W18&amp;":AK100"),1+1,
MATCH(1,INDEX((LEN(INDIRECT("'シフト一覧（転載）'!"&amp;W18&amp;":AK100"))&gt;0)
*(INDIRECT("'シフト一覧（転載）'!"&amp;W18&amp;":AK100")&lt;&gt;"休み"),1,0),0)),0),"")</f>
        <v>0</v>
      </c>
      <c r="Y19" s="21">
        <f ca="1">IF(X18=0,0,
IF(OR(X18="",COUNTIF(X18,"*保育無し*")),"",
IF(MOD(X19-X18,1)*24&gt;=8,1,
IF(MOD(X19-X18,1)*24&gt;=6,0.75,0))))</f>
        <v>0</v>
      </c>
      <c r="Z19" s="21">
        <f t="array" aca="1" ref="Z19" ca="1">IFERROR(IF(Y18&lt;&gt;0,INDEX(
INDIRECT("'シフト一覧（転載）'!"&amp;Y18&amp;":AK100"),1+1,
MATCH(1,INDEX((LEN(INDIRECT("'シフト一覧（転載）'!"&amp;Y18&amp;":AK100"))&gt;0)
*(INDIRECT("'シフト一覧（転載）'!"&amp;Y18&amp;":AK100")&lt;&gt;"休み"),1,0),0)),0),"")</f>
        <v>0</v>
      </c>
      <c r="AA19" s="21">
        <f ca="1">IF(Z18=0,0,
IF(OR(Z18="",COUNTIF(Z18,"*保育無し*")),"",
IF(MOD(Z19-Z18,1)*24&gt;=8,1,
IF(MOD(Z19-Z18,1)*24&gt;=6,0.75,0))))</f>
        <v>0</v>
      </c>
      <c r="AB19" s="21">
        <f t="array" aca="1" ref="AB19" ca="1">IFERROR(IF(AA18&lt;&gt;0,INDEX(
INDIRECT("'シフト一覧（転載）'!"&amp;AA18&amp;":AK100"),1+1,
MATCH(1,INDEX((LEN(INDIRECT("'シフト一覧（転載）'!"&amp;AA18&amp;":AK100"))&gt;0)
*(INDIRECT("'シフト一覧（転載）'!"&amp;AA18&amp;":AK100")&lt;&gt;"休み"),1,0),0)),0),"")</f>
        <v>0</v>
      </c>
      <c r="AC19" s="21">
        <f ca="1">IF(AB18=0,0,
IF(OR(AB18="",COUNTIF(AB18,"*保育無し*")),"",
IF(MOD(AB19-AB18,1)*24&gt;=8,1,
IF(MOD(AB19-AB18,1)*24&gt;=6,0.75,0))))</f>
        <v>0</v>
      </c>
      <c r="AD19" s="21">
        <f t="array" aca="1" ref="AD19" ca="1">IFERROR(IF(AC18&lt;&gt;0,INDEX(
INDIRECT("'シフト一覧（転載）'!"&amp;AC18&amp;":AK100"),1+1,
MATCH(1,INDEX((LEN(INDIRECT("'シフト一覧（転載）'!"&amp;AC18&amp;":AK100"))&gt;0)
*(INDIRECT("'シフト一覧（転載）'!"&amp;AC18&amp;":AK100")&lt;&gt;"休み"),1,0),0)),0),"")</f>
        <v>0</v>
      </c>
      <c r="AE19" s="21">
        <f ca="1">IF(AD18=0,0,
IF(OR(AD18="",COUNTIF(AD18,"*保育無し*")),"",
IF(MOD(AD19-AD18,1)*24&gt;=8,1,
IF(MOD(AD19-AD18,1)*24&gt;=6,0.75,0))))</f>
        <v>0</v>
      </c>
      <c r="AF19" s="21">
        <f t="array" aca="1" ref="AF19" ca="1">IFERROR(IF(AE18&lt;&gt;0,INDEX(
INDIRECT("'シフト一覧（転載）'!"&amp;AE18&amp;":AK100"),1+1,
MATCH(1,INDEX((LEN(INDIRECT("'シフト一覧（転載）'!"&amp;AE18&amp;":AK100"))&gt;0)
*(INDIRECT("'シフト一覧（転載）'!"&amp;AE18&amp;":AK100")&lt;&gt;"休み"),1,0),0)),0),"")</f>
        <v>0</v>
      </c>
      <c r="AG19" s="21">
        <f ca="1">IF(AF18=0,0,
IF(OR(AF18="",COUNTIF(AF18,"*保育無し*")),"",
IF(MOD(AF19-AF18,1)*24&gt;=8,1,
IF(MOD(AF19-AF18,1)*24&gt;=6,0.75,0))))</f>
        <v>0</v>
      </c>
      <c r="AH19" s="21">
        <f t="array" aca="1" ref="AH19" ca="1">IFERROR(IF(AG18&lt;&gt;0,INDEX(
INDIRECT("'シフト一覧（転載）'!"&amp;AG18&amp;":AK100"),1+1,
MATCH(1,INDEX((LEN(INDIRECT("'シフト一覧（転載）'!"&amp;AG18&amp;":AK100"))&gt;0)
*(INDIRECT("'シフト一覧（転載）'!"&amp;AG18&amp;":AK100")&lt;&gt;"休み"),1,0),0)),0),"")</f>
        <v>0</v>
      </c>
      <c r="AI19" s="21">
        <f ca="1">IF(AH18=0,0,
IF(OR(AH18="",COUNTIF(AH18,"*保育無し*")),"",
IF(MOD(AH19-AH18,1)*24&gt;=8,1,
IF(MOD(AH19-AH18,1)*24&gt;=6,0.75,0))))</f>
        <v>0</v>
      </c>
      <c r="AJ19" s="21">
        <f t="array" aca="1" ref="AJ19" ca="1">IFERROR(IF(AI18&lt;&gt;0,INDEX(
INDIRECT("'シフト一覧（転載）'!"&amp;AI18&amp;":AK100"),1+1,
MATCH(1,INDEX((LEN(INDIRECT("'シフト一覧（転載）'!"&amp;AI18&amp;":AK100"))&gt;0)
*(INDIRECT("'シフト一覧（転載）'!"&amp;AI18&amp;":AK100")&lt;&gt;"休み"),1,0),0)),0),"")</f>
        <v>0</v>
      </c>
      <c r="AK19" s="21">
        <f ca="1">IF(AJ18=0,0,
IF(OR(AJ18="",COUNTIF(AJ18,"*保育無し*")),"",
IF(MOD(AJ19-AJ18,1)*24&gt;=8,1,
IF(MOD(AJ19-AJ18,1)*24&gt;=6,0.75,0))))</f>
        <v>0</v>
      </c>
      <c r="AL19" s="21">
        <f t="array" aca="1" ref="AL19" ca="1">IFERROR(IF(AK18&lt;&gt;0,INDEX(
INDIRECT("'シフト一覧（転載）'!"&amp;AK18&amp;":AK100"),1+1,
MATCH(1,INDEX((LEN(INDIRECT("'シフト一覧（転載）'!"&amp;AK18&amp;":AK100"))&gt;0)
*(INDIRECT("'シフト一覧（転載）'!"&amp;AK18&amp;":AK100")&lt;&gt;"休み"),1,0),0)),0),"")</f>
        <v>0</v>
      </c>
      <c r="AM19" s="21">
        <f ca="1">IF(AL18=0,0,
IF(OR(AL18="",COUNTIF(AL18,"*保育無し*")),"",
IF(MOD(AL19-AL18,1)*24&gt;=8,1,
IF(MOD(AL19-AL18,1)*24&gt;=6,0.75,0))))</f>
        <v>0</v>
      </c>
      <c r="AN19" s="21">
        <f t="array" aca="1" ref="AN19" ca="1">IFERROR(IF(AM18&lt;&gt;0,INDEX(
INDIRECT("'シフト一覧（転載）'!"&amp;AM18&amp;":AK100"),1+1,
MATCH(1,INDEX((LEN(INDIRECT("'シフト一覧（転載）'!"&amp;AM18&amp;":AK100"))&gt;0)
*(INDIRECT("'シフト一覧（転載）'!"&amp;AM18&amp;":AK100")&lt;&gt;"休み"),1,0),0)),0),"")</f>
        <v>0</v>
      </c>
      <c r="AO19" s="21">
        <f ca="1">IF(AN18=0,0,
IF(OR(AN18="",COUNTIF(AN18,"*保育無し*")),"",
IF(MOD(AN19-AN18,1)*24&gt;=8,1,
IF(MOD(AN19-AN18,1)*24&gt;=6,0.75,0))))</f>
        <v>0</v>
      </c>
      <c r="AP19" s="21">
        <f t="array" aca="1" ref="AP19" ca="1">IFERROR(IF(AO18&lt;&gt;0,INDEX(
INDIRECT("'シフト一覧（転載）'!"&amp;AO18&amp;":AK100"),1+1,
MATCH(1,INDEX((LEN(INDIRECT("'シフト一覧（転載）'!"&amp;AO18&amp;":AK100"))&gt;0)
*(INDIRECT("'シフト一覧（転載）'!"&amp;AO18&amp;":AK100")&lt;&gt;"休み"),1,0),0)),0),"")</f>
        <v>0</v>
      </c>
      <c r="AQ19" s="21">
        <f ca="1">IF(AP18=0,0,
IF(OR(AP18="",COUNTIF(AP18,"*保育無し*")),"",
IF(MOD(AP19-AP18,1)*24&gt;=8,1,
IF(MOD(AP19-AP18,1)*24&gt;=6,0.75,0))))</f>
        <v>0</v>
      </c>
      <c r="AR19" s="21">
        <f t="array" aca="1" ref="AR19" ca="1">IFERROR(IF(AQ18&lt;&gt;0,INDEX(
INDIRECT("'シフト一覧（転載）'!"&amp;AQ18&amp;":AK100"),1+1,
MATCH(1,INDEX((LEN(INDIRECT("'シフト一覧（転載）'!"&amp;AQ18&amp;":AK100"))&gt;0)
*(INDIRECT("'シフト一覧（転載）'!"&amp;AQ18&amp;":AK100")&lt;&gt;"休み"),1,0),0)),0),"")</f>
        <v>0</v>
      </c>
      <c r="AS19" s="21">
        <f ca="1">IF(AR18=0,0,
IF(OR(AR18="",COUNTIF(AR18,"*保育無し*")),"",
IF(MOD(AR19-AR18,1)*24&gt;=8,1,
IF(MOD(AR19-AR18,1)*24&gt;=6,0.75,0))))</f>
        <v>0</v>
      </c>
      <c r="AT19" s="21">
        <f t="array" aca="1" ref="AT19" ca="1">IFERROR(IF(AS18&lt;&gt;0,INDEX(
INDIRECT("'シフト一覧（転載）'!"&amp;AS18&amp;":AK100"),1+1,
MATCH(1,INDEX((LEN(INDIRECT("'シフト一覧（転載）'!"&amp;AS18&amp;":AK100"))&gt;0)
*(INDIRECT("'シフト一覧（転載）'!"&amp;AS18&amp;":AK100")&lt;&gt;"休み"),1,0),0)),0),"")</f>
        <v>0</v>
      </c>
      <c r="AU19" s="21">
        <f ca="1">IF(AT18=0,0,
IF(OR(AT18="",COUNTIF(AT18,"*保育無し*")),"",
IF(MOD(AT19-AT18,1)*24&gt;=8,1,
IF(MOD(AT19-AT18,1)*24&gt;=6,0.75,0))))</f>
        <v>0</v>
      </c>
      <c r="AV19" s="21">
        <f t="array" aca="1" ref="AV19" ca="1">IFERROR(IF(AU18&lt;&gt;0,INDEX(
INDIRECT("'シフト一覧（転載）'!"&amp;AU18&amp;":AK100"),1+1,
MATCH(1,INDEX((LEN(INDIRECT("'シフト一覧（転載）'!"&amp;AU18&amp;":AK100"))&gt;0)
*(INDIRECT("'シフト一覧（転載）'!"&amp;AU18&amp;":AK100")&lt;&gt;"休み"),1,0),0)),0),"")</f>
        <v>0</v>
      </c>
      <c r="AW19" s="21">
        <f ca="1">IF(AV18=0,0,
IF(OR(AV18="",COUNTIF(AV18,"*保育無し*")),"",
IF(MOD(AV19-AV18,1)*24&gt;=8,1,
IF(MOD(AV19-AV18,1)*24&gt;=6,0.75,0))))</f>
        <v>0</v>
      </c>
      <c r="AX19" s="21">
        <f t="array" aca="1" ref="AX19" ca="1">IFERROR(IF(AW18&lt;&gt;0,INDEX(
INDIRECT("'シフト一覧（転載）'!"&amp;AW18&amp;":AK100"),1+1,
MATCH(1,INDEX((LEN(INDIRECT("'シフト一覧（転載）'!"&amp;AW18&amp;":AK100"))&gt;0)
*(INDIRECT("'シフト一覧（転載）'!"&amp;AW18&amp;":AK100")&lt;&gt;"休み"),1,0),0)),0),"")</f>
        <v>0</v>
      </c>
      <c r="AY19" s="21">
        <f ca="1">IF(AX18=0,0,
IF(OR(AX18="",COUNTIF(AX18,"*保育無し*")),"",
IF(MOD(AX19-AX18,1)*24&gt;=8,1,
IF(MOD(AX19-AX18,1)*24&gt;=6,0.75,0))))</f>
        <v>0</v>
      </c>
      <c r="AZ19" s="21">
        <f t="array" aca="1" ref="AZ19" ca="1">IFERROR(IF(AY18&lt;&gt;0,INDEX(
INDIRECT("'シフト一覧（転載）'!"&amp;AY18&amp;":AK100"),1+1,
MATCH(1,INDEX((LEN(INDIRECT("'シフト一覧（転載）'!"&amp;AY18&amp;":AK100"))&gt;0)
*(INDIRECT("'シフト一覧（転載）'!"&amp;AY18&amp;":AK100")&lt;&gt;"休み"),1,0),0)),0),"")</f>
        <v>0</v>
      </c>
      <c r="BA19" s="21">
        <f ca="1">IF(AZ18=0,0,
IF(OR(AZ18="",COUNTIF(AZ18,"*保育無し*")),"",
IF(MOD(AZ19-AZ18,1)*24&gt;=8,1,
IF(MOD(AZ19-AZ18,1)*24&gt;=6,0.75,0))))</f>
        <v>0</v>
      </c>
      <c r="BB19" s="21">
        <f t="array" aca="1" ref="BB19" ca="1">IFERROR(IF(BA18&lt;&gt;0,INDEX(
INDIRECT("'シフト一覧（転載）'!"&amp;BA18&amp;":AK100"),1+1,
MATCH(1,INDEX((LEN(INDIRECT("'シフト一覧（転載）'!"&amp;BA18&amp;":AK100"))&gt;0)
*(INDIRECT("'シフト一覧（転載）'!"&amp;BA18&amp;":AK100")&lt;&gt;"休み"),1,0),0)),0),"")</f>
        <v>0</v>
      </c>
      <c r="BC19" s="21">
        <f ca="1">IF(BB18=0,0,
IF(OR(BB18="",COUNTIF(BB18,"*保育無し*")),"",
IF(MOD(BB19-BB18,1)*24&gt;=8,1,
IF(MOD(BB19-BB18,1)*24&gt;=6,0.75,0))))</f>
        <v>0</v>
      </c>
      <c r="BD19" s="21">
        <f t="array" aca="1" ref="BD19" ca="1">IFERROR(IF(BC18&lt;&gt;0,INDEX(
INDIRECT("'シフト一覧（転載）'!"&amp;BC18&amp;":AK100"),1+1,
MATCH(1,INDEX((LEN(INDIRECT("'シフト一覧（転載）'!"&amp;BC18&amp;":AK100"))&gt;0)
*(INDIRECT("'シフト一覧（転載）'!"&amp;BC18&amp;":AK100")&lt;&gt;"休み"),1,0),0)),0),"")</f>
        <v>0</v>
      </c>
      <c r="BE19" s="21">
        <f ca="1">IF(BD18=0,0,
IF(OR(BD18="",COUNTIF(BD18,"*保育無し*")),"",
IF(MOD(BD19-BD18,1)*24&gt;=8,1,
IF(MOD(BD19-BD18,1)*24&gt;=6,0.75,0))))</f>
        <v>0</v>
      </c>
      <c r="BF19" s="21">
        <f t="array" aca="1" ref="BF19" ca="1">IFERROR(IF(BE18&lt;&gt;0,INDEX(
INDIRECT("'シフト一覧（転載）'!"&amp;BE18&amp;":AK100"),1+1,
MATCH(1,INDEX((LEN(INDIRECT("'シフト一覧（転載）'!"&amp;BE18&amp;":AK100"))&gt;0)
*(INDIRECT("'シフト一覧（転載）'!"&amp;BE18&amp;":AK100")&lt;&gt;"休み"),1,0),0)),0),"")</f>
        <v>0</v>
      </c>
      <c r="BG19" s="21">
        <f ca="1">IF(BF18=0,0,
IF(OR(BF18="",COUNTIF(BF18,"*保育無し*")),"",
IF(MOD(BF19-BF18,1)*24&gt;=8,1,
IF(MOD(BF19-BF18,1)*24&gt;=6,0.75,0))))</f>
        <v>0</v>
      </c>
      <c r="BH19" s="21">
        <f t="array" aca="1" ref="BH19" ca="1">IFERROR(IF(BG18&lt;&gt;0,INDEX(
INDIRECT("'シフト一覧（転載）'!"&amp;BG18&amp;":AK100"),1+1,
MATCH(1,INDEX((LEN(INDIRECT("'シフト一覧（転載）'!"&amp;BG18&amp;":AK100"))&gt;0)
*(INDIRECT("'シフト一覧（転載）'!"&amp;BG18&amp;":AK100")&lt;&gt;"休み"),1,0),0)),0),"")</f>
        <v>0</v>
      </c>
      <c r="BI19" s="21">
        <f ca="1">IF(BH18=0,0,
IF(OR(BH18="",COUNTIF(BH18,"*保育無し*")),"",
IF(MOD(BH19-BH18,1)*24&gt;=8,1,
IF(MOD(BH19-BH18,1)*24&gt;=6,0.75,0))))</f>
        <v>0</v>
      </c>
      <c r="BJ19" s="21">
        <f t="array" aca="1" ref="BJ19" ca="1">IFERROR(IF(BI18&lt;&gt;0,INDEX(
INDIRECT("'シフト一覧（転載）'!"&amp;BI18&amp;":AK100"),1+1,
MATCH(1,INDEX((LEN(INDIRECT("'シフト一覧（転載）'!"&amp;BI18&amp;":AK100"))&gt;0)
*(INDIRECT("'シフト一覧（転載）'!"&amp;BI18&amp;":AK100")&lt;&gt;"休み"),1,0),0)),0),"")</f>
        <v>0</v>
      </c>
      <c r="BK19" s="21">
        <f ca="1">IF(BJ18=0,0,
IF(OR(BJ18="",COUNTIF(BJ18,"*保育無し*")),"",
IF(MOD(BJ19-BJ18,1)*24&gt;=8,1,
IF(MOD(BJ19-BJ18,1)*24&gt;=6,0.75,0))))</f>
        <v>0</v>
      </c>
      <c r="BL19" s="21">
        <f t="array" aca="1" ref="BL19" ca="1">IFERROR(IF(BK18&lt;&gt;0,INDEX(
INDIRECT("'シフト一覧（転載）'!"&amp;BK18&amp;":AK100"),1+1,
MATCH(1,INDEX((LEN(INDIRECT("'シフト一覧（転載）'!"&amp;BK18&amp;":AK100"))&gt;0)
*(INDIRECT("'シフト一覧（転載）'!"&amp;BK18&amp;":AK100")&lt;&gt;"休み"),1,0),0)),0),"")</f>
        <v>0</v>
      </c>
      <c r="BM19" s="21">
        <f ca="1">IF(BL18=0,0,
IF(OR(BL18="",COUNTIF(BL18,"*保育無し*")),"",
IF(MOD(BL19-BL18,1)*24&gt;=8,1,
IF(MOD(BL19-BL18,1)*24&gt;=6,0.75,0))))</f>
        <v>0</v>
      </c>
      <c r="BN19" s="21">
        <f t="array" aca="1" ref="BN19" ca="1">IFERROR(IF(BM18&lt;&gt;0,INDEX(
INDIRECT("'シフト一覧（転載）'!"&amp;BM18&amp;":AK100"),1+1,
MATCH(1,INDEX((LEN(INDIRECT("'シフト一覧（転載）'!"&amp;BM18&amp;":AK100"))&gt;0)
*(INDIRECT("'シフト一覧（転載）'!"&amp;BM18&amp;":AK100")&lt;&gt;"休み"),1,0),0)),0),"")</f>
        <v>0</v>
      </c>
      <c r="BO19" s="21">
        <f ca="1">IF(BN18=0,0,
IF(OR(BN18="",COUNTIF(BN18,"*保育無し*")),"",
IF(MOD(BN19-BN18,1)*24&gt;=8,1,
IF(MOD(BN19-BN18,1)*24&gt;=6,0.75,0))))</f>
        <v>0</v>
      </c>
      <c r="BP19" s="21">
        <f t="array" aca="1" ref="BP19" ca="1">IFERROR(IF(BO18&lt;&gt;0,INDEX(
INDIRECT("'シフト一覧（転載）'!"&amp;BO18&amp;":AK100"),1+1,
MATCH(1,INDEX((LEN(INDIRECT("'シフト一覧（転載）'!"&amp;BO18&amp;":AK100"))&gt;0)
*(INDIRECT("'シフト一覧（転載）'!"&amp;BO18&amp;":AK100")&lt;&gt;"休み"),1,0),0)),0),"")</f>
        <v>0</v>
      </c>
      <c r="BQ19" s="21">
        <f ca="1">IF(BP18=0,0,
IF(OR(BP18="",COUNTIF(BP18,"*保育無し*")),"",
IF(MOD(BP19-BP18,1)*24&gt;=8,1,
IF(MOD(BP19-BP18,1)*24&gt;=6,0.75,0))))</f>
        <v>0</v>
      </c>
      <c r="BR19" s="21">
        <f t="array" aca="1" ref="BR19" ca="1">IFERROR(IF(BQ18&lt;&gt;0,INDEX(
INDIRECT("'シフト一覧（転載）'!"&amp;BQ18&amp;":AK100"),1+1,
MATCH(1,INDEX((LEN(INDIRECT("'シフト一覧（転載）'!"&amp;BQ18&amp;":AK100"))&gt;0)
*(INDIRECT("'シフト一覧（転載）'!"&amp;BQ18&amp;":AK100")&lt;&gt;"休み"),1,0),0)),0),"")</f>
        <v>0</v>
      </c>
      <c r="BS19" s="21">
        <f ca="1">IF(BR18=0,0,
IF(OR(BR18="",COUNTIF(BR18,"*保育無し*")),"",
IF(MOD(BR19-BR18,1)*24&gt;=8,1,
IF(MOD(BR19-BR18,1)*24&gt;=6,0.75,0))))</f>
        <v>0</v>
      </c>
      <c r="BT19" s="21">
        <f t="array" aca="1" ref="BT19" ca="1">IFERROR(IF(BS18&lt;&gt;0,INDEX(
INDIRECT("'シフト一覧（転載）'!"&amp;BS18&amp;":AK100"),1+1,
MATCH(1,INDEX((LEN(INDIRECT("'シフト一覧（転載）'!"&amp;BS18&amp;":AK100"))&gt;0)
*(INDIRECT("'シフト一覧（転載）'!"&amp;BS18&amp;":AK100")&lt;&gt;"休み"),1,0),0)),0),"")</f>
        <v>0</v>
      </c>
      <c r="BU19" s="21">
        <f ca="1">IF(BT18=0,0,
IF(OR(BT18="",COUNTIF(BT18,"*保育無し*")),"",
IF(MOD(BT19-BT18,1)*24&gt;=8,1,
IF(MOD(BT19-BT18,1)*24&gt;=6,0.75,0))))</f>
        <v>0</v>
      </c>
      <c r="BV19" s="21">
        <f t="array" aca="1" ref="BV19" ca="1">IFERROR(IF(BU18&lt;&gt;0,INDEX(
INDIRECT("'シフト一覧（転載）'!"&amp;BU18&amp;":AK100"),1+1,
MATCH(1,INDEX((LEN(INDIRECT("'シフト一覧（転載）'!"&amp;BU18&amp;":AK100"))&gt;0)
*(INDIRECT("'シフト一覧（転載）'!"&amp;BU18&amp;":AK100")&lt;&gt;"休み"),1,0),0)),0),"")</f>
        <v>0</v>
      </c>
      <c r="BW19" s="21">
        <f ca="1">IF(BV18=0,0,
IF(OR(BV18="",COUNTIF(BV18,"*保育無し*")),"",
IF(MOD(BV19-BV18,1)*24&gt;=8,1,
IF(MOD(BV19-BV18,1)*24&gt;=6,0.75,0))))</f>
        <v>0</v>
      </c>
      <c r="BX19" s="21">
        <f t="array" aca="1" ref="BX19" ca="1">IFERROR(IF(BW18&lt;&gt;0,INDEX(
INDIRECT("'シフト一覧（転載）'!"&amp;BW18&amp;":AK100"),1+1,
MATCH(1,INDEX((LEN(INDIRECT("'シフト一覧（転載）'!"&amp;BW18&amp;":AK100"))&gt;0)
*(INDIRECT("'シフト一覧（転載）'!"&amp;BW18&amp;":AK100")&lt;&gt;"休み"),1,0),0)),0),"")</f>
        <v>0</v>
      </c>
      <c r="BY19" s="21">
        <f ca="1">IF(BX18=0,0,
IF(OR(BX18="",COUNTIF(BX18,"*保育無し*")),"",
IF(MOD(BX19-BX18,1)*24&gt;=8,1,
IF(MOD(BX19-BX18,1)*24&gt;=6,0.75,0))))</f>
        <v>0</v>
      </c>
    </row>
    <row r="20" spans="1:77" ht="19.8" customHeight="1" x14ac:dyDescent="0.2">
      <c r="A20" s="43">
        <f>IF(A19&lt;&gt;0,IF($B$9&gt;A19,A19+1,0),0)</f>
        <v>9</v>
      </c>
      <c r="B20" s="48" t="str" cm="1">
        <f t="array" aca="1" ref="B20" ca="1">IFERROR(_xlfn.TEXTJOIN("", TRUE, IF(ISERR(MID(INDIRECT("'Page_" &amp; A20 &amp; "'!C2"), ROW(INDIRECT("1:" &amp; LEN(INDIRECT("'Page_" &amp; A20 &amp; "'!C2")))), 1)*1), MID(INDIRECT("'Page_" &amp; A20 &amp; "'!C2"), ROW(INDIRECT("1:" &amp; LEN(INDIRECT("'Page_" &amp; A20 &amp; "'!C2")))), 1), "")),"")</f>
        <v>庄司</v>
      </c>
      <c r="C20" s="49" t="str" cm="1">
        <f t="array" aca="1" ref="C20" ca="1">IFERROR(IF(INDIRECT("'Page_" &amp; A20 &amp; "'!E2")&lt;&gt;"",INDIRECT("'Page_" &amp; A20 &amp; "'!E2"),INDIRECT("'Page_" &amp; A20 &amp; "'!D2")),"")</f>
        <v>愛未</v>
      </c>
      <c r="D20" s="58" t="str" cm="1">
        <f t="array" aca="1" ref="D20" ca="1">IFERROR(IF(INDIRECT("'Page_" &amp; A20 &amp; "'!Q3")&lt;&gt;"",INDIRECT("'Page_" &amp; A20 &amp; "'!Q3"),INDIRECT("'Page_" &amp; A20 &amp; "'!P3")),"")</f>
        <v>正社員(一般)・保育士</v>
      </c>
      <c r="E20" s="39">
        <f t="shared" ca="1" si="2"/>
        <v>0</v>
      </c>
      <c r="F20" s="28">
        <f t="shared" ca="1" si="3"/>
        <v>177.75</v>
      </c>
      <c r="G20" s="25">
        <f t="shared" ca="1" si="0"/>
        <v>168</v>
      </c>
      <c r="H20" s="63" t="str" cm="1">
        <f t="array" aca="1" ref="H20" ca="1">IF(B20&lt;&gt;"",IFERROR(INDEX('シフト一覧（転載）'!$C$8:$C$100,
MATCH(1, (ISNUMBER(SEARCH(B20,'シフト一覧（転載）'!$A$8:$A$100)))
*(ISNUMBER(SEARCH($F$9,'シフト一覧（転載）'!$B$8:$B$100))), 0)),""),"")</f>
        <v/>
      </c>
      <c r="I20" s="54">
        <f t="shared" ca="1" si="1"/>
        <v>0</v>
      </c>
      <c r="J20" s="25" cm="1">
        <f t="array" aca="1" ref="J20" ca="1">IF(B20&lt;&gt;"",IFERROR(SUM(INDIRECT("'Page_" &amp; A20 &amp; "'!K"&amp;MATCH("有休",INDIRECT("'Page_" &amp; A20 &amp; "'!K:K"),0)+2&amp;"")
+INDIRECT("'Page_" &amp; A20 &amp; "'!L"&amp;MATCH("特休",INDIRECT("'Page_" &amp; A20 &amp; "'!L:L"),0)+2&amp;""))*24,0),"")</f>
        <v>8</v>
      </c>
      <c r="K20" s="59"/>
      <c r="M20" s="103" t="str" cm="1">
        <f t="array" aca="1" ref="M2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0" s="101" t="str">
        <f t="shared" ref="N20" ca="1" si="7">IF(M20&lt;&gt;"",VLOOKUP(M20,$B$12:$C$41,2,FALSE),"")</f>
        <v/>
      </c>
      <c r="O20" s="106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20">
        <f t="array" aca="1" ref="P20" ca="1">IFERROR(IF(M20&lt;&gt;"",INDEX('シフト一覧（転載）'!$F$8:$AK$100,
    MATCH(1,(ISNUMBER(SEARCH(M20,'シフト一覧（転載）'!$A$8:$A$100)))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MATCH(1,(ISNUMBER(SEARCH(M20,'シフト一覧（転載）'!$A$8:$A$100)))
                *(ISNUMBER(SEARCH($F$9,'シフト一覧（転載）'!$B$8:$B$100))),
                0),0),0)),0),$F$9&amp;"保育無し")</f>
        <v>0</v>
      </c>
      <c r="Q20" s="20">
        <f t="array" aca="1" ref="Q20" ca="1">IFERROR(IF(COUNTIF(P20,"*無*"),"",IF(M20&lt;&gt;"",ADDRESS(
    MATCH(1,(ISNUMBER(SEARCH(M20,'シフト一覧（転載）'!$A$8:$A$100)))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MATCH(1,(ISNUMBER(SEARCH(M20,'シフト一覧（転載）'!$A$8:$A$100)))
                *(ISNUMBER(SEARCH($F$9,'シフト一覧（転載）'!$B$8:$B$100))),0),0),0) + 6,4),0)),0)</f>
        <v>0</v>
      </c>
      <c r="R20" s="20">
        <f t="array" aca="1" ref="R20" ca="1">IFERROR(IF(Q20&lt;&gt;"",IF(Q20&lt;&gt;0,INDEX(
INDIRECT("'シフト一覧（転載）'!"&amp;Q20&amp;":AK100"),1,
MATCH(1,INDEX((LEN(INDIRECT("'シフト一覧（転載）'!"&amp;Q20&amp;":AK100"))&gt;0)
*(INDIRECT("'シフト一覧（転載）'!"&amp;Q20&amp;":AK100")&lt;&gt;"休み"),1,0),0)),0),""),$F$9&amp;"保育無し")</f>
        <v>0</v>
      </c>
      <c r="S20" s="20">
        <f t="array" aca="1" ref="S20" ca="1">IFERROR(IF(Q20&lt;&gt;0,ADDRESS(ROW(INDIRECT(Q20)),
    COLUMN(INDIRECT(Q20)) - 1 +
    MATCH(1,INDEX((LEN(INDIRECT("'シフト一覧（転載）'!"&amp;Q20&amp;":AK100"))&gt;0)
            *(INDIRECT("'シフト一覧（転載）'!"&amp;Q20&amp;":AK100")&lt;&gt;"休み"),
            1,0),0)+1,4),0),"")</f>
        <v>0</v>
      </c>
      <c r="T20" s="20">
        <f t="array" aca="1" ref="T20" ca="1">IFERROR(IF(S20&lt;&gt;"",IF(S20&lt;&gt;0,INDEX(
INDIRECT("'シフト一覧（転載）'!"&amp;S20&amp;":AK100"),1,
MATCH(1,INDEX((LEN(INDIRECT("'シフト一覧（転載）'!"&amp;S20&amp;":AK100"))&gt;0)
*(INDIRECT("'シフト一覧（転載）'!"&amp;S20&amp;":AK100")&lt;&gt;"休み"),1,0),0)),0),""),$F$9&amp;"保育無し")</f>
        <v>0</v>
      </c>
      <c r="U20" s="20">
        <f t="array" aca="1" ref="U20" ca="1">IFERROR(IF(S20&lt;&gt;0,ADDRESS(ROW(INDIRECT(S20)),
    COLUMN(INDIRECT(S20)) - 1 +
    MATCH(1,INDEX((LEN(INDIRECT("'シフト一覧（転載）'!"&amp;S20&amp;":AK100"))&gt;0)
            *(INDIRECT("'シフト一覧（転載）'!"&amp;S20&amp;":AK100")&lt;&gt;"休み"),
            1,0),0)+1,4),0),"")</f>
        <v>0</v>
      </c>
      <c r="V20" s="20">
        <f t="array" aca="1" ref="V20" ca="1">IFERROR(IF(U20&lt;&gt;"",IF(U20&lt;&gt;0,INDEX(
INDIRECT("'シフト一覧（転載）'!"&amp;U20&amp;":AK100"),1,
MATCH(1,INDEX((LEN(INDIRECT("'シフト一覧（転載）'!"&amp;U20&amp;":AK100"))&gt;0)
*(INDIRECT("'シフト一覧（転載）'!"&amp;U20&amp;":AK100")&lt;&gt;"休み"),1,0),0)),0),""),$F$9&amp;"保育無し")</f>
        <v>0</v>
      </c>
      <c r="W20" s="20">
        <f t="array" aca="1" ref="W20" ca="1">IFERROR(IF(U20&lt;&gt;0,ADDRESS(ROW(INDIRECT(U20)),
    COLUMN(INDIRECT(U20)) - 1 +
    MATCH(1,INDEX((LEN(INDIRECT("'シフト一覧（転載）'!"&amp;U20&amp;":AK100"))&gt;0)
            *(INDIRECT("'シフト一覧（転載）'!"&amp;U20&amp;":AK100")&lt;&gt;"休み"),
            1,0),0)+1,4),0),"")</f>
        <v>0</v>
      </c>
      <c r="X20" s="20">
        <f t="array" aca="1" ref="X20" ca="1">IFERROR(IF(W20&lt;&gt;"",IF(W20&lt;&gt;0,INDEX(
INDIRECT("'シフト一覧（転載）'!"&amp;W20&amp;":AK100"),1,
MATCH(1,INDEX((LEN(INDIRECT("'シフト一覧（転載）'!"&amp;W20&amp;":AK100"))&gt;0)
*(INDIRECT("'シフト一覧（転載）'!"&amp;W20&amp;":AK100")&lt;&gt;"休み"),1,0),0)),0),""),$F$9&amp;"保育無し")</f>
        <v>0</v>
      </c>
      <c r="Y20" s="20">
        <f t="array" aca="1" ref="Y20" ca="1">IFERROR(IF(W20&lt;&gt;0,ADDRESS(ROW(INDIRECT(W20)),
    COLUMN(INDIRECT(W20)) - 1 +
    MATCH(1,INDEX((LEN(INDIRECT("'シフト一覧（転載）'!"&amp;W20&amp;":AK100"))&gt;0)
            *(INDIRECT("'シフト一覧（転載）'!"&amp;W20&amp;":AK100")&lt;&gt;"休み"),
            1,0),0)+1,4),0),"")</f>
        <v>0</v>
      </c>
      <c r="Z20" s="20">
        <f t="array" aca="1" ref="Z20" ca="1">IFERROR(IF(Y20&lt;&gt;"",IF(Y20&lt;&gt;0,INDEX(
INDIRECT("'シフト一覧（転載）'!"&amp;Y20&amp;":AK100"),1,
MATCH(1,INDEX((LEN(INDIRECT("'シフト一覧（転載）'!"&amp;Y20&amp;":AK100"))&gt;0)
*(INDIRECT("'シフト一覧（転載）'!"&amp;Y20&amp;":AK100")&lt;&gt;"休み"),1,0),0)),0),""),$F$9&amp;"保育無し")</f>
        <v>0</v>
      </c>
      <c r="AA20" s="20">
        <f t="array" aca="1" ref="AA20" ca="1">IFERROR(IF(Y20&lt;&gt;0,ADDRESS(ROW(INDIRECT(Y20)),
    COLUMN(INDIRECT(Y20)) - 1 +
    MATCH(1,INDEX((LEN(INDIRECT("'シフト一覧（転載）'!"&amp;Y20&amp;":AK100"))&gt;0)
            *(INDIRECT("'シフト一覧（転載）'!"&amp;Y20&amp;":AK100")&lt;&gt;"休み"),
            1,0),0)+1,4),0),"")</f>
        <v>0</v>
      </c>
      <c r="AB20" s="20">
        <f t="array" aca="1" ref="AB20" ca="1">IFERROR(IF(AA20&lt;&gt;"",IF(AA20&lt;&gt;0,INDEX(
INDIRECT("'シフト一覧（転載）'!"&amp;AA20&amp;":AK100"),1,
MATCH(1,INDEX((LEN(INDIRECT("'シフト一覧（転載）'!"&amp;AA20&amp;":AK100"))&gt;0)
*(INDIRECT("'シフト一覧（転載）'!"&amp;AA20&amp;":AK100")&lt;&gt;"休み"),1,0),0)),0),""),$F$9&amp;"保育無し")</f>
        <v>0</v>
      </c>
      <c r="AC20" s="20">
        <f t="array" aca="1" ref="AC20" ca="1">IFERROR(IF(AA20&lt;&gt;0,ADDRESS(ROW(INDIRECT(AA20)),
    COLUMN(INDIRECT(AA20)) - 1 +
    MATCH(1,INDEX((LEN(INDIRECT("'シフト一覧（転載）'!"&amp;AA20&amp;":AK100"))&gt;0)
            *(INDIRECT("'シフト一覧（転載）'!"&amp;AA20&amp;":AK100")&lt;&gt;"休み"),
            1,0),0)+1,4),0),"")</f>
        <v>0</v>
      </c>
      <c r="AD20" s="20">
        <f t="array" aca="1" ref="AD20" ca="1">IFERROR(IF(AC20&lt;&gt;"",IF(AC20&lt;&gt;0,INDEX(
INDIRECT("'シフト一覧（転載）'!"&amp;AC20&amp;":AK100"),1,
MATCH(1,INDEX((LEN(INDIRECT("'シフト一覧（転載）'!"&amp;AC20&amp;":AK100"))&gt;0)
*(INDIRECT("'シフト一覧（転載）'!"&amp;AC20&amp;":AK100")&lt;&gt;"休み"),1,0),0)),0),""),$F$9&amp;"保育無し")</f>
        <v>0</v>
      </c>
      <c r="AE20" s="20">
        <f t="array" aca="1" ref="AE20" ca="1">IFERROR(IF(AC20&lt;&gt;0,ADDRESS(ROW(INDIRECT(AC20)),
    COLUMN(INDIRECT(AC20)) - 1 +
    MATCH(1,INDEX((LEN(INDIRECT("'シフト一覧（転載）'!"&amp;AC20&amp;":AK100"))&gt;0)
            *(INDIRECT("'シフト一覧（転載）'!"&amp;AC20&amp;":AK100")&lt;&gt;"休み"),
            1,0),0)+1,4),0),"")</f>
        <v>0</v>
      </c>
      <c r="AF20" s="20">
        <f t="array" aca="1" ref="AF20" ca="1">IFERROR(IF(AE20&lt;&gt;"",IF(AE20&lt;&gt;0,INDEX(
INDIRECT("'シフト一覧（転載）'!"&amp;AE20&amp;":AK100"),1,
MATCH(1,INDEX((LEN(INDIRECT("'シフト一覧（転載）'!"&amp;AE20&amp;":AK100"))&gt;0)
*(INDIRECT("'シフト一覧（転載）'!"&amp;AE20&amp;":AK100")&lt;&gt;"休み"),1,0),0)),0),""),$F$9&amp;"保育無し")</f>
        <v>0</v>
      </c>
      <c r="AG20" s="20">
        <f t="array" aca="1" ref="AG20" ca="1">IFERROR(IF(AE20&lt;&gt;0,ADDRESS(ROW(INDIRECT(AE20)),
    COLUMN(INDIRECT(AE20)) - 1 +
    MATCH(1,INDEX((LEN(INDIRECT("'シフト一覧（転載）'!"&amp;AE20&amp;":AK100"))&gt;0)
            *(INDIRECT("'シフト一覧（転載）'!"&amp;AE20&amp;":AK100")&lt;&gt;"休み"),
            1,0),0)+1,4),0),"")</f>
        <v>0</v>
      </c>
      <c r="AH20" s="20">
        <f t="array" aca="1" ref="AH20" ca="1">IFERROR(IF(AG20&lt;&gt;"",IF(AG20&lt;&gt;0,INDEX(
INDIRECT("'シフト一覧（転載）'!"&amp;AG20&amp;":AK100"),1,
MATCH(1,INDEX((LEN(INDIRECT("'シフト一覧（転載）'!"&amp;AG20&amp;":AK100"))&gt;0)
*(INDIRECT("'シフト一覧（転載）'!"&amp;AG20&amp;":AK100")&lt;&gt;"休み"),1,0),0)),0),""),$F$9&amp;"保育無し")</f>
        <v>0</v>
      </c>
      <c r="AI20" s="20">
        <f t="array" aca="1" ref="AI20" ca="1">IFERROR(IF(AG20&lt;&gt;0,ADDRESS(ROW(INDIRECT(AG20)),
    COLUMN(INDIRECT(AG20)) - 1 +
    MATCH(1,INDEX((LEN(INDIRECT("'シフト一覧（転載）'!"&amp;AG20&amp;":AK100"))&gt;0)
            *(INDIRECT("'シフト一覧（転載）'!"&amp;AG20&amp;":AK100")&lt;&gt;"休み"),
            1,0),0)+1,4),0),"")</f>
        <v>0</v>
      </c>
      <c r="AJ20" s="20">
        <f t="array" aca="1" ref="AJ20" ca="1">IFERROR(IF(AI20&lt;&gt;"",IF(AI20&lt;&gt;0,INDEX(
INDIRECT("'シフト一覧（転載）'!"&amp;AI20&amp;":AK100"),1,
MATCH(1,INDEX((LEN(INDIRECT("'シフト一覧（転載）'!"&amp;AI20&amp;":AK100"))&gt;0)
*(INDIRECT("'シフト一覧（転載）'!"&amp;AI20&amp;":AK100")&lt;&gt;"休み"),1,0),0)),0),""),$F$9&amp;"保育無し")</f>
        <v>0</v>
      </c>
      <c r="AK20" s="20">
        <f t="array" aca="1" ref="AK20" ca="1">IFERROR(IF(AI20&lt;&gt;0,ADDRESS(ROW(INDIRECT(AI20)),
    COLUMN(INDIRECT(AI20)) - 1 +
    MATCH(1,INDEX((LEN(INDIRECT("'シフト一覧（転載）'!"&amp;AI20&amp;":AK100"))&gt;0)
            *(INDIRECT("'シフト一覧（転載）'!"&amp;AI20&amp;":AK100")&lt;&gt;"休み"),
            1,0),0)+1,4),0),"")</f>
        <v>0</v>
      </c>
      <c r="AL20" s="20">
        <f t="array" aca="1" ref="AL20" ca="1">IFERROR(IF(AK20&lt;&gt;"",IF(AK20&lt;&gt;0,INDEX(
INDIRECT("'シフト一覧（転載）'!"&amp;AK20&amp;":AK100"),1,
MATCH(1,INDEX((LEN(INDIRECT("'シフト一覧（転載）'!"&amp;AK20&amp;":AK100"))&gt;0)
*(INDIRECT("'シフト一覧（転載）'!"&amp;AK20&amp;":AK100")&lt;&gt;"休み"),1,0),0)),0),""),$F$9&amp;"保育無し")</f>
        <v>0</v>
      </c>
      <c r="AM20" s="20">
        <f t="array" aca="1" ref="AM20" ca="1">IFERROR(IF(AK20&lt;&gt;0,ADDRESS(ROW(INDIRECT(AK20)),
    COLUMN(INDIRECT(AK20)) - 1 +
    MATCH(1,INDEX((LEN(INDIRECT("'シフト一覧（転載）'!"&amp;AK20&amp;":AK100"))&gt;0)
            *(INDIRECT("'シフト一覧（転載）'!"&amp;AK20&amp;":AK100")&lt;&gt;"休み"),
            1,0),0)+1,4),0),"")</f>
        <v>0</v>
      </c>
      <c r="AN20" s="20">
        <f t="array" aca="1" ref="AN20" ca="1">IFERROR(IF(AM20&lt;&gt;"",IF(AM20&lt;&gt;0,INDEX(
INDIRECT("'シフト一覧（転載）'!"&amp;AM20&amp;":AK100"),1,
MATCH(1,INDEX((LEN(INDIRECT("'シフト一覧（転載）'!"&amp;AM20&amp;":AK100"))&gt;0)
*(INDIRECT("'シフト一覧（転載）'!"&amp;AM20&amp;":AK100")&lt;&gt;"休み"),1,0),0)),0),""),$F$9&amp;"保育無し")</f>
        <v>0</v>
      </c>
      <c r="AO20" s="20">
        <f t="array" aca="1" ref="AO20" ca="1">IFERROR(IF(AM20&lt;&gt;0,ADDRESS(ROW(INDIRECT(AM20)),
    COLUMN(INDIRECT(AM20)) - 1 +
    MATCH(1,INDEX((LEN(INDIRECT("'シフト一覧（転載）'!"&amp;AM20&amp;":AK100"))&gt;0)
            *(INDIRECT("'シフト一覧（転載）'!"&amp;AM20&amp;":AK100")&lt;&gt;"休み"),
            1,0),0)+1,4),0),"")</f>
        <v>0</v>
      </c>
      <c r="AP20" s="20">
        <f t="array" aca="1" ref="AP20" ca="1">IFERROR(IF(AO20&lt;&gt;"",IF(AO20&lt;&gt;0,INDEX(
INDIRECT("'シフト一覧（転載）'!"&amp;AO20&amp;":AK100"),1,
MATCH(1,INDEX((LEN(INDIRECT("'シフト一覧（転載）'!"&amp;AO20&amp;":AK100"))&gt;0)
*(INDIRECT("'シフト一覧（転載）'!"&amp;AO20&amp;":AK100")&lt;&gt;"休み"),1,0),0)),0),""),$F$9&amp;"保育無し")</f>
        <v>0</v>
      </c>
      <c r="AQ20" s="20">
        <f t="array" aca="1" ref="AQ20" ca="1">IFERROR(IF(AO20&lt;&gt;0,ADDRESS(ROW(INDIRECT(AO20)),
    COLUMN(INDIRECT(AO20)) - 1 +
    MATCH(1,INDEX((LEN(INDIRECT("'シフト一覧（転載）'!"&amp;AO20&amp;":AK100"))&gt;0)
            *(INDIRECT("'シフト一覧（転載）'!"&amp;AO20&amp;":AK100")&lt;&gt;"休み"),
            1,0),0)+1,4),0),"")</f>
        <v>0</v>
      </c>
      <c r="AR20" s="20">
        <f t="array" aca="1" ref="AR20" ca="1">IFERROR(IF(AQ20&lt;&gt;"",IF(AQ20&lt;&gt;0,INDEX(
INDIRECT("'シフト一覧（転載）'!"&amp;AQ20&amp;":AK100"),1,
MATCH(1,INDEX((LEN(INDIRECT("'シフト一覧（転載）'!"&amp;AQ20&amp;":AK100"))&gt;0)
*(INDIRECT("'シフト一覧（転載）'!"&amp;AQ20&amp;":AK100")&lt;&gt;"休み"),1,0),0)),0),""),$F$9&amp;"保育無し")</f>
        <v>0</v>
      </c>
      <c r="AS20" s="20">
        <f t="array" aca="1" ref="AS20" ca="1">IFERROR(IF(AQ20&lt;&gt;0,ADDRESS(ROW(INDIRECT(AQ20)),
    COLUMN(INDIRECT(AQ20)) - 1 +
    MATCH(1,INDEX((LEN(INDIRECT("'シフト一覧（転載）'!"&amp;AQ20&amp;":AK100"))&gt;0)
            *(INDIRECT("'シフト一覧（転載）'!"&amp;AQ20&amp;":AK100")&lt;&gt;"休み"),
            1,0),0)+1,4),0),"")</f>
        <v>0</v>
      </c>
      <c r="AT20" s="20">
        <f t="array" aca="1" ref="AT20" ca="1">IFERROR(IF(AS20&lt;&gt;"",IF(AS20&lt;&gt;0,INDEX(
INDIRECT("'シフト一覧（転載）'!"&amp;AS20&amp;":AK100"),1,
MATCH(1,INDEX((LEN(INDIRECT("'シフト一覧（転載）'!"&amp;AS20&amp;":AK100"))&gt;0)
*(INDIRECT("'シフト一覧（転載）'!"&amp;AS20&amp;":AK100")&lt;&gt;"休み"),1,0),0)),0),""),$F$9&amp;"保育無し")</f>
        <v>0</v>
      </c>
      <c r="AU20" s="20">
        <f t="array" aca="1" ref="AU20" ca="1">IFERROR(IF(AS20&lt;&gt;0,ADDRESS(ROW(INDIRECT(AS20)),
    COLUMN(INDIRECT(AS20)) - 1 +
    MATCH(1,INDEX((LEN(INDIRECT("'シフト一覧（転載）'!"&amp;AS20&amp;":AK100"))&gt;0)
            *(INDIRECT("'シフト一覧（転載）'!"&amp;AS20&amp;":AK100")&lt;&gt;"休み"),
            1,0),0)+1,4),0),"")</f>
        <v>0</v>
      </c>
      <c r="AV20" s="20">
        <f t="array" aca="1" ref="AV20" ca="1">IFERROR(IF(AU20&lt;&gt;"",IF(AU20&lt;&gt;0,INDEX(
INDIRECT("'シフト一覧（転載）'!"&amp;AU20&amp;":AK100"),1,
MATCH(1,INDEX((LEN(INDIRECT("'シフト一覧（転載）'!"&amp;AU20&amp;":AK100"))&gt;0)
*(INDIRECT("'シフト一覧（転載）'!"&amp;AU20&amp;":AK100")&lt;&gt;"休み"),1,0),0)),0),""),$F$9&amp;"保育無し")</f>
        <v>0</v>
      </c>
      <c r="AW20" s="20">
        <f t="array" aca="1" ref="AW20" ca="1">IFERROR(IF(AU20&lt;&gt;0,ADDRESS(ROW(INDIRECT(AU20)),
    COLUMN(INDIRECT(AU20)) - 1 +
    MATCH(1,INDEX((LEN(INDIRECT("'シフト一覧（転載）'!"&amp;AU20&amp;":AK100"))&gt;0)
            *(INDIRECT("'シフト一覧（転載）'!"&amp;AU20&amp;":AK100")&lt;&gt;"休み"),
            1,0),0)+1,4),0),"")</f>
        <v>0</v>
      </c>
      <c r="AX20" s="20">
        <f t="array" aca="1" ref="AX20" ca="1">IFERROR(IF(AW20&lt;&gt;"",IF(AW20&lt;&gt;0,INDEX(
INDIRECT("'シフト一覧（転載）'!"&amp;AW20&amp;":AK100"),1,
MATCH(1,INDEX((LEN(INDIRECT("'シフト一覧（転載）'!"&amp;AW20&amp;":AK100"))&gt;0)
*(INDIRECT("'シフト一覧（転載）'!"&amp;AW20&amp;":AK100")&lt;&gt;"休み"),1,0),0)),0),""),$F$9&amp;"保育無し")</f>
        <v>0</v>
      </c>
      <c r="AY20" s="20">
        <f t="array" aca="1" ref="AY20" ca="1">IFERROR(IF(AW20&lt;&gt;0,ADDRESS(ROW(INDIRECT(AW20)),
    COLUMN(INDIRECT(AW20)) - 1 +
    MATCH(1,INDEX((LEN(INDIRECT("'シフト一覧（転載）'!"&amp;AW20&amp;":AK100"))&gt;0)
            *(INDIRECT("'シフト一覧（転載）'!"&amp;AW20&amp;":AK100")&lt;&gt;"休み"),
            1,0),0)+1,4),0),"")</f>
        <v>0</v>
      </c>
      <c r="AZ20" s="20">
        <f t="array" aca="1" ref="AZ20" ca="1">IFERROR(IF(AY20&lt;&gt;"",IF(AY20&lt;&gt;0,INDEX(
INDIRECT("'シフト一覧（転載）'!"&amp;AY20&amp;":AK100"),1,
MATCH(1,INDEX((LEN(INDIRECT("'シフト一覧（転載）'!"&amp;AY20&amp;":AK100"))&gt;0)
*(INDIRECT("'シフト一覧（転載）'!"&amp;AY20&amp;":AK100")&lt;&gt;"休み"),1,0),0)),0),""),$F$9&amp;"保育無し")</f>
        <v>0</v>
      </c>
      <c r="BA20" s="20">
        <f t="array" aca="1" ref="BA20" ca="1">IFERROR(IF(AY20&lt;&gt;0,ADDRESS(ROW(INDIRECT(AY20)),
    COLUMN(INDIRECT(AY20)) - 1 +
    MATCH(1,INDEX((LEN(INDIRECT("'シフト一覧（転載）'!"&amp;AY20&amp;":AK100"))&gt;0)
            *(INDIRECT("'シフト一覧（転載）'!"&amp;AY20&amp;":AK100")&lt;&gt;"休み"),
            1,0),0)+1,4),0),"")</f>
        <v>0</v>
      </c>
      <c r="BB20" s="20">
        <f t="array" aca="1" ref="BB20" ca="1">IFERROR(IF(BA20&lt;&gt;"",IF(BA20&lt;&gt;0,INDEX(
INDIRECT("'シフト一覧（転載）'!"&amp;BA20&amp;":AK100"),1,
MATCH(1,INDEX((LEN(INDIRECT("'シフト一覧（転載）'!"&amp;BA20&amp;":AK100"))&gt;0)
*(INDIRECT("'シフト一覧（転載）'!"&amp;BA20&amp;":AK100")&lt;&gt;"休み"),1,0),0)),0),""),$F$9&amp;"保育無し")</f>
        <v>0</v>
      </c>
      <c r="BC20" s="20">
        <f t="array" aca="1" ref="BC20" ca="1">IFERROR(IF(BA20&lt;&gt;0,ADDRESS(ROW(INDIRECT(BA20)),
    COLUMN(INDIRECT(BA20)) - 1 +
    MATCH(1,INDEX((LEN(INDIRECT("'シフト一覧（転載）'!"&amp;BA20&amp;":AK100"))&gt;0)
            *(INDIRECT("'シフト一覧（転載）'!"&amp;BA20&amp;":AK100")&lt;&gt;"休み"),
            1,0),0)+1,4),0),"")</f>
        <v>0</v>
      </c>
      <c r="BD20" s="20">
        <f t="array" aca="1" ref="BD20" ca="1">IFERROR(IF(BC20&lt;&gt;"",IF(BC20&lt;&gt;0,INDEX(
INDIRECT("'シフト一覧（転載）'!"&amp;BC20&amp;":AK100"),1,
MATCH(1,INDEX((LEN(INDIRECT("'シフト一覧（転載）'!"&amp;BC20&amp;":AK100"))&gt;0)
*(INDIRECT("'シフト一覧（転載）'!"&amp;BC20&amp;":AK100")&lt;&gt;"休み"),1,0),0)),0),""),$F$9&amp;"保育無し")</f>
        <v>0</v>
      </c>
      <c r="BE20" s="20">
        <f t="array" aca="1" ref="BE20" ca="1">IFERROR(IF(BC20&lt;&gt;0,ADDRESS(ROW(INDIRECT(BC20)),
    COLUMN(INDIRECT(BC20)) - 1 +
    MATCH(1,INDEX((LEN(INDIRECT("'シフト一覧（転載）'!"&amp;BC20&amp;":AK100"))&gt;0)
            *(INDIRECT("'シフト一覧（転載）'!"&amp;BC20&amp;":AK100")&lt;&gt;"休み"),
            1,0),0)+1,4),0),"")</f>
        <v>0</v>
      </c>
      <c r="BF20" s="20">
        <f t="array" aca="1" ref="BF20" ca="1">IFERROR(IF(BE20&lt;&gt;"",IF(BE20&lt;&gt;0,INDEX(
INDIRECT("'シフト一覧（転載）'!"&amp;BE20&amp;":AK100"),1,
MATCH(1,INDEX((LEN(INDIRECT("'シフト一覧（転載）'!"&amp;BE20&amp;":AK100"))&gt;0)
*(INDIRECT("'シフト一覧（転載）'!"&amp;BE20&amp;":AK100")&lt;&gt;"休み"),1,0),0)),0),""),$F$9&amp;"保育無し")</f>
        <v>0</v>
      </c>
      <c r="BG20" s="20">
        <f t="array" aca="1" ref="BG20" ca="1">IFERROR(IF(BE20&lt;&gt;0,ADDRESS(ROW(INDIRECT(BE20)),
    COLUMN(INDIRECT(BE20)) - 1 +
    MATCH(1,INDEX((LEN(INDIRECT("'シフト一覧（転載）'!"&amp;BE20&amp;":AK100"))&gt;0)
            *(INDIRECT("'シフト一覧（転載）'!"&amp;BE20&amp;":AK100")&lt;&gt;"休み"),
            1,0),0)+1,4),0),"")</f>
        <v>0</v>
      </c>
      <c r="BH20" s="20">
        <f t="array" aca="1" ref="BH20" ca="1">IFERROR(IF(BG20&lt;&gt;"",IF(BG20&lt;&gt;0,INDEX(
INDIRECT("'シフト一覧（転載）'!"&amp;BG20&amp;":AK100"),1,
MATCH(1,INDEX((LEN(INDIRECT("'シフト一覧（転載）'!"&amp;BG20&amp;":AK100"))&gt;0)
*(INDIRECT("'シフト一覧（転載）'!"&amp;BG20&amp;":AK100")&lt;&gt;"休み"),1,0),0)),0),""),$F$9&amp;"保育無し")</f>
        <v>0</v>
      </c>
      <c r="BI20" s="20">
        <f t="array" aca="1" ref="BI20" ca="1">IFERROR(IF(BG20&lt;&gt;0,ADDRESS(ROW(INDIRECT(BG20)),
    COLUMN(INDIRECT(BG20)) - 1 +
    MATCH(1,INDEX((LEN(INDIRECT("'シフト一覧（転載）'!"&amp;BG20&amp;":AK100"))&gt;0)
            *(INDIRECT("'シフト一覧（転載）'!"&amp;BG20&amp;":AK100")&lt;&gt;"休み"),
            1,0),0)+1,4),0),"")</f>
        <v>0</v>
      </c>
      <c r="BJ20" s="20">
        <f t="array" aca="1" ref="BJ20" ca="1">IFERROR(IF(BI20&lt;&gt;"",IF(BI20&lt;&gt;0,INDEX(
INDIRECT("'シフト一覧（転載）'!"&amp;BI20&amp;":AK100"),1,
MATCH(1,INDEX((LEN(INDIRECT("'シフト一覧（転載）'!"&amp;BI20&amp;":AK100"))&gt;0)
*(INDIRECT("'シフト一覧（転載）'!"&amp;BI20&amp;":AK100")&lt;&gt;"休み"),1,0),0)),0),""),$F$9&amp;"保育無し")</f>
        <v>0</v>
      </c>
      <c r="BK20" s="20">
        <f t="array" aca="1" ref="BK20" ca="1">IFERROR(IF(BI20&lt;&gt;0,ADDRESS(ROW(INDIRECT(BI20)),
    COLUMN(INDIRECT(BI20)) - 1 +
    MATCH(1,INDEX((LEN(INDIRECT("'シフト一覧（転載）'!"&amp;BI20&amp;":AK100"))&gt;0)
            *(INDIRECT("'シフト一覧（転載）'!"&amp;BI20&amp;":AK100")&lt;&gt;"休み"),
            1,0),0)+1,4),0),"")</f>
        <v>0</v>
      </c>
      <c r="BL20" s="20">
        <f t="array" aca="1" ref="BL20" ca="1">IFERROR(IF(BK20&lt;&gt;"",IF(BK20&lt;&gt;0,INDEX(
INDIRECT("'シフト一覧（転載）'!"&amp;BK20&amp;":AK100"),1,
MATCH(1,INDEX((LEN(INDIRECT("'シフト一覧（転載）'!"&amp;BK20&amp;":AK100"))&gt;0)
*(INDIRECT("'シフト一覧（転載）'!"&amp;BK20&amp;":AK100")&lt;&gt;"休み"),1,0),0)),0),""),$F$9&amp;"保育無し")</f>
        <v>0</v>
      </c>
      <c r="BM20" s="20">
        <f t="array" aca="1" ref="BM20" ca="1">IFERROR(IF(BK20&lt;&gt;0,ADDRESS(ROW(INDIRECT(BK20)),
    COLUMN(INDIRECT(BK20)) - 1 +
    MATCH(1,INDEX((LEN(INDIRECT("'シフト一覧（転載）'!"&amp;BK20&amp;":AK100"))&gt;0)
            *(INDIRECT("'シフト一覧（転載）'!"&amp;BK20&amp;":AK100")&lt;&gt;"休み"),
            1,0),0)+1,4),0),"")</f>
        <v>0</v>
      </c>
      <c r="BN20" s="20">
        <f t="array" aca="1" ref="BN20" ca="1">IFERROR(IF(BM20&lt;&gt;"",IF(BM20&lt;&gt;0,INDEX(
INDIRECT("'シフト一覧（転載）'!"&amp;BM20&amp;":AK100"),1,
MATCH(1,INDEX((LEN(INDIRECT("'シフト一覧（転載）'!"&amp;BM20&amp;":AK100"))&gt;0)
*(INDIRECT("'シフト一覧（転載）'!"&amp;BM20&amp;":AK100")&lt;&gt;"休み"),1,0),0)),0),""),$F$9&amp;"保育無し")</f>
        <v>0</v>
      </c>
      <c r="BO20" s="20">
        <f t="array" aca="1" ref="BO20" ca="1">IFERROR(IF(BM20&lt;&gt;0,ADDRESS(ROW(INDIRECT(BM20)),
    COLUMN(INDIRECT(BM20)) - 1 +
    MATCH(1,INDEX((LEN(INDIRECT("'シフト一覧（転載）'!"&amp;BM20&amp;":AK100"))&gt;0)
            *(INDIRECT("'シフト一覧（転載）'!"&amp;BM20&amp;":AK100")&lt;&gt;"休み"),
            1,0),0)+1,4),0),"")</f>
        <v>0</v>
      </c>
      <c r="BP20" s="20">
        <f t="array" aca="1" ref="BP20" ca="1">IFERROR(IF(BO20&lt;&gt;"",IF(BO20&lt;&gt;0,INDEX(
INDIRECT("'シフト一覧（転載）'!"&amp;BO20&amp;":AK100"),1,
MATCH(1,INDEX((LEN(INDIRECT("'シフト一覧（転載）'!"&amp;BO20&amp;":AK100"))&gt;0)
*(INDIRECT("'シフト一覧（転載）'!"&amp;BO20&amp;":AK100")&lt;&gt;"休み"),1,0),0)),0),""),$F$9&amp;"保育無し")</f>
        <v>0</v>
      </c>
      <c r="BQ20" s="20">
        <f t="array" aca="1" ref="BQ20" ca="1">IFERROR(IF(BO20&lt;&gt;0,ADDRESS(ROW(INDIRECT(BO20)),
    COLUMN(INDIRECT(BO20)) - 1 +
    MATCH(1,INDEX((LEN(INDIRECT("'シフト一覧（転載）'!"&amp;BO20&amp;":AK100"))&gt;0)
            *(INDIRECT("'シフト一覧（転載）'!"&amp;BO20&amp;":AK100")&lt;&gt;"休み"),
            1,0),0)+1,4),0),"")</f>
        <v>0</v>
      </c>
      <c r="BR20" s="20">
        <f t="array" aca="1" ref="BR20" ca="1">IFERROR(IF(BQ20&lt;&gt;"",IF(BQ20&lt;&gt;0,INDEX(
INDIRECT("'シフト一覧（転載）'!"&amp;BQ20&amp;":AK100"),1,
MATCH(1,INDEX((LEN(INDIRECT("'シフト一覧（転載）'!"&amp;BQ20&amp;":AK100"))&gt;0)
*(INDIRECT("'シフト一覧（転載）'!"&amp;BQ20&amp;":AK100")&lt;&gt;"休み"),1,0),0)),0),""),$F$9&amp;"保育無し")</f>
        <v>0</v>
      </c>
      <c r="BS20" s="20">
        <f t="array" aca="1" ref="BS20" ca="1">IFERROR(IF(BQ20&lt;&gt;0,ADDRESS(ROW(INDIRECT(BQ20)),
    COLUMN(INDIRECT(BQ20)) - 1 +
    MATCH(1,INDEX((LEN(INDIRECT("'シフト一覧（転載）'!"&amp;BQ20&amp;":AK100"))&gt;0)
            *(INDIRECT("'シフト一覧（転載）'!"&amp;BQ20&amp;":AK100")&lt;&gt;"休み"),
            1,0),0)+1,4),0),"")</f>
        <v>0</v>
      </c>
      <c r="BT20" s="20">
        <f t="array" aca="1" ref="BT20" ca="1">IFERROR(IF(BS20&lt;&gt;"",IF(BS20&lt;&gt;0,INDEX(
INDIRECT("'シフト一覧（転載）'!"&amp;BS20&amp;":AK100"),1,
MATCH(1,INDEX((LEN(INDIRECT("'シフト一覧（転載）'!"&amp;BS20&amp;":AK100"))&gt;0)
*(INDIRECT("'シフト一覧（転載）'!"&amp;BS20&amp;":AK100")&lt;&gt;"休み"),1,0),0)),0),""),$F$9&amp;"保育無し")</f>
        <v>0</v>
      </c>
      <c r="BU20" s="20">
        <f t="array" aca="1" ref="BU20" ca="1">IFERROR(IF(BS20&lt;&gt;0,ADDRESS(ROW(INDIRECT(BS20)),
    COLUMN(INDIRECT(BS20)) - 1 +
    MATCH(1,INDEX((LEN(INDIRECT("'シフト一覧（転載）'!"&amp;BS20&amp;":AK100"))&gt;0)
            *(INDIRECT("'シフト一覧（転載）'!"&amp;BS20&amp;":AK100")&lt;&gt;"休み"),
            1,0),0)+1,4),0),"")</f>
        <v>0</v>
      </c>
      <c r="BV20" s="20">
        <f t="array" aca="1" ref="BV20" ca="1">IFERROR(IF(BU20&lt;&gt;"",IF(BU20&lt;&gt;0,INDEX(
INDIRECT("'シフト一覧（転載）'!"&amp;BU20&amp;":AK100"),1,
MATCH(1,INDEX((LEN(INDIRECT("'シフト一覧（転載）'!"&amp;BU20&amp;":AK100"))&gt;0)
*(INDIRECT("'シフト一覧（転載）'!"&amp;BU20&amp;":AK100")&lt;&gt;"休み"),1,0),0)),0),""),$F$9&amp;"保育無し")</f>
        <v>0</v>
      </c>
      <c r="BW20" s="20">
        <f t="array" aca="1" ref="BW20" ca="1">IFERROR(IF(BU20&lt;&gt;0,ADDRESS(ROW(INDIRECT(BU20)),
    COLUMN(INDIRECT(BU20)) - 1 +
    MATCH(1,INDEX((LEN(INDIRECT("'シフト一覧（転載）'!"&amp;BU20&amp;":AK100"))&gt;0)
            *(INDIRECT("'シフト一覧（転載）'!"&amp;BU20&amp;":AK100")&lt;&gt;"休み"),
            1,0),0)+1,4),0),"")</f>
        <v>0</v>
      </c>
      <c r="BX20" s="20">
        <f t="array" aca="1" ref="BX20" ca="1">IFERROR(IF(BW20&lt;&gt;"",IF(BW20&lt;&gt;0,INDEX(
INDIRECT("'シフト一覧（転載）'!"&amp;BW20&amp;":AK100"),1,
MATCH(1,INDEX((LEN(INDIRECT("'シフト一覧（転載）'!"&amp;BW20&amp;":AK100"))&gt;0)
*(INDIRECT("'シフト一覧（転載）'!"&amp;BW20&amp;":AK100")&lt;&gt;"休み"),1,0),0)),0),""),$F$9&amp;"保育無し")</f>
        <v>0</v>
      </c>
      <c r="BY20" s="20">
        <f t="array" aca="1" ref="BY20" ca="1">IFERROR(IF(BW20&lt;&gt;0,ADDRESS(ROW(INDIRECT(BW20)),
    COLUMN(INDIRECT(BW20)) - 1 +
    MATCH(1,INDEX((LEN(INDIRECT("'シフト一覧（転載）'!"&amp;BW20&amp;":AK100"))&gt;0)
            *(INDIRECT("'シフト一覧（転載）'!"&amp;BW20&amp;":AK100")&lt;&gt;"休み"),
            1,0),0)+1,4),0),"")</f>
        <v>0</v>
      </c>
    </row>
    <row r="21" spans="1:77" ht="19.8" customHeight="1" x14ac:dyDescent="0.2">
      <c r="A21" s="43">
        <f>IF(A20&lt;&gt;0,IF($B$9&gt;A20,A20+1,0),0)</f>
        <v>10</v>
      </c>
      <c r="B21" s="48" t="str" cm="1">
        <f t="array" aca="1" ref="B21" ca="1">IFERROR(_xlfn.TEXTJOIN("", TRUE, IF(ISERR(MID(INDIRECT("'Page_" &amp; A21 &amp; "'!C2"), ROW(INDIRECT("1:" &amp; LEN(INDIRECT("'Page_" &amp; A21 &amp; "'!C2")))), 1)*1), MID(INDIRECT("'Page_" &amp; A21 &amp; "'!C2"), ROW(INDIRECT("1:" &amp; LEN(INDIRECT("'Page_" &amp; A21 &amp; "'!C2")))), 1), "")),"")</f>
        <v>加藤</v>
      </c>
      <c r="C21" s="49" t="str" cm="1">
        <f t="array" aca="1" ref="C21" ca="1">IFERROR(IF(INDIRECT("'Page_" &amp; A21 &amp; "'!E2")&lt;&gt;"",INDIRECT("'Page_" &amp; A21 &amp; "'!E2"),INDIRECT("'Page_" &amp; A21 &amp; "'!D2")),"")</f>
        <v>優里絵</v>
      </c>
      <c r="D21" s="58" t="str" cm="1">
        <f t="array" aca="1" ref="D21" ca="1">IFERROR(IF(INDIRECT("'Page_" &amp; A21 &amp; "'!Q3")&lt;&gt;"",INDIRECT("'Page_" &amp; A21 &amp; "'!Q3"),INDIRECT("'Page_" &amp; A21 &amp; "'!P3")),"")</f>
        <v>パート(雇保無)・調理員</v>
      </c>
      <c r="E21" s="39">
        <f t="shared" ca="1" si="2"/>
        <v>1</v>
      </c>
      <c r="F21" s="28">
        <f t="shared" ca="1" si="3"/>
        <v>67.25</v>
      </c>
      <c r="G21" s="25">
        <f t="shared" ca="1" si="0"/>
        <v>67.25</v>
      </c>
      <c r="H21" s="63" t="str" cm="1">
        <f t="array" aca="1" ref="H21" ca="1">IF(B21&lt;&gt;"",IFERROR(INDEX('シフト一覧（転載）'!$C$8:$C$100,
MATCH(1, (ISNUMBER(SEARCH(B21,'シフト一覧（転載）'!$A$8:$A$100)))
*(ISNUMBER(SEARCH($F$9,'シフト一覧（転載）'!$B$8:$B$100))), 0)),""),"")</f>
        <v/>
      </c>
      <c r="I21" s="54">
        <f t="shared" ca="1" si="1"/>
        <v>0</v>
      </c>
      <c r="J21" s="25" cm="1">
        <f t="array" aca="1" ref="J21" ca="1">IF(B21&lt;&gt;"",IFERROR(SUM(INDIRECT("'Page_" &amp; A21 &amp; "'!K"&amp;MATCH("有休",INDIRECT("'Page_" &amp; A21 &amp; "'!K:K"),0)+2&amp;"")
+INDIRECT("'Page_" &amp; A21 &amp; "'!L"&amp;MATCH("特休",INDIRECT("'Page_" &amp; A21 &amp; "'!L:L"),0)+2&amp;""))*24,0),"")</f>
        <v>0</v>
      </c>
      <c r="K21" s="59"/>
      <c r="M21" s="104"/>
      <c r="N21" s="102"/>
      <c r="O21" s="107"/>
      <c r="P21" s="21">
        <f t="array" aca="1" ref="P21" ca="1">IFERROR(IF(M20&lt;&gt;"",INDEX('シフト一覧（転載）'!$F$8:$AK$100,
    MATCH(1,(ISNUMBER(SEARCH(M20,'シフト一覧（転載）'!$A$8:$A$100)))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MATCH(1,(ISNUMBER(SEARCH(M20,'シフト一覧（転載）'!$A$8:$A$100)))
                *(ISNUMBER(SEARCH($F$9,'シフト一覧（転載）'!$B$8:$B$100))),
                0),0),0)),0),"")</f>
        <v>0</v>
      </c>
      <c r="Q21" s="21">
        <f ca="1">IF(P20=0,0,
IF(OR(P20="",COUNTIF(P20,"*保育無し*")),"",
IF(MOD(P21-P20,1)*24&gt;=8,1,
IF(MOD(P21-P20,1)*24&gt;=6,0.75,0))))</f>
        <v>0</v>
      </c>
      <c r="R21" s="21">
        <f t="array" aca="1" ref="R21" ca="1">IFERROR(IF(Q20&lt;&gt;0,INDEX(
INDIRECT("'シフト一覧（転載）'!"&amp;Q20&amp;":AK100"),1+1,
MATCH(1,INDEX((LEN(INDIRECT("'シフト一覧（転載）'!"&amp;Q20&amp;":AK100"))&gt;0)
*(INDIRECT("'シフト一覧（転載）'!"&amp;Q20&amp;":AK100")&lt;&gt;"休み"),1,0),0)),0),"")</f>
        <v>0</v>
      </c>
      <c r="S21" s="21">
        <f ca="1">IF(R20=0,0,
IF(OR(R20="",COUNTIF(R20,"*保育無し*")),"",
IF(MOD(R21-R20,1)*24&gt;=8,1,
IF(MOD(R21-R20,1)*24&gt;=6,0.75,0))))</f>
        <v>0</v>
      </c>
      <c r="T21" s="21">
        <f t="array" aca="1" ref="T21" ca="1">IFERROR(IF(S20&lt;&gt;0,INDEX(
INDIRECT("'シフト一覧（転載）'!"&amp;S20&amp;":AK100"),1+1,
MATCH(1,INDEX((LEN(INDIRECT("'シフト一覧（転載）'!"&amp;S20&amp;":AK100"))&gt;0)
*(INDIRECT("'シフト一覧（転載）'!"&amp;S20&amp;":AK100")&lt;&gt;"休み"),1,0),0)),0),"")</f>
        <v>0</v>
      </c>
      <c r="U21" s="21">
        <f ca="1">IF(T20=0,0,
IF(OR(T20="",COUNTIF(T20,"*保育無し*")),"",
IF(MOD(T21-T20,1)*24&gt;=8,1,
IF(MOD(T21-T20,1)*24&gt;=6,0.75,0))))</f>
        <v>0</v>
      </c>
      <c r="V21" s="21">
        <f t="array" aca="1" ref="V21" ca="1">IFERROR(IF(U20&lt;&gt;0,INDEX(
INDIRECT("'シフト一覧（転載）'!"&amp;U20&amp;":AK100"),1+1,
MATCH(1,INDEX((LEN(INDIRECT("'シフト一覧（転載）'!"&amp;U20&amp;":AK100"))&gt;0)
*(INDIRECT("'シフト一覧（転載）'!"&amp;U20&amp;":AK100")&lt;&gt;"休み"),1,0),0)),0),"")</f>
        <v>0</v>
      </c>
      <c r="W21" s="21">
        <f ca="1">IF(V20=0,0,
IF(OR(V20="",COUNTIF(V20,"*保育無し*")),"",
IF(MOD(V21-V20,1)*24&gt;=8,1,
IF(MOD(V21-V20,1)*24&gt;=6,0.75,0))))</f>
        <v>0</v>
      </c>
      <c r="X21" s="21">
        <f t="array" aca="1" ref="X21" ca="1">IFERROR(IF(W20&lt;&gt;0,INDEX(
INDIRECT("'シフト一覧（転載）'!"&amp;W20&amp;":AK100"),1+1,
MATCH(1,INDEX((LEN(INDIRECT("'シフト一覧（転載）'!"&amp;W20&amp;":AK100"))&gt;0)
*(INDIRECT("'シフト一覧（転載）'!"&amp;W20&amp;":AK100")&lt;&gt;"休み"),1,0),0)),0),"")</f>
        <v>0</v>
      </c>
      <c r="Y21" s="21">
        <f ca="1">IF(X20=0,0,
IF(OR(X20="",COUNTIF(X20,"*保育無し*")),"",
IF(MOD(X21-X20,1)*24&gt;=8,1,
IF(MOD(X21-X20,1)*24&gt;=6,0.75,0))))</f>
        <v>0</v>
      </c>
      <c r="Z21" s="21">
        <f t="array" aca="1" ref="Z21" ca="1">IFERROR(IF(Y20&lt;&gt;0,INDEX(
INDIRECT("'シフト一覧（転載）'!"&amp;Y20&amp;":AK100"),1+1,
MATCH(1,INDEX((LEN(INDIRECT("'シフト一覧（転載）'!"&amp;Y20&amp;":AK100"))&gt;0)
*(INDIRECT("'シフト一覧（転載）'!"&amp;Y20&amp;":AK100")&lt;&gt;"休み"),1,0),0)),0),"")</f>
        <v>0</v>
      </c>
      <c r="AA21" s="21">
        <f ca="1">IF(Z20=0,0,
IF(OR(Z20="",COUNTIF(Z20,"*保育無し*")),"",
IF(MOD(Z21-Z20,1)*24&gt;=8,1,
IF(MOD(Z21-Z20,1)*24&gt;=6,0.75,0))))</f>
        <v>0</v>
      </c>
      <c r="AB21" s="21">
        <f t="array" aca="1" ref="AB21" ca="1">IFERROR(IF(AA20&lt;&gt;0,INDEX(
INDIRECT("'シフト一覧（転載）'!"&amp;AA20&amp;":AK100"),1+1,
MATCH(1,INDEX((LEN(INDIRECT("'シフト一覧（転載）'!"&amp;AA20&amp;":AK100"))&gt;0)
*(INDIRECT("'シフト一覧（転載）'!"&amp;AA20&amp;":AK100")&lt;&gt;"休み"),1,0),0)),0),"")</f>
        <v>0</v>
      </c>
      <c r="AC21" s="21">
        <f ca="1">IF(AB20=0,0,
IF(OR(AB20="",COUNTIF(AB20,"*保育無し*")),"",
IF(MOD(AB21-AB20,1)*24&gt;=8,1,
IF(MOD(AB21-AB20,1)*24&gt;=6,0.75,0))))</f>
        <v>0</v>
      </c>
      <c r="AD21" s="21">
        <f t="array" aca="1" ref="AD21" ca="1">IFERROR(IF(AC20&lt;&gt;0,INDEX(
INDIRECT("'シフト一覧（転載）'!"&amp;AC20&amp;":AK100"),1+1,
MATCH(1,INDEX((LEN(INDIRECT("'シフト一覧（転載）'!"&amp;AC20&amp;":AK100"))&gt;0)
*(INDIRECT("'シフト一覧（転載）'!"&amp;AC20&amp;":AK100")&lt;&gt;"休み"),1,0),0)),0),"")</f>
        <v>0</v>
      </c>
      <c r="AE21" s="21">
        <f ca="1">IF(AD20=0,0,
IF(OR(AD20="",COUNTIF(AD20,"*保育無し*")),"",
IF(MOD(AD21-AD20,1)*24&gt;=8,1,
IF(MOD(AD21-AD20,1)*24&gt;=6,0.75,0))))</f>
        <v>0</v>
      </c>
      <c r="AF21" s="21">
        <f t="array" aca="1" ref="AF21" ca="1">IFERROR(IF(AE20&lt;&gt;0,INDEX(
INDIRECT("'シフト一覧（転載）'!"&amp;AE20&amp;":AK100"),1+1,
MATCH(1,INDEX((LEN(INDIRECT("'シフト一覧（転載）'!"&amp;AE20&amp;":AK100"))&gt;0)
*(INDIRECT("'シフト一覧（転載）'!"&amp;AE20&amp;":AK100")&lt;&gt;"休み"),1,0),0)),0),"")</f>
        <v>0</v>
      </c>
      <c r="AG21" s="21">
        <f ca="1">IF(AF20=0,0,
IF(OR(AF20="",COUNTIF(AF20,"*保育無し*")),"",
IF(MOD(AF21-AF20,1)*24&gt;=8,1,
IF(MOD(AF21-AF20,1)*24&gt;=6,0.75,0))))</f>
        <v>0</v>
      </c>
      <c r="AH21" s="21">
        <f t="array" aca="1" ref="AH21" ca="1">IFERROR(IF(AG20&lt;&gt;0,INDEX(
INDIRECT("'シフト一覧（転載）'!"&amp;AG20&amp;":AK100"),1+1,
MATCH(1,INDEX((LEN(INDIRECT("'シフト一覧（転載）'!"&amp;AG20&amp;":AK100"))&gt;0)
*(INDIRECT("'シフト一覧（転載）'!"&amp;AG20&amp;":AK100")&lt;&gt;"休み"),1,0),0)),0),"")</f>
        <v>0</v>
      </c>
      <c r="AI21" s="21">
        <f ca="1">IF(AH20=0,0,
IF(OR(AH20="",COUNTIF(AH20,"*保育無し*")),"",
IF(MOD(AH21-AH20,1)*24&gt;=8,1,
IF(MOD(AH21-AH20,1)*24&gt;=6,0.75,0))))</f>
        <v>0</v>
      </c>
      <c r="AJ21" s="21">
        <f t="array" aca="1" ref="AJ21" ca="1">IFERROR(IF(AI20&lt;&gt;0,INDEX(
INDIRECT("'シフト一覧（転載）'!"&amp;AI20&amp;":AK100"),1+1,
MATCH(1,INDEX((LEN(INDIRECT("'シフト一覧（転載）'!"&amp;AI20&amp;":AK100"))&gt;0)
*(INDIRECT("'シフト一覧（転載）'!"&amp;AI20&amp;":AK100")&lt;&gt;"休み"),1,0),0)),0),"")</f>
        <v>0</v>
      </c>
      <c r="AK21" s="21">
        <f ca="1">IF(AJ20=0,0,
IF(OR(AJ20="",COUNTIF(AJ20,"*保育無し*")),"",
IF(MOD(AJ21-AJ20,1)*24&gt;=8,1,
IF(MOD(AJ21-AJ20,1)*24&gt;=6,0.75,0))))</f>
        <v>0</v>
      </c>
      <c r="AL21" s="21">
        <f t="array" aca="1" ref="AL21" ca="1">IFERROR(IF(AK20&lt;&gt;0,INDEX(
INDIRECT("'シフト一覧（転載）'!"&amp;AK20&amp;":AK100"),1+1,
MATCH(1,INDEX((LEN(INDIRECT("'シフト一覧（転載）'!"&amp;AK20&amp;":AK100"))&gt;0)
*(INDIRECT("'シフト一覧（転載）'!"&amp;AK20&amp;":AK100")&lt;&gt;"休み"),1,0),0)),0),"")</f>
        <v>0</v>
      </c>
      <c r="AM21" s="21">
        <f ca="1">IF(AL20=0,0,
IF(OR(AL20="",COUNTIF(AL20,"*保育無し*")),"",
IF(MOD(AL21-AL20,1)*24&gt;=8,1,
IF(MOD(AL21-AL20,1)*24&gt;=6,0.75,0))))</f>
        <v>0</v>
      </c>
      <c r="AN21" s="21">
        <f t="array" aca="1" ref="AN21" ca="1">IFERROR(IF(AM20&lt;&gt;0,INDEX(
INDIRECT("'シフト一覧（転載）'!"&amp;AM20&amp;":AK100"),1+1,
MATCH(1,INDEX((LEN(INDIRECT("'シフト一覧（転載）'!"&amp;AM20&amp;":AK100"))&gt;0)
*(INDIRECT("'シフト一覧（転載）'!"&amp;AM20&amp;":AK100")&lt;&gt;"休み"),1,0),0)),0),"")</f>
        <v>0</v>
      </c>
      <c r="AO21" s="21">
        <f ca="1">IF(AN20=0,0,
IF(OR(AN20="",COUNTIF(AN20,"*保育無し*")),"",
IF(MOD(AN21-AN20,1)*24&gt;=8,1,
IF(MOD(AN21-AN20,1)*24&gt;=6,0.75,0))))</f>
        <v>0</v>
      </c>
      <c r="AP21" s="21">
        <f t="array" aca="1" ref="AP21" ca="1">IFERROR(IF(AO20&lt;&gt;0,INDEX(
INDIRECT("'シフト一覧（転載）'!"&amp;AO20&amp;":AK100"),1+1,
MATCH(1,INDEX((LEN(INDIRECT("'シフト一覧（転載）'!"&amp;AO20&amp;":AK100"))&gt;0)
*(INDIRECT("'シフト一覧（転載）'!"&amp;AO20&amp;":AK100")&lt;&gt;"休み"),1,0),0)),0),"")</f>
        <v>0</v>
      </c>
      <c r="AQ21" s="21">
        <f ca="1">IF(AP20=0,0,
IF(OR(AP20="",COUNTIF(AP20,"*保育無し*")),"",
IF(MOD(AP21-AP20,1)*24&gt;=8,1,
IF(MOD(AP21-AP20,1)*24&gt;=6,0.75,0))))</f>
        <v>0</v>
      </c>
      <c r="AR21" s="21">
        <f t="array" aca="1" ref="AR21" ca="1">IFERROR(IF(AQ20&lt;&gt;0,INDEX(
INDIRECT("'シフト一覧（転載）'!"&amp;AQ20&amp;":AK100"),1+1,
MATCH(1,INDEX((LEN(INDIRECT("'シフト一覧（転載）'!"&amp;AQ20&amp;":AK100"))&gt;0)
*(INDIRECT("'シフト一覧（転載）'!"&amp;AQ20&amp;":AK100")&lt;&gt;"休み"),1,0),0)),0),"")</f>
        <v>0</v>
      </c>
      <c r="AS21" s="21">
        <f ca="1">IF(AR20=0,0,
IF(OR(AR20="",COUNTIF(AR20,"*保育無し*")),"",
IF(MOD(AR21-AR20,1)*24&gt;=8,1,
IF(MOD(AR21-AR20,1)*24&gt;=6,0.75,0))))</f>
        <v>0</v>
      </c>
      <c r="AT21" s="21">
        <f t="array" aca="1" ref="AT21" ca="1">IFERROR(IF(AS20&lt;&gt;0,INDEX(
INDIRECT("'シフト一覧（転載）'!"&amp;AS20&amp;":AK100"),1+1,
MATCH(1,INDEX((LEN(INDIRECT("'シフト一覧（転載）'!"&amp;AS20&amp;":AK100"))&gt;0)
*(INDIRECT("'シフト一覧（転載）'!"&amp;AS20&amp;":AK100")&lt;&gt;"休み"),1,0),0)),0),"")</f>
        <v>0</v>
      </c>
      <c r="AU21" s="21">
        <f ca="1">IF(AT20=0,0,
IF(OR(AT20="",COUNTIF(AT20,"*保育無し*")),"",
IF(MOD(AT21-AT20,1)*24&gt;=8,1,
IF(MOD(AT21-AT20,1)*24&gt;=6,0.75,0))))</f>
        <v>0</v>
      </c>
      <c r="AV21" s="21">
        <f t="array" aca="1" ref="AV21" ca="1">IFERROR(IF(AU20&lt;&gt;0,INDEX(
INDIRECT("'シフト一覧（転載）'!"&amp;AU20&amp;":AK100"),1+1,
MATCH(1,INDEX((LEN(INDIRECT("'シフト一覧（転載）'!"&amp;AU20&amp;":AK100"))&gt;0)
*(INDIRECT("'シフト一覧（転載）'!"&amp;AU20&amp;":AK100")&lt;&gt;"休み"),1,0),0)),0),"")</f>
        <v>0</v>
      </c>
      <c r="AW21" s="21">
        <f ca="1">IF(AV20=0,0,
IF(OR(AV20="",COUNTIF(AV20,"*保育無し*")),"",
IF(MOD(AV21-AV20,1)*24&gt;=8,1,
IF(MOD(AV21-AV20,1)*24&gt;=6,0.75,0))))</f>
        <v>0</v>
      </c>
      <c r="AX21" s="21">
        <f t="array" aca="1" ref="AX21" ca="1">IFERROR(IF(AW20&lt;&gt;0,INDEX(
INDIRECT("'シフト一覧（転載）'!"&amp;AW20&amp;":AK100"),1+1,
MATCH(1,INDEX((LEN(INDIRECT("'シフト一覧（転載）'!"&amp;AW20&amp;":AK100"))&gt;0)
*(INDIRECT("'シフト一覧（転載）'!"&amp;AW20&amp;":AK100")&lt;&gt;"休み"),1,0),0)),0),"")</f>
        <v>0</v>
      </c>
      <c r="AY21" s="21">
        <f ca="1">IF(AX20=0,0,
IF(OR(AX20="",COUNTIF(AX20,"*保育無し*")),"",
IF(MOD(AX21-AX20,1)*24&gt;=8,1,
IF(MOD(AX21-AX20,1)*24&gt;=6,0.75,0))))</f>
        <v>0</v>
      </c>
      <c r="AZ21" s="21">
        <f t="array" aca="1" ref="AZ21" ca="1">IFERROR(IF(AY20&lt;&gt;0,INDEX(
INDIRECT("'シフト一覧（転載）'!"&amp;AY20&amp;":AK100"),1+1,
MATCH(1,INDEX((LEN(INDIRECT("'シフト一覧（転載）'!"&amp;AY20&amp;":AK100"))&gt;0)
*(INDIRECT("'シフト一覧（転載）'!"&amp;AY20&amp;":AK100")&lt;&gt;"休み"),1,0),0)),0),"")</f>
        <v>0</v>
      </c>
      <c r="BA21" s="21">
        <f ca="1">IF(AZ20=0,0,
IF(OR(AZ20="",COUNTIF(AZ20,"*保育無し*")),"",
IF(MOD(AZ21-AZ20,1)*24&gt;=8,1,
IF(MOD(AZ21-AZ20,1)*24&gt;=6,0.75,0))))</f>
        <v>0</v>
      </c>
      <c r="BB21" s="21">
        <f t="array" aca="1" ref="BB21" ca="1">IFERROR(IF(BA20&lt;&gt;0,INDEX(
INDIRECT("'シフト一覧（転載）'!"&amp;BA20&amp;":AK100"),1+1,
MATCH(1,INDEX((LEN(INDIRECT("'シフト一覧（転載）'!"&amp;BA20&amp;":AK100"))&gt;0)
*(INDIRECT("'シフト一覧（転載）'!"&amp;BA20&amp;":AK100")&lt;&gt;"休み"),1,0),0)),0),"")</f>
        <v>0</v>
      </c>
      <c r="BC21" s="21">
        <f ca="1">IF(BB20=0,0,
IF(OR(BB20="",COUNTIF(BB20,"*保育無し*")),"",
IF(MOD(BB21-BB20,1)*24&gt;=8,1,
IF(MOD(BB21-BB20,1)*24&gt;=6,0.75,0))))</f>
        <v>0</v>
      </c>
      <c r="BD21" s="21">
        <f t="array" aca="1" ref="BD21" ca="1">IFERROR(IF(BC20&lt;&gt;0,INDEX(
INDIRECT("'シフト一覧（転載）'!"&amp;BC20&amp;":AK100"),1+1,
MATCH(1,INDEX((LEN(INDIRECT("'シフト一覧（転載）'!"&amp;BC20&amp;":AK100"))&gt;0)
*(INDIRECT("'シフト一覧（転載）'!"&amp;BC20&amp;":AK100")&lt;&gt;"休み"),1,0),0)),0),"")</f>
        <v>0</v>
      </c>
      <c r="BE21" s="21">
        <f ca="1">IF(BD20=0,0,
IF(OR(BD20="",COUNTIF(BD20,"*保育無し*")),"",
IF(MOD(BD21-BD20,1)*24&gt;=8,1,
IF(MOD(BD21-BD20,1)*24&gt;=6,0.75,0))))</f>
        <v>0</v>
      </c>
      <c r="BF21" s="21">
        <f t="array" aca="1" ref="BF21" ca="1">IFERROR(IF(BE20&lt;&gt;0,INDEX(
INDIRECT("'シフト一覧（転載）'!"&amp;BE20&amp;":AK100"),1+1,
MATCH(1,INDEX((LEN(INDIRECT("'シフト一覧（転載）'!"&amp;BE20&amp;":AK100"))&gt;0)
*(INDIRECT("'シフト一覧（転載）'!"&amp;BE20&amp;":AK100")&lt;&gt;"休み"),1,0),0)),0),"")</f>
        <v>0</v>
      </c>
      <c r="BG21" s="21">
        <f ca="1">IF(BF20=0,0,
IF(OR(BF20="",COUNTIF(BF20,"*保育無し*")),"",
IF(MOD(BF21-BF20,1)*24&gt;=8,1,
IF(MOD(BF21-BF20,1)*24&gt;=6,0.75,0))))</f>
        <v>0</v>
      </c>
      <c r="BH21" s="21">
        <f t="array" aca="1" ref="BH21" ca="1">IFERROR(IF(BG20&lt;&gt;0,INDEX(
INDIRECT("'シフト一覧（転載）'!"&amp;BG20&amp;":AK100"),1+1,
MATCH(1,INDEX((LEN(INDIRECT("'シフト一覧（転載）'!"&amp;BG20&amp;":AK100"))&gt;0)
*(INDIRECT("'シフト一覧（転載）'!"&amp;BG20&amp;":AK100")&lt;&gt;"休み"),1,0),0)),0),"")</f>
        <v>0</v>
      </c>
      <c r="BI21" s="21">
        <f ca="1">IF(BH20=0,0,
IF(OR(BH20="",COUNTIF(BH20,"*保育無し*")),"",
IF(MOD(BH21-BH20,1)*24&gt;=8,1,
IF(MOD(BH21-BH20,1)*24&gt;=6,0.75,0))))</f>
        <v>0</v>
      </c>
      <c r="BJ21" s="21">
        <f t="array" aca="1" ref="BJ21" ca="1">IFERROR(IF(BI20&lt;&gt;0,INDEX(
INDIRECT("'シフト一覧（転載）'!"&amp;BI20&amp;":AK100"),1+1,
MATCH(1,INDEX((LEN(INDIRECT("'シフト一覧（転載）'!"&amp;BI20&amp;":AK100"))&gt;0)
*(INDIRECT("'シフト一覧（転載）'!"&amp;BI20&amp;":AK100")&lt;&gt;"休み"),1,0),0)),0),"")</f>
        <v>0</v>
      </c>
      <c r="BK21" s="21">
        <f ca="1">IF(BJ20=0,0,
IF(OR(BJ20="",COUNTIF(BJ20,"*保育無し*")),"",
IF(MOD(BJ21-BJ20,1)*24&gt;=8,1,
IF(MOD(BJ21-BJ20,1)*24&gt;=6,0.75,0))))</f>
        <v>0</v>
      </c>
      <c r="BL21" s="21">
        <f t="array" aca="1" ref="BL21" ca="1">IFERROR(IF(BK20&lt;&gt;0,INDEX(
INDIRECT("'シフト一覧（転載）'!"&amp;BK20&amp;":AK100"),1+1,
MATCH(1,INDEX((LEN(INDIRECT("'シフト一覧（転載）'!"&amp;BK20&amp;":AK100"))&gt;0)
*(INDIRECT("'シフト一覧（転載）'!"&amp;BK20&amp;":AK100")&lt;&gt;"休み"),1,0),0)),0),"")</f>
        <v>0</v>
      </c>
      <c r="BM21" s="21">
        <f ca="1">IF(BL20=0,0,
IF(OR(BL20="",COUNTIF(BL20,"*保育無し*")),"",
IF(MOD(BL21-BL20,1)*24&gt;=8,1,
IF(MOD(BL21-BL20,1)*24&gt;=6,0.75,0))))</f>
        <v>0</v>
      </c>
      <c r="BN21" s="21">
        <f t="array" aca="1" ref="BN21" ca="1">IFERROR(IF(BM20&lt;&gt;0,INDEX(
INDIRECT("'シフト一覧（転載）'!"&amp;BM20&amp;":AK100"),1+1,
MATCH(1,INDEX((LEN(INDIRECT("'シフト一覧（転載）'!"&amp;BM20&amp;":AK100"))&gt;0)
*(INDIRECT("'シフト一覧（転載）'!"&amp;BM20&amp;":AK100")&lt;&gt;"休み"),1,0),0)),0),"")</f>
        <v>0</v>
      </c>
      <c r="BO21" s="21">
        <f ca="1">IF(BN20=0,0,
IF(OR(BN20="",COUNTIF(BN20,"*保育無し*")),"",
IF(MOD(BN21-BN20,1)*24&gt;=8,1,
IF(MOD(BN21-BN20,1)*24&gt;=6,0.75,0))))</f>
        <v>0</v>
      </c>
      <c r="BP21" s="21">
        <f t="array" aca="1" ref="BP21" ca="1">IFERROR(IF(BO20&lt;&gt;0,INDEX(
INDIRECT("'シフト一覧（転載）'!"&amp;BO20&amp;":AK100"),1+1,
MATCH(1,INDEX((LEN(INDIRECT("'シフト一覧（転載）'!"&amp;BO20&amp;":AK100"))&gt;0)
*(INDIRECT("'シフト一覧（転載）'!"&amp;BO20&amp;":AK100")&lt;&gt;"休み"),1,0),0)),0),"")</f>
        <v>0</v>
      </c>
      <c r="BQ21" s="21">
        <f ca="1">IF(BP20=0,0,
IF(OR(BP20="",COUNTIF(BP20,"*保育無し*")),"",
IF(MOD(BP21-BP20,1)*24&gt;=8,1,
IF(MOD(BP21-BP20,1)*24&gt;=6,0.75,0))))</f>
        <v>0</v>
      </c>
      <c r="BR21" s="21">
        <f t="array" aca="1" ref="BR21" ca="1">IFERROR(IF(BQ20&lt;&gt;0,INDEX(
INDIRECT("'シフト一覧（転載）'!"&amp;BQ20&amp;":AK100"),1+1,
MATCH(1,INDEX((LEN(INDIRECT("'シフト一覧（転載）'!"&amp;BQ20&amp;":AK100"))&gt;0)
*(INDIRECT("'シフト一覧（転載）'!"&amp;BQ20&amp;":AK100")&lt;&gt;"休み"),1,0),0)),0),"")</f>
        <v>0</v>
      </c>
      <c r="BS21" s="21">
        <f ca="1">IF(BR20=0,0,
IF(OR(BR20="",COUNTIF(BR20,"*保育無し*")),"",
IF(MOD(BR21-BR20,1)*24&gt;=8,1,
IF(MOD(BR21-BR20,1)*24&gt;=6,0.75,0))))</f>
        <v>0</v>
      </c>
      <c r="BT21" s="21">
        <f t="array" aca="1" ref="BT21" ca="1">IFERROR(IF(BS20&lt;&gt;0,INDEX(
INDIRECT("'シフト一覧（転載）'!"&amp;BS20&amp;":AK100"),1+1,
MATCH(1,INDEX((LEN(INDIRECT("'シフト一覧（転載）'!"&amp;BS20&amp;":AK100"))&gt;0)
*(INDIRECT("'シフト一覧（転載）'!"&amp;BS20&amp;":AK100")&lt;&gt;"休み"),1,0),0)),0),"")</f>
        <v>0</v>
      </c>
      <c r="BU21" s="21">
        <f ca="1">IF(BT20=0,0,
IF(OR(BT20="",COUNTIF(BT20,"*保育無し*")),"",
IF(MOD(BT21-BT20,1)*24&gt;=8,1,
IF(MOD(BT21-BT20,1)*24&gt;=6,0.75,0))))</f>
        <v>0</v>
      </c>
      <c r="BV21" s="21">
        <f t="array" aca="1" ref="BV21" ca="1">IFERROR(IF(BU20&lt;&gt;0,INDEX(
INDIRECT("'シフト一覧（転載）'!"&amp;BU20&amp;":AK100"),1+1,
MATCH(1,INDEX((LEN(INDIRECT("'シフト一覧（転載）'!"&amp;BU20&amp;":AK100"))&gt;0)
*(INDIRECT("'シフト一覧（転載）'!"&amp;BU20&amp;":AK100")&lt;&gt;"休み"),1,0),0)),0),"")</f>
        <v>0</v>
      </c>
      <c r="BW21" s="21">
        <f ca="1">IF(BV20=0,0,
IF(OR(BV20="",COUNTIF(BV20,"*保育無し*")),"",
IF(MOD(BV21-BV20,1)*24&gt;=8,1,
IF(MOD(BV21-BV20,1)*24&gt;=6,0.75,0))))</f>
        <v>0</v>
      </c>
      <c r="BX21" s="21">
        <f t="array" aca="1" ref="BX21" ca="1">IFERROR(IF(BW20&lt;&gt;0,INDEX(
INDIRECT("'シフト一覧（転載）'!"&amp;BW20&amp;":AK100"),1+1,
MATCH(1,INDEX((LEN(INDIRECT("'シフト一覧（転載）'!"&amp;BW20&amp;":AK100"))&gt;0)
*(INDIRECT("'シフト一覧（転載）'!"&amp;BW20&amp;":AK100")&lt;&gt;"休み"),1,0),0)),0),"")</f>
        <v>0</v>
      </c>
      <c r="BY21" s="21">
        <f ca="1">IF(BX20=0,0,
IF(OR(BX20="",COUNTIF(BX20,"*保育無し*")),"",
IF(MOD(BX21-BX20,1)*24&gt;=8,1,
IF(MOD(BX21-BX20,1)*24&gt;=6,0.75,0))))</f>
        <v>0</v>
      </c>
    </row>
    <row r="22" spans="1:77" ht="19.8" customHeight="1" x14ac:dyDescent="0.2">
      <c r="A22" s="43">
        <f>IF(A21&lt;&gt;0,IF($B$9&gt;A21,A21+1,0),0)</f>
        <v>11</v>
      </c>
      <c r="B22" s="48" t="str" cm="1">
        <f t="array" aca="1" ref="B22" ca="1">IFERROR(_xlfn.TEXTJOIN("", TRUE, IF(ISERR(MID(INDIRECT("'Page_" &amp; A22 &amp; "'!C2"), ROW(INDIRECT("1:" &amp; LEN(INDIRECT("'Page_" &amp; A22 &amp; "'!C2")))), 1)*1), MID(INDIRECT("'Page_" &amp; A22 &amp; "'!C2"), ROW(INDIRECT("1:" &amp; LEN(INDIRECT("'Page_" &amp; A22 &amp; "'!C2")))), 1), "")),"")</f>
        <v>吉川</v>
      </c>
      <c r="C22" s="49" t="str" cm="1">
        <f t="array" aca="1" ref="C22" ca="1">IFERROR(IF(INDIRECT("'Page_" &amp; A22 &amp; "'!E2")&lt;&gt;"",INDIRECT("'Page_" &amp; A22 &amp; "'!E2"),INDIRECT("'Page_" &amp; A22 &amp; "'!D2")),"")</f>
        <v>乃恵子</v>
      </c>
      <c r="D22" s="58" t="str" cm="1">
        <f t="array" aca="1" ref="D22" ca="1">IFERROR(IF(INDIRECT("'Page_" &amp; A22 &amp; "'!Q3")&lt;&gt;"",INDIRECT("'Page_" &amp; A22 &amp; "'!Q3"),INDIRECT("'Page_" &amp; A22 &amp; "'!P3")),"")</f>
        <v>パート(雇保無)・保育士</v>
      </c>
      <c r="E22" s="39">
        <f t="shared" ca="1" si="2"/>
        <v>0</v>
      </c>
      <c r="F22" s="28">
        <f t="shared" ca="1" si="3"/>
        <v>89.5</v>
      </c>
      <c r="G22" s="25">
        <f t="shared" ca="1" si="0"/>
        <v>89.5</v>
      </c>
      <c r="H22" s="63" t="str" cm="1">
        <f t="array" aca="1" ref="H22" ca="1">IF(B22&lt;&gt;"",IFERROR(INDEX('シフト一覧（転載）'!$C$8:$C$100,
MATCH(1, (ISNUMBER(SEARCH(B22,'シフト一覧（転載）'!$A$8:$A$100)))
*(ISNUMBER(SEARCH($F$9,'シフト一覧（転載）'!$B$8:$B$100))), 0)),""),"")</f>
        <v/>
      </c>
      <c r="I22" s="54">
        <f t="shared" ca="1" si="1"/>
        <v>0</v>
      </c>
      <c r="J22" s="25" cm="1">
        <f t="array" aca="1" ref="J22" ca="1">IF(B22&lt;&gt;"",IFERROR(SUM(INDIRECT("'Page_" &amp; A22 &amp; "'!K"&amp;MATCH("有休",INDIRECT("'Page_" &amp; A22 &amp; "'!K:K"),0)+2&amp;"")
+INDIRECT("'Page_" &amp; A22 &amp; "'!L"&amp;MATCH("特休",INDIRECT("'Page_" &amp; A22 &amp; "'!L:L"),0)+2&amp;""))*24,0),"")</f>
        <v>24</v>
      </c>
      <c r="K22" s="59"/>
      <c r="M22" s="103" t="str" cm="1">
        <f t="array" aca="1" ref="M2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2" s="101" t="str">
        <f t="shared" ref="N22" ca="1" si="8">IF(M22&lt;&gt;"",VLOOKUP(M22,$B$12:$C$41,2,FALSE),"")</f>
        <v/>
      </c>
      <c r="O22" s="106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20">
        <f t="array" aca="1" ref="P22" ca="1">IFERROR(IF(M22&lt;&gt;"",INDEX('シフト一覧（転載）'!$F$8:$AK$100,
    MATCH(1,(ISNUMBER(SEARCH(M22,'シフト一覧（転載）'!$A$8:$A$100)))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MATCH(1,(ISNUMBER(SEARCH(M22,'シフト一覧（転載）'!$A$8:$A$100)))
                *(ISNUMBER(SEARCH($F$9,'シフト一覧（転載）'!$B$8:$B$100))),
                0),0),0)),0),$F$9&amp;"保育無し")</f>
        <v>0</v>
      </c>
      <c r="Q22" s="20">
        <f t="array" aca="1" ref="Q22" ca="1">IFERROR(IF(COUNTIF(P22,"*無*"),"",IF(M22&lt;&gt;"",ADDRESS(
    MATCH(1,(ISNUMBER(SEARCH(M22,'シフト一覧（転載）'!$A$8:$A$100)))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MATCH(1,(ISNUMBER(SEARCH(M22,'シフト一覧（転載）'!$A$8:$A$100)))
                *(ISNUMBER(SEARCH($F$9,'シフト一覧（転載）'!$B$8:$B$100))),0),0),0) + 6,4),0)),0)</f>
        <v>0</v>
      </c>
      <c r="R22" s="20">
        <f t="array" aca="1" ref="R22" ca="1">IFERROR(IF(Q22&lt;&gt;"",IF(Q22&lt;&gt;0,INDEX(
INDIRECT("'シフト一覧（転載）'!"&amp;Q22&amp;":AK100"),1,
MATCH(1,INDEX((LEN(INDIRECT("'シフト一覧（転載）'!"&amp;Q22&amp;":AK100"))&gt;0)
*(INDIRECT("'シフト一覧（転載）'!"&amp;Q22&amp;":AK100")&lt;&gt;"休み"),1,0),0)),0),""),$F$9&amp;"保育無し")</f>
        <v>0</v>
      </c>
      <c r="S22" s="20">
        <f t="array" aca="1" ref="S22" ca="1">IFERROR(IF(Q22&lt;&gt;0,ADDRESS(ROW(INDIRECT(Q22)),
    COLUMN(INDIRECT(Q22)) - 1 +
    MATCH(1,INDEX((LEN(INDIRECT("'シフト一覧（転載）'!"&amp;Q22&amp;":AK100"))&gt;0)
            *(INDIRECT("'シフト一覧（転載）'!"&amp;Q22&amp;":AK100")&lt;&gt;"休み"),
            1,0),0)+1,4),0),"")</f>
        <v>0</v>
      </c>
      <c r="T22" s="20">
        <f t="array" aca="1" ref="T22" ca="1">IFERROR(IF(S22&lt;&gt;"",IF(S22&lt;&gt;0,INDEX(
INDIRECT("'シフト一覧（転載）'!"&amp;S22&amp;":AK100"),1,
MATCH(1,INDEX((LEN(INDIRECT("'シフト一覧（転載）'!"&amp;S22&amp;":AK100"))&gt;0)
*(INDIRECT("'シフト一覧（転載）'!"&amp;S22&amp;":AK100")&lt;&gt;"休み"),1,0),0)),0),""),$F$9&amp;"保育無し")</f>
        <v>0</v>
      </c>
      <c r="U22" s="20">
        <f t="array" aca="1" ref="U22" ca="1">IFERROR(IF(S22&lt;&gt;0,ADDRESS(ROW(INDIRECT(S22)),
    COLUMN(INDIRECT(S22)) - 1 +
    MATCH(1,INDEX((LEN(INDIRECT("'シフト一覧（転載）'!"&amp;S22&amp;":AK100"))&gt;0)
            *(INDIRECT("'シフト一覧（転載）'!"&amp;S22&amp;":AK100")&lt;&gt;"休み"),
            1,0),0)+1,4),0),"")</f>
        <v>0</v>
      </c>
      <c r="V22" s="20">
        <f t="array" aca="1" ref="V22" ca="1">IFERROR(IF(U22&lt;&gt;"",IF(U22&lt;&gt;0,INDEX(
INDIRECT("'シフト一覧（転載）'!"&amp;U22&amp;":AK100"),1,
MATCH(1,INDEX((LEN(INDIRECT("'シフト一覧（転載）'!"&amp;U22&amp;":AK100"))&gt;0)
*(INDIRECT("'シフト一覧（転載）'!"&amp;U22&amp;":AK100")&lt;&gt;"休み"),1,0),0)),0),""),$F$9&amp;"保育無し")</f>
        <v>0</v>
      </c>
      <c r="W22" s="20">
        <f t="array" aca="1" ref="W22" ca="1">IFERROR(IF(U22&lt;&gt;0,ADDRESS(ROW(INDIRECT(U22)),
    COLUMN(INDIRECT(U22)) - 1 +
    MATCH(1,INDEX((LEN(INDIRECT("'シフト一覧（転載）'!"&amp;U22&amp;":AK100"))&gt;0)
            *(INDIRECT("'シフト一覧（転載）'!"&amp;U22&amp;":AK100")&lt;&gt;"休み"),
            1,0),0)+1,4),0),"")</f>
        <v>0</v>
      </c>
      <c r="X22" s="20">
        <f t="array" aca="1" ref="X22" ca="1">IFERROR(IF(W22&lt;&gt;"",IF(W22&lt;&gt;0,INDEX(
INDIRECT("'シフト一覧（転載）'!"&amp;W22&amp;":AK100"),1,
MATCH(1,INDEX((LEN(INDIRECT("'シフト一覧（転載）'!"&amp;W22&amp;":AK100"))&gt;0)
*(INDIRECT("'シフト一覧（転載）'!"&amp;W22&amp;":AK100")&lt;&gt;"休み"),1,0),0)),0),""),$F$9&amp;"保育無し")</f>
        <v>0</v>
      </c>
      <c r="Y22" s="20">
        <f t="array" aca="1" ref="Y22" ca="1">IFERROR(IF(W22&lt;&gt;0,ADDRESS(ROW(INDIRECT(W22)),
    COLUMN(INDIRECT(W22)) - 1 +
    MATCH(1,INDEX((LEN(INDIRECT("'シフト一覧（転載）'!"&amp;W22&amp;":AK100"))&gt;0)
            *(INDIRECT("'シフト一覧（転載）'!"&amp;W22&amp;":AK100")&lt;&gt;"休み"),
            1,0),0)+1,4),0),"")</f>
        <v>0</v>
      </c>
      <c r="Z22" s="20">
        <f t="array" aca="1" ref="Z22" ca="1">IFERROR(IF(Y22&lt;&gt;"",IF(Y22&lt;&gt;0,INDEX(
INDIRECT("'シフト一覧（転載）'!"&amp;Y22&amp;":AK100"),1,
MATCH(1,INDEX((LEN(INDIRECT("'シフト一覧（転載）'!"&amp;Y22&amp;":AK100"))&gt;0)
*(INDIRECT("'シフト一覧（転載）'!"&amp;Y22&amp;":AK100")&lt;&gt;"休み"),1,0),0)),0),""),$F$9&amp;"保育無し")</f>
        <v>0</v>
      </c>
      <c r="AA22" s="20">
        <f t="array" aca="1" ref="AA22" ca="1">IFERROR(IF(Y22&lt;&gt;0,ADDRESS(ROW(INDIRECT(Y22)),
    COLUMN(INDIRECT(Y22)) - 1 +
    MATCH(1,INDEX((LEN(INDIRECT("'シフト一覧（転載）'!"&amp;Y22&amp;":AK100"))&gt;0)
            *(INDIRECT("'シフト一覧（転載）'!"&amp;Y22&amp;":AK100")&lt;&gt;"休み"),
            1,0),0)+1,4),0),"")</f>
        <v>0</v>
      </c>
      <c r="AB22" s="20">
        <f t="array" aca="1" ref="AB22" ca="1">IFERROR(IF(AA22&lt;&gt;"",IF(AA22&lt;&gt;0,INDEX(
INDIRECT("'シフト一覧（転載）'!"&amp;AA22&amp;":AK100"),1,
MATCH(1,INDEX((LEN(INDIRECT("'シフト一覧（転載）'!"&amp;AA22&amp;":AK100"))&gt;0)
*(INDIRECT("'シフト一覧（転載）'!"&amp;AA22&amp;":AK100")&lt;&gt;"休み"),1,0),0)),0),""),$F$9&amp;"保育無し")</f>
        <v>0</v>
      </c>
      <c r="AC22" s="20">
        <f t="array" aca="1" ref="AC22" ca="1">IFERROR(IF(AA22&lt;&gt;0,ADDRESS(ROW(INDIRECT(AA22)),
    COLUMN(INDIRECT(AA22)) - 1 +
    MATCH(1,INDEX((LEN(INDIRECT("'シフト一覧（転載）'!"&amp;AA22&amp;":AK100"))&gt;0)
            *(INDIRECT("'シフト一覧（転載）'!"&amp;AA22&amp;":AK100")&lt;&gt;"休み"),
            1,0),0)+1,4),0),"")</f>
        <v>0</v>
      </c>
      <c r="AD22" s="20">
        <f t="array" aca="1" ref="AD22" ca="1">IFERROR(IF(AC22&lt;&gt;"",IF(AC22&lt;&gt;0,INDEX(
INDIRECT("'シフト一覧（転載）'!"&amp;AC22&amp;":AK100"),1,
MATCH(1,INDEX((LEN(INDIRECT("'シフト一覧（転載）'!"&amp;AC22&amp;":AK100"))&gt;0)
*(INDIRECT("'シフト一覧（転載）'!"&amp;AC22&amp;":AK100")&lt;&gt;"休み"),1,0),0)),0),""),$F$9&amp;"保育無し")</f>
        <v>0</v>
      </c>
      <c r="AE22" s="20">
        <f t="array" aca="1" ref="AE22" ca="1">IFERROR(IF(AC22&lt;&gt;0,ADDRESS(ROW(INDIRECT(AC22)),
    COLUMN(INDIRECT(AC22)) - 1 +
    MATCH(1,INDEX((LEN(INDIRECT("'シフト一覧（転載）'!"&amp;AC22&amp;":AK100"))&gt;0)
            *(INDIRECT("'シフト一覧（転載）'!"&amp;AC22&amp;":AK100")&lt;&gt;"休み"),
            1,0),0)+1,4),0),"")</f>
        <v>0</v>
      </c>
      <c r="AF22" s="20">
        <f t="array" aca="1" ref="AF22" ca="1">IFERROR(IF(AE22&lt;&gt;"",IF(AE22&lt;&gt;0,INDEX(
INDIRECT("'シフト一覧（転載）'!"&amp;AE22&amp;":AK100"),1,
MATCH(1,INDEX((LEN(INDIRECT("'シフト一覧（転載）'!"&amp;AE22&amp;":AK100"))&gt;0)
*(INDIRECT("'シフト一覧（転載）'!"&amp;AE22&amp;":AK100")&lt;&gt;"休み"),1,0),0)),0),""),$F$9&amp;"保育無し")</f>
        <v>0</v>
      </c>
      <c r="AG22" s="20">
        <f t="array" aca="1" ref="AG22" ca="1">IFERROR(IF(AE22&lt;&gt;0,ADDRESS(ROW(INDIRECT(AE22)),
    COLUMN(INDIRECT(AE22)) - 1 +
    MATCH(1,INDEX((LEN(INDIRECT("'シフト一覧（転載）'!"&amp;AE22&amp;":AK100"))&gt;0)
            *(INDIRECT("'シフト一覧（転載）'!"&amp;AE22&amp;":AK100")&lt;&gt;"休み"),
            1,0),0)+1,4),0),"")</f>
        <v>0</v>
      </c>
      <c r="AH22" s="20">
        <f t="array" aca="1" ref="AH22" ca="1">IFERROR(IF(AG22&lt;&gt;"",IF(AG22&lt;&gt;0,INDEX(
INDIRECT("'シフト一覧（転載）'!"&amp;AG22&amp;":AK100"),1,
MATCH(1,INDEX((LEN(INDIRECT("'シフト一覧（転載）'!"&amp;AG22&amp;":AK100"))&gt;0)
*(INDIRECT("'シフト一覧（転載）'!"&amp;AG22&amp;":AK100")&lt;&gt;"休み"),1,0),0)),0),""),$F$9&amp;"保育無し")</f>
        <v>0</v>
      </c>
      <c r="AI22" s="20">
        <f t="array" aca="1" ref="AI22" ca="1">IFERROR(IF(AG22&lt;&gt;0,ADDRESS(ROW(INDIRECT(AG22)),
    COLUMN(INDIRECT(AG22)) - 1 +
    MATCH(1,INDEX((LEN(INDIRECT("'シフト一覧（転載）'!"&amp;AG22&amp;":AK100"))&gt;0)
            *(INDIRECT("'シフト一覧（転載）'!"&amp;AG22&amp;":AK100")&lt;&gt;"休み"),
            1,0),0)+1,4),0),"")</f>
        <v>0</v>
      </c>
      <c r="AJ22" s="20">
        <f t="array" aca="1" ref="AJ22" ca="1">IFERROR(IF(AI22&lt;&gt;"",IF(AI22&lt;&gt;0,INDEX(
INDIRECT("'シフト一覧（転載）'!"&amp;AI22&amp;":AK100"),1,
MATCH(1,INDEX((LEN(INDIRECT("'シフト一覧（転載）'!"&amp;AI22&amp;":AK100"))&gt;0)
*(INDIRECT("'シフト一覧（転載）'!"&amp;AI22&amp;":AK100")&lt;&gt;"休み"),1,0),0)),0),""),$F$9&amp;"保育無し")</f>
        <v>0</v>
      </c>
      <c r="AK22" s="20">
        <f t="array" aca="1" ref="AK22" ca="1">IFERROR(IF(AI22&lt;&gt;0,ADDRESS(ROW(INDIRECT(AI22)),
    COLUMN(INDIRECT(AI22)) - 1 +
    MATCH(1,INDEX((LEN(INDIRECT("'シフト一覧（転載）'!"&amp;AI22&amp;":AK100"))&gt;0)
            *(INDIRECT("'シフト一覧（転載）'!"&amp;AI22&amp;":AK100")&lt;&gt;"休み"),
            1,0),0)+1,4),0),"")</f>
        <v>0</v>
      </c>
      <c r="AL22" s="20">
        <f t="array" aca="1" ref="AL22" ca="1">IFERROR(IF(AK22&lt;&gt;"",IF(AK22&lt;&gt;0,INDEX(
INDIRECT("'シフト一覧（転載）'!"&amp;AK22&amp;":AK100"),1,
MATCH(1,INDEX((LEN(INDIRECT("'シフト一覧（転載）'!"&amp;AK22&amp;":AK100"))&gt;0)
*(INDIRECT("'シフト一覧（転載）'!"&amp;AK22&amp;":AK100")&lt;&gt;"休み"),1,0),0)),0),""),$F$9&amp;"保育無し")</f>
        <v>0</v>
      </c>
      <c r="AM22" s="20">
        <f t="array" aca="1" ref="AM22" ca="1">IFERROR(IF(AK22&lt;&gt;0,ADDRESS(ROW(INDIRECT(AK22)),
    COLUMN(INDIRECT(AK22)) - 1 +
    MATCH(1,INDEX((LEN(INDIRECT("'シフト一覧（転載）'!"&amp;AK22&amp;":AK100"))&gt;0)
            *(INDIRECT("'シフト一覧（転載）'!"&amp;AK22&amp;":AK100")&lt;&gt;"休み"),
            1,0),0)+1,4),0),"")</f>
        <v>0</v>
      </c>
      <c r="AN22" s="20">
        <f t="array" aca="1" ref="AN22" ca="1">IFERROR(IF(AM22&lt;&gt;"",IF(AM22&lt;&gt;0,INDEX(
INDIRECT("'シフト一覧（転載）'!"&amp;AM22&amp;":AK100"),1,
MATCH(1,INDEX((LEN(INDIRECT("'シフト一覧（転載）'!"&amp;AM22&amp;":AK100"))&gt;0)
*(INDIRECT("'シフト一覧（転載）'!"&amp;AM22&amp;":AK100")&lt;&gt;"休み"),1,0),0)),0),""),$F$9&amp;"保育無し")</f>
        <v>0</v>
      </c>
      <c r="AO22" s="20">
        <f t="array" aca="1" ref="AO22" ca="1">IFERROR(IF(AM22&lt;&gt;0,ADDRESS(ROW(INDIRECT(AM22)),
    COLUMN(INDIRECT(AM22)) - 1 +
    MATCH(1,INDEX((LEN(INDIRECT("'シフト一覧（転載）'!"&amp;AM22&amp;":AK100"))&gt;0)
            *(INDIRECT("'シフト一覧（転載）'!"&amp;AM22&amp;":AK100")&lt;&gt;"休み"),
            1,0),0)+1,4),0),"")</f>
        <v>0</v>
      </c>
      <c r="AP22" s="20">
        <f t="array" aca="1" ref="AP22" ca="1">IFERROR(IF(AO22&lt;&gt;"",IF(AO22&lt;&gt;0,INDEX(
INDIRECT("'シフト一覧（転載）'!"&amp;AO22&amp;":AK100"),1,
MATCH(1,INDEX((LEN(INDIRECT("'シフト一覧（転載）'!"&amp;AO22&amp;":AK100"))&gt;0)
*(INDIRECT("'シフト一覧（転載）'!"&amp;AO22&amp;":AK100")&lt;&gt;"休み"),1,0),0)),0),""),$F$9&amp;"保育無し")</f>
        <v>0</v>
      </c>
      <c r="AQ22" s="20">
        <f t="array" aca="1" ref="AQ22" ca="1">IFERROR(IF(AO22&lt;&gt;0,ADDRESS(ROW(INDIRECT(AO22)),
    COLUMN(INDIRECT(AO22)) - 1 +
    MATCH(1,INDEX((LEN(INDIRECT("'シフト一覧（転載）'!"&amp;AO22&amp;":AK100"))&gt;0)
            *(INDIRECT("'シフト一覧（転載）'!"&amp;AO22&amp;":AK100")&lt;&gt;"休み"),
            1,0),0)+1,4),0),"")</f>
        <v>0</v>
      </c>
      <c r="AR22" s="20">
        <f t="array" aca="1" ref="AR22" ca="1">IFERROR(IF(AQ22&lt;&gt;"",IF(AQ22&lt;&gt;0,INDEX(
INDIRECT("'シフト一覧（転載）'!"&amp;AQ22&amp;":AK100"),1,
MATCH(1,INDEX((LEN(INDIRECT("'シフト一覧（転載）'!"&amp;AQ22&amp;":AK100"))&gt;0)
*(INDIRECT("'シフト一覧（転載）'!"&amp;AQ22&amp;":AK100")&lt;&gt;"休み"),1,0),0)),0),""),$F$9&amp;"保育無し")</f>
        <v>0</v>
      </c>
      <c r="AS22" s="20">
        <f t="array" aca="1" ref="AS22" ca="1">IFERROR(IF(AQ22&lt;&gt;0,ADDRESS(ROW(INDIRECT(AQ22)),
    COLUMN(INDIRECT(AQ22)) - 1 +
    MATCH(1,INDEX((LEN(INDIRECT("'シフト一覧（転載）'!"&amp;AQ22&amp;":AK100"))&gt;0)
            *(INDIRECT("'シフト一覧（転載）'!"&amp;AQ22&amp;":AK100")&lt;&gt;"休み"),
            1,0),0)+1,4),0),"")</f>
        <v>0</v>
      </c>
      <c r="AT22" s="20">
        <f t="array" aca="1" ref="AT22" ca="1">IFERROR(IF(AS22&lt;&gt;"",IF(AS22&lt;&gt;0,INDEX(
INDIRECT("'シフト一覧（転載）'!"&amp;AS22&amp;":AK100"),1,
MATCH(1,INDEX((LEN(INDIRECT("'シフト一覧（転載）'!"&amp;AS22&amp;":AK100"))&gt;0)
*(INDIRECT("'シフト一覧（転載）'!"&amp;AS22&amp;":AK100")&lt;&gt;"休み"),1,0),0)),0),""),$F$9&amp;"保育無し")</f>
        <v>0</v>
      </c>
      <c r="AU22" s="20">
        <f t="array" aca="1" ref="AU22" ca="1">IFERROR(IF(AS22&lt;&gt;0,ADDRESS(ROW(INDIRECT(AS22)),
    COLUMN(INDIRECT(AS22)) - 1 +
    MATCH(1,INDEX((LEN(INDIRECT("'シフト一覧（転載）'!"&amp;AS22&amp;":AK100"))&gt;0)
            *(INDIRECT("'シフト一覧（転載）'!"&amp;AS22&amp;":AK100")&lt;&gt;"休み"),
            1,0),0)+1,4),0),"")</f>
        <v>0</v>
      </c>
      <c r="AV22" s="20">
        <f t="array" aca="1" ref="AV22" ca="1">IFERROR(IF(AU22&lt;&gt;"",IF(AU22&lt;&gt;0,INDEX(
INDIRECT("'シフト一覧（転載）'!"&amp;AU22&amp;":AK100"),1,
MATCH(1,INDEX((LEN(INDIRECT("'シフト一覧（転載）'!"&amp;AU22&amp;":AK100"))&gt;0)
*(INDIRECT("'シフト一覧（転載）'!"&amp;AU22&amp;":AK100")&lt;&gt;"休み"),1,0),0)),0),""),$F$9&amp;"保育無し")</f>
        <v>0</v>
      </c>
      <c r="AW22" s="20">
        <f t="array" aca="1" ref="AW22" ca="1">IFERROR(IF(AU22&lt;&gt;0,ADDRESS(ROW(INDIRECT(AU22)),
    COLUMN(INDIRECT(AU22)) - 1 +
    MATCH(1,INDEX((LEN(INDIRECT("'シフト一覧（転載）'!"&amp;AU22&amp;":AK100"))&gt;0)
            *(INDIRECT("'シフト一覧（転載）'!"&amp;AU22&amp;":AK100")&lt;&gt;"休み"),
            1,0),0)+1,4),0),"")</f>
        <v>0</v>
      </c>
      <c r="AX22" s="20">
        <f t="array" aca="1" ref="AX22" ca="1">IFERROR(IF(AW22&lt;&gt;"",IF(AW22&lt;&gt;0,INDEX(
INDIRECT("'シフト一覧（転載）'!"&amp;AW22&amp;":AK100"),1,
MATCH(1,INDEX((LEN(INDIRECT("'シフト一覧（転載）'!"&amp;AW22&amp;":AK100"))&gt;0)
*(INDIRECT("'シフト一覧（転載）'!"&amp;AW22&amp;":AK100")&lt;&gt;"休み"),1,0),0)),0),""),$F$9&amp;"保育無し")</f>
        <v>0</v>
      </c>
      <c r="AY22" s="20">
        <f t="array" aca="1" ref="AY22" ca="1">IFERROR(IF(AW22&lt;&gt;0,ADDRESS(ROW(INDIRECT(AW22)),
    COLUMN(INDIRECT(AW22)) - 1 +
    MATCH(1,INDEX((LEN(INDIRECT("'シフト一覧（転載）'!"&amp;AW22&amp;":AK100"))&gt;0)
            *(INDIRECT("'シフト一覧（転載）'!"&amp;AW22&amp;":AK100")&lt;&gt;"休み"),
            1,0),0)+1,4),0),"")</f>
        <v>0</v>
      </c>
      <c r="AZ22" s="20">
        <f t="array" aca="1" ref="AZ22" ca="1">IFERROR(IF(AY22&lt;&gt;"",IF(AY22&lt;&gt;0,INDEX(
INDIRECT("'シフト一覧（転載）'!"&amp;AY22&amp;":AK100"),1,
MATCH(1,INDEX((LEN(INDIRECT("'シフト一覧（転載）'!"&amp;AY22&amp;":AK100"))&gt;0)
*(INDIRECT("'シフト一覧（転載）'!"&amp;AY22&amp;":AK100")&lt;&gt;"休み"),1,0),0)),0),""),$F$9&amp;"保育無し")</f>
        <v>0</v>
      </c>
      <c r="BA22" s="20">
        <f t="array" aca="1" ref="BA22" ca="1">IFERROR(IF(AY22&lt;&gt;0,ADDRESS(ROW(INDIRECT(AY22)),
    COLUMN(INDIRECT(AY22)) - 1 +
    MATCH(1,INDEX((LEN(INDIRECT("'シフト一覧（転載）'!"&amp;AY22&amp;":AK100"))&gt;0)
            *(INDIRECT("'シフト一覧（転載）'!"&amp;AY22&amp;":AK100")&lt;&gt;"休み"),
            1,0),0)+1,4),0),"")</f>
        <v>0</v>
      </c>
      <c r="BB22" s="20">
        <f t="array" aca="1" ref="BB22" ca="1">IFERROR(IF(BA22&lt;&gt;"",IF(BA22&lt;&gt;0,INDEX(
INDIRECT("'シフト一覧（転載）'!"&amp;BA22&amp;":AK100"),1,
MATCH(1,INDEX((LEN(INDIRECT("'シフト一覧（転載）'!"&amp;BA22&amp;":AK100"))&gt;0)
*(INDIRECT("'シフト一覧（転載）'!"&amp;BA22&amp;":AK100")&lt;&gt;"休み"),1,0),0)),0),""),$F$9&amp;"保育無し")</f>
        <v>0</v>
      </c>
      <c r="BC22" s="20">
        <f t="array" aca="1" ref="BC22" ca="1">IFERROR(IF(BA22&lt;&gt;0,ADDRESS(ROW(INDIRECT(BA22)),
    COLUMN(INDIRECT(BA22)) - 1 +
    MATCH(1,INDEX((LEN(INDIRECT("'シフト一覧（転載）'!"&amp;BA22&amp;":AK100"))&gt;0)
            *(INDIRECT("'シフト一覧（転載）'!"&amp;BA22&amp;":AK100")&lt;&gt;"休み"),
            1,0),0)+1,4),0),"")</f>
        <v>0</v>
      </c>
      <c r="BD22" s="20">
        <f t="array" aca="1" ref="BD22" ca="1">IFERROR(IF(BC22&lt;&gt;"",IF(BC22&lt;&gt;0,INDEX(
INDIRECT("'シフト一覧（転載）'!"&amp;BC22&amp;":AK100"),1,
MATCH(1,INDEX((LEN(INDIRECT("'シフト一覧（転載）'!"&amp;BC22&amp;":AK100"))&gt;0)
*(INDIRECT("'シフト一覧（転載）'!"&amp;BC22&amp;":AK100")&lt;&gt;"休み"),1,0),0)),0),""),$F$9&amp;"保育無し")</f>
        <v>0</v>
      </c>
      <c r="BE22" s="20">
        <f t="array" aca="1" ref="BE22" ca="1">IFERROR(IF(BC22&lt;&gt;0,ADDRESS(ROW(INDIRECT(BC22)),
    COLUMN(INDIRECT(BC22)) - 1 +
    MATCH(1,INDEX((LEN(INDIRECT("'シフト一覧（転載）'!"&amp;BC22&amp;":AK100"))&gt;0)
            *(INDIRECT("'シフト一覧（転載）'!"&amp;BC22&amp;":AK100")&lt;&gt;"休み"),
            1,0),0)+1,4),0),"")</f>
        <v>0</v>
      </c>
      <c r="BF22" s="20">
        <f t="array" aca="1" ref="BF22" ca="1">IFERROR(IF(BE22&lt;&gt;"",IF(BE22&lt;&gt;0,INDEX(
INDIRECT("'シフト一覧（転載）'!"&amp;BE22&amp;":AK100"),1,
MATCH(1,INDEX((LEN(INDIRECT("'シフト一覧（転載）'!"&amp;BE22&amp;":AK100"))&gt;0)
*(INDIRECT("'シフト一覧（転載）'!"&amp;BE22&amp;":AK100")&lt;&gt;"休み"),1,0),0)),0),""),$F$9&amp;"保育無し")</f>
        <v>0</v>
      </c>
      <c r="BG22" s="20">
        <f t="array" aca="1" ref="BG22" ca="1">IFERROR(IF(BE22&lt;&gt;0,ADDRESS(ROW(INDIRECT(BE22)),
    COLUMN(INDIRECT(BE22)) - 1 +
    MATCH(1,INDEX((LEN(INDIRECT("'シフト一覧（転載）'!"&amp;BE22&amp;":AK100"))&gt;0)
            *(INDIRECT("'シフト一覧（転載）'!"&amp;BE22&amp;":AK100")&lt;&gt;"休み"),
            1,0),0)+1,4),0),"")</f>
        <v>0</v>
      </c>
      <c r="BH22" s="20">
        <f t="array" aca="1" ref="BH22" ca="1">IFERROR(IF(BG22&lt;&gt;"",IF(BG22&lt;&gt;0,INDEX(
INDIRECT("'シフト一覧（転載）'!"&amp;BG22&amp;":AK100"),1,
MATCH(1,INDEX((LEN(INDIRECT("'シフト一覧（転載）'!"&amp;BG22&amp;":AK100"))&gt;0)
*(INDIRECT("'シフト一覧（転載）'!"&amp;BG22&amp;":AK100")&lt;&gt;"休み"),1,0),0)),0),""),$F$9&amp;"保育無し")</f>
        <v>0</v>
      </c>
      <c r="BI22" s="20">
        <f t="array" aca="1" ref="BI22" ca="1">IFERROR(IF(BG22&lt;&gt;0,ADDRESS(ROW(INDIRECT(BG22)),
    COLUMN(INDIRECT(BG22)) - 1 +
    MATCH(1,INDEX((LEN(INDIRECT("'シフト一覧（転載）'!"&amp;BG22&amp;":AK100"))&gt;0)
            *(INDIRECT("'シフト一覧（転載）'!"&amp;BG22&amp;":AK100")&lt;&gt;"休み"),
            1,0),0)+1,4),0),"")</f>
        <v>0</v>
      </c>
      <c r="BJ22" s="20">
        <f t="array" aca="1" ref="BJ22" ca="1">IFERROR(IF(BI22&lt;&gt;"",IF(BI22&lt;&gt;0,INDEX(
INDIRECT("'シフト一覧（転載）'!"&amp;BI22&amp;":AK100"),1,
MATCH(1,INDEX((LEN(INDIRECT("'シフト一覧（転載）'!"&amp;BI22&amp;":AK100"))&gt;0)
*(INDIRECT("'シフト一覧（転載）'!"&amp;BI22&amp;":AK100")&lt;&gt;"休み"),1,0),0)),0),""),$F$9&amp;"保育無し")</f>
        <v>0</v>
      </c>
      <c r="BK22" s="20">
        <f t="array" aca="1" ref="BK22" ca="1">IFERROR(IF(BI22&lt;&gt;0,ADDRESS(ROW(INDIRECT(BI22)),
    COLUMN(INDIRECT(BI22)) - 1 +
    MATCH(1,INDEX((LEN(INDIRECT("'シフト一覧（転載）'!"&amp;BI22&amp;":AK100"))&gt;0)
            *(INDIRECT("'シフト一覧（転載）'!"&amp;BI22&amp;":AK100")&lt;&gt;"休み"),
            1,0),0)+1,4),0),"")</f>
        <v>0</v>
      </c>
      <c r="BL22" s="20">
        <f t="array" aca="1" ref="BL22" ca="1">IFERROR(IF(BK22&lt;&gt;"",IF(BK22&lt;&gt;0,INDEX(
INDIRECT("'シフト一覧（転載）'!"&amp;BK22&amp;":AK100"),1,
MATCH(1,INDEX((LEN(INDIRECT("'シフト一覧（転載）'!"&amp;BK22&amp;":AK100"))&gt;0)
*(INDIRECT("'シフト一覧（転載）'!"&amp;BK22&amp;":AK100")&lt;&gt;"休み"),1,0),0)),0),""),$F$9&amp;"保育無し")</f>
        <v>0</v>
      </c>
      <c r="BM22" s="20">
        <f t="array" aca="1" ref="BM22" ca="1">IFERROR(IF(BK22&lt;&gt;0,ADDRESS(ROW(INDIRECT(BK22)),
    COLUMN(INDIRECT(BK22)) - 1 +
    MATCH(1,INDEX((LEN(INDIRECT("'シフト一覧（転載）'!"&amp;BK22&amp;":AK100"))&gt;0)
            *(INDIRECT("'シフト一覧（転載）'!"&amp;BK22&amp;":AK100")&lt;&gt;"休み"),
            1,0),0)+1,4),0),"")</f>
        <v>0</v>
      </c>
      <c r="BN22" s="20">
        <f t="array" aca="1" ref="BN22" ca="1">IFERROR(IF(BM22&lt;&gt;"",IF(BM22&lt;&gt;0,INDEX(
INDIRECT("'シフト一覧（転載）'!"&amp;BM22&amp;":AK100"),1,
MATCH(1,INDEX((LEN(INDIRECT("'シフト一覧（転載）'!"&amp;BM22&amp;":AK100"))&gt;0)
*(INDIRECT("'シフト一覧（転載）'!"&amp;BM22&amp;":AK100")&lt;&gt;"休み"),1,0),0)),0),""),$F$9&amp;"保育無し")</f>
        <v>0</v>
      </c>
      <c r="BO22" s="20">
        <f t="array" aca="1" ref="BO22" ca="1">IFERROR(IF(BM22&lt;&gt;0,ADDRESS(ROW(INDIRECT(BM22)),
    COLUMN(INDIRECT(BM22)) - 1 +
    MATCH(1,INDEX((LEN(INDIRECT("'シフト一覧（転載）'!"&amp;BM22&amp;":AK100"))&gt;0)
            *(INDIRECT("'シフト一覧（転載）'!"&amp;BM22&amp;":AK100")&lt;&gt;"休み"),
            1,0),0)+1,4),0),"")</f>
        <v>0</v>
      </c>
      <c r="BP22" s="20">
        <f t="array" aca="1" ref="BP22" ca="1">IFERROR(IF(BO22&lt;&gt;"",IF(BO22&lt;&gt;0,INDEX(
INDIRECT("'シフト一覧（転載）'!"&amp;BO22&amp;":AK100"),1,
MATCH(1,INDEX((LEN(INDIRECT("'シフト一覧（転載）'!"&amp;BO22&amp;":AK100"))&gt;0)
*(INDIRECT("'シフト一覧（転載）'!"&amp;BO22&amp;":AK100")&lt;&gt;"休み"),1,0),0)),0),""),$F$9&amp;"保育無し")</f>
        <v>0</v>
      </c>
      <c r="BQ22" s="20">
        <f t="array" aca="1" ref="BQ22" ca="1">IFERROR(IF(BO22&lt;&gt;0,ADDRESS(ROW(INDIRECT(BO22)),
    COLUMN(INDIRECT(BO22)) - 1 +
    MATCH(1,INDEX((LEN(INDIRECT("'シフト一覧（転載）'!"&amp;BO22&amp;":AK100"))&gt;0)
            *(INDIRECT("'シフト一覧（転載）'!"&amp;BO22&amp;":AK100")&lt;&gt;"休み"),
            1,0),0)+1,4),0),"")</f>
        <v>0</v>
      </c>
      <c r="BR22" s="20">
        <f t="array" aca="1" ref="BR22" ca="1">IFERROR(IF(BQ22&lt;&gt;"",IF(BQ22&lt;&gt;0,INDEX(
INDIRECT("'シフト一覧（転載）'!"&amp;BQ22&amp;":AK100"),1,
MATCH(1,INDEX((LEN(INDIRECT("'シフト一覧（転載）'!"&amp;BQ22&amp;":AK100"))&gt;0)
*(INDIRECT("'シフト一覧（転載）'!"&amp;BQ22&amp;":AK100")&lt;&gt;"休み"),1,0),0)),0),""),$F$9&amp;"保育無し")</f>
        <v>0</v>
      </c>
      <c r="BS22" s="20">
        <f t="array" aca="1" ref="BS22" ca="1">IFERROR(IF(BQ22&lt;&gt;0,ADDRESS(ROW(INDIRECT(BQ22)),
    COLUMN(INDIRECT(BQ22)) - 1 +
    MATCH(1,INDEX((LEN(INDIRECT("'シフト一覧（転載）'!"&amp;BQ22&amp;":AK100"))&gt;0)
            *(INDIRECT("'シフト一覧（転載）'!"&amp;BQ22&amp;":AK100")&lt;&gt;"休み"),
            1,0),0)+1,4),0),"")</f>
        <v>0</v>
      </c>
      <c r="BT22" s="20">
        <f t="array" aca="1" ref="BT22" ca="1">IFERROR(IF(BS22&lt;&gt;"",IF(BS22&lt;&gt;0,INDEX(
INDIRECT("'シフト一覧（転載）'!"&amp;BS22&amp;":AK100"),1,
MATCH(1,INDEX((LEN(INDIRECT("'シフト一覧（転載）'!"&amp;BS22&amp;":AK100"))&gt;0)
*(INDIRECT("'シフト一覧（転載）'!"&amp;BS22&amp;":AK100")&lt;&gt;"休み"),1,0),0)),0),""),$F$9&amp;"保育無し")</f>
        <v>0</v>
      </c>
      <c r="BU22" s="20">
        <f t="array" aca="1" ref="BU22" ca="1">IFERROR(IF(BS22&lt;&gt;0,ADDRESS(ROW(INDIRECT(BS22)),
    COLUMN(INDIRECT(BS22)) - 1 +
    MATCH(1,INDEX((LEN(INDIRECT("'シフト一覧（転載）'!"&amp;BS22&amp;":AK100"))&gt;0)
            *(INDIRECT("'シフト一覧（転載）'!"&amp;BS22&amp;":AK100")&lt;&gt;"休み"),
            1,0),0)+1,4),0),"")</f>
        <v>0</v>
      </c>
      <c r="BV22" s="20">
        <f t="array" aca="1" ref="BV22" ca="1">IFERROR(IF(BU22&lt;&gt;"",IF(BU22&lt;&gt;0,INDEX(
INDIRECT("'シフト一覧（転載）'!"&amp;BU22&amp;":AK100"),1,
MATCH(1,INDEX((LEN(INDIRECT("'シフト一覧（転載）'!"&amp;BU22&amp;":AK100"))&gt;0)
*(INDIRECT("'シフト一覧（転載）'!"&amp;BU22&amp;":AK100")&lt;&gt;"休み"),1,0),0)),0),""),$F$9&amp;"保育無し")</f>
        <v>0</v>
      </c>
      <c r="BW22" s="20">
        <f t="array" aca="1" ref="BW22" ca="1">IFERROR(IF(BU22&lt;&gt;0,ADDRESS(ROW(INDIRECT(BU22)),
    COLUMN(INDIRECT(BU22)) - 1 +
    MATCH(1,INDEX((LEN(INDIRECT("'シフト一覧（転載）'!"&amp;BU22&amp;":AK100"))&gt;0)
            *(INDIRECT("'シフト一覧（転載）'!"&amp;BU22&amp;":AK100")&lt;&gt;"休み"),
            1,0),0)+1,4),0),"")</f>
        <v>0</v>
      </c>
      <c r="BX22" s="20">
        <f t="array" aca="1" ref="BX22" ca="1">IFERROR(IF(BW22&lt;&gt;"",IF(BW22&lt;&gt;0,INDEX(
INDIRECT("'シフト一覧（転載）'!"&amp;BW22&amp;":AK100"),1,
MATCH(1,INDEX((LEN(INDIRECT("'シフト一覧（転載）'!"&amp;BW22&amp;":AK100"))&gt;0)
*(INDIRECT("'シフト一覧（転載）'!"&amp;BW22&amp;":AK100")&lt;&gt;"休み"),1,0),0)),0),""),$F$9&amp;"保育無し")</f>
        <v>0</v>
      </c>
      <c r="BY22" s="20">
        <f t="array" aca="1" ref="BY22" ca="1">IFERROR(IF(BW22&lt;&gt;0,ADDRESS(ROW(INDIRECT(BW22)),
    COLUMN(INDIRECT(BW22)) - 1 +
    MATCH(1,INDEX((LEN(INDIRECT("'シフト一覧（転載）'!"&amp;BW22&amp;":AK100"))&gt;0)
            *(INDIRECT("'シフト一覧（転載）'!"&amp;BW22&amp;":AK100")&lt;&gt;"休み"),
            1,0),0)+1,4),0),"")</f>
        <v>0</v>
      </c>
    </row>
    <row r="23" spans="1:77" ht="19.8" customHeight="1" x14ac:dyDescent="0.2">
      <c r="A23" s="43">
        <f>IF(A22&lt;&gt;0,IF($B$9&gt;A22,A22+1,0),0)</f>
        <v>12</v>
      </c>
      <c r="B23" s="48" t="str" cm="1">
        <f t="array" aca="1" ref="B23" ca="1">IFERROR(_xlfn.TEXTJOIN("", TRUE, IF(ISERR(MID(INDIRECT("'Page_" &amp; A23 &amp; "'!C2"), ROW(INDIRECT("1:" &amp; LEN(INDIRECT("'Page_" &amp; A23 &amp; "'!C2")))), 1)*1), MID(INDIRECT("'Page_" &amp; A23 &amp; "'!C2"), ROW(INDIRECT("1:" &amp; LEN(INDIRECT("'Page_" &amp; A23 &amp; "'!C2")))), 1), "")),"")</f>
        <v>奥崎</v>
      </c>
      <c r="C23" s="49" t="str" cm="1">
        <f t="array" aca="1" ref="C23" ca="1">IFERROR(IF(INDIRECT("'Page_" &amp; A23 &amp; "'!E2")&lt;&gt;"",INDIRECT("'Page_" &amp; A23 &amp; "'!E2"),INDIRECT("'Page_" &amp; A23 &amp; "'!D2")),"")</f>
        <v>智史</v>
      </c>
      <c r="D23" s="58" t="str" cm="1">
        <f t="array" aca="1" ref="D23" ca="1">IFERROR(IF(INDIRECT("'Page_" &amp; A23 &amp; "'!Q3")&lt;&gt;"",INDIRECT("'Page_" &amp; A23 &amp; "'!Q3"),INDIRECT("'Page_" &amp; A23 &amp; "'!P3")),"")</f>
        <v>パート(社保 40H以内)・保育士</v>
      </c>
      <c r="E23" s="39">
        <f t="shared" ca="1" si="2"/>
        <v>0</v>
      </c>
      <c r="F23" s="28">
        <f t="shared" ca="1" si="3"/>
        <v>167</v>
      </c>
      <c r="G23" s="25">
        <f t="shared" ca="1" si="0"/>
        <v>167</v>
      </c>
      <c r="H23" s="63" t="str" cm="1">
        <f t="array" aca="1" ref="H23" ca="1">IF(B23&lt;&gt;"",IFERROR(INDEX('シフト一覧（転載）'!$C$8:$C$100,
MATCH(1, (ISNUMBER(SEARCH(B23,'シフト一覧（転載）'!$A$8:$A$100)))
*(ISNUMBER(SEARCH($F$9,'シフト一覧（転載）'!$B$8:$B$100))), 0)),""),"")</f>
        <v/>
      </c>
      <c r="I23" s="54">
        <f t="shared" ca="1" si="1"/>
        <v>0</v>
      </c>
      <c r="J23" s="25" cm="1">
        <f t="array" aca="1" ref="J23" ca="1">IF(B23&lt;&gt;"",IFERROR(SUM(INDIRECT("'Page_" &amp; A23 &amp; "'!K"&amp;MATCH("有休",INDIRECT("'Page_" &amp; A23 &amp; "'!K:K"),0)+2&amp;"")
+INDIRECT("'Page_" &amp; A23 &amp; "'!L"&amp;MATCH("特休",INDIRECT("'Page_" &amp; A23 &amp; "'!L:L"),0)+2&amp;""))*24,0),"")</f>
        <v>0</v>
      </c>
      <c r="K23" s="59"/>
      <c r="M23" s="104"/>
      <c r="N23" s="102"/>
      <c r="O23" s="107"/>
      <c r="P23" s="21">
        <f t="array" aca="1" ref="P23" ca="1">IFERROR(IF(M22&lt;&gt;"",INDEX('シフト一覧（転載）'!$F$8:$AK$100,
    MATCH(1,(ISNUMBER(SEARCH(M22,'シフト一覧（転載）'!$A$8:$A$100)))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MATCH(1,(ISNUMBER(SEARCH(M22,'シフト一覧（転載）'!$A$8:$A$100)))
                *(ISNUMBER(SEARCH($F$9,'シフト一覧（転載）'!$B$8:$B$100))),
                0),0),0)),0),"")</f>
        <v>0</v>
      </c>
      <c r="Q23" s="21">
        <f ca="1">IF(P22=0,0,
IF(OR(P22="",COUNTIF(P22,"*保育無し*")),"",
IF(MOD(P23-P22,1)*24&gt;=8,1,
IF(MOD(P23-P22,1)*24&gt;=6,0.75,0))))</f>
        <v>0</v>
      </c>
      <c r="R23" s="21">
        <f t="array" aca="1" ref="R23" ca="1">IFERROR(IF(Q22&lt;&gt;0,INDEX(
INDIRECT("'シフト一覧（転載）'!"&amp;Q22&amp;":AK100"),1+1,
MATCH(1,INDEX((LEN(INDIRECT("'シフト一覧（転載）'!"&amp;Q22&amp;":AK100"))&gt;0)
*(INDIRECT("'シフト一覧（転載）'!"&amp;Q22&amp;":AK100")&lt;&gt;"休み"),1,0),0)),0),"")</f>
        <v>0</v>
      </c>
      <c r="S23" s="21">
        <f ca="1">IF(R22=0,0,
IF(OR(R22="",COUNTIF(R22,"*保育無し*")),"",
IF(MOD(R23-R22,1)*24&gt;=8,1,
IF(MOD(R23-R22,1)*24&gt;=6,0.75,0))))</f>
        <v>0</v>
      </c>
      <c r="T23" s="21">
        <f t="array" aca="1" ref="T23" ca="1">IFERROR(IF(S22&lt;&gt;0,INDEX(
INDIRECT("'シフト一覧（転載）'!"&amp;S22&amp;":AK100"),1+1,
MATCH(1,INDEX((LEN(INDIRECT("'シフト一覧（転載）'!"&amp;S22&amp;":AK100"))&gt;0)
*(INDIRECT("'シフト一覧（転載）'!"&amp;S22&amp;":AK100")&lt;&gt;"休み"),1,0),0)),0),"")</f>
        <v>0</v>
      </c>
      <c r="U23" s="21">
        <f ca="1">IF(T22=0,0,
IF(OR(T22="",COUNTIF(T22,"*保育無し*")),"",
IF(MOD(T23-T22,1)*24&gt;=8,1,
IF(MOD(T23-T22,1)*24&gt;=6,0.75,0))))</f>
        <v>0</v>
      </c>
      <c r="V23" s="21">
        <f t="array" aca="1" ref="V23" ca="1">IFERROR(IF(U22&lt;&gt;0,INDEX(
INDIRECT("'シフト一覧（転載）'!"&amp;U22&amp;":AK100"),1+1,
MATCH(1,INDEX((LEN(INDIRECT("'シフト一覧（転載）'!"&amp;U22&amp;":AK100"))&gt;0)
*(INDIRECT("'シフト一覧（転載）'!"&amp;U22&amp;":AK100")&lt;&gt;"休み"),1,0),0)),0),"")</f>
        <v>0</v>
      </c>
      <c r="W23" s="21">
        <f ca="1">IF(V22=0,0,
IF(OR(V22="",COUNTIF(V22,"*保育無し*")),"",
IF(MOD(V23-V22,1)*24&gt;=8,1,
IF(MOD(V23-V22,1)*24&gt;=6,0.75,0))))</f>
        <v>0</v>
      </c>
      <c r="X23" s="21">
        <f t="array" aca="1" ref="X23" ca="1">IFERROR(IF(W22&lt;&gt;0,INDEX(
INDIRECT("'シフト一覧（転載）'!"&amp;W22&amp;":AK100"),1+1,
MATCH(1,INDEX((LEN(INDIRECT("'シフト一覧（転載）'!"&amp;W22&amp;":AK100"))&gt;0)
*(INDIRECT("'シフト一覧（転載）'!"&amp;W22&amp;":AK100")&lt;&gt;"休み"),1,0),0)),0),"")</f>
        <v>0</v>
      </c>
      <c r="Y23" s="21">
        <f ca="1">IF(X22=0,0,
IF(OR(X22="",COUNTIF(X22,"*保育無し*")),"",
IF(MOD(X23-X22,1)*24&gt;=8,1,
IF(MOD(X23-X22,1)*24&gt;=6,0.75,0))))</f>
        <v>0</v>
      </c>
      <c r="Z23" s="21">
        <f t="array" aca="1" ref="Z23" ca="1">IFERROR(IF(Y22&lt;&gt;0,INDEX(
INDIRECT("'シフト一覧（転載）'!"&amp;Y22&amp;":AK100"),1+1,
MATCH(1,INDEX((LEN(INDIRECT("'シフト一覧（転載）'!"&amp;Y22&amp;":AK100"))&gt;0)
*(INDIRECT("'シフト一覧（転載）'!"&amp;Y22&amp;":AK100")&lt;&gt;"休み"),1,0),0)),0),"")</f>
        <v>0</v>
      </c>
      <c r="AA23" s="21">
        <f ca="1">IF(Z22=0,0,
IF(OR(Z22="",COUNTIF(Z22,"*保育無し*")),"",
IF(MOD(Z23-Z22,1)*24&gt;=8,1,
IF(MOD(Z23-Z22,1)*24&gt;=6,0.75,0))))</f>
        <v>0</v>
      </c>
      <c r="AB23" s="21">
        <f t="array" aca="1" ref="AB23" ca="1">IFERROR(IF(AA22&lt;&gt;0,INDEX(
INDIRECT("'シフト一覧（転載）'!"&amp;AA22&amp;":AK100"),1+1,
MATCH(1,INDEX((LEN(INDIRECT("'シフト一覧（転載）'!"&amp;AA22&amp;":AK100"))&gt;0)
*(INDIRECT("'シフト一覧（転載）'!"&amp;AA22&amp;":AK100")&lt;&gt;"休み"),1,0),0)),0),"")</f>
        <v>0</v>
      </c>
      <c r="AC23" s="21">
        <f ca="1">IF(AB22=0,0,
IF(OR(AB22="",COUNTIF(AB22,"*保育無し*")),"",
IF(MOD(AB23-AB22,1)*24&gt;=8,1,
IF(MOD(AB23-AB22,1)*24&gt;=6,0.75,0))))</f>
        <v>0</v>
      </c>
      <c r="AD23" s="21">
        <f t="array" aca="1" ref="AD23" ca="1">IFERROR(IF(AC22&lt;&gt;0,INDEX(
INDIRECT("'シフト一覧（転載）'!"&amp;AC22&amp;":AK100"),1+1,
MATCH(1,INDEX((LEN(INDIRECT("'シフト一覧（転載）'!"&amp;AC22&amp;":AK100"))&gt;0)
*(INDIRECT("'シフト一覧（転載）'!"&amp;AC22&amp;":AK100")&lt;&gt;"休み"),1,0),0)),0),"")</f>
        <v>0</v>
      </c>
      <c r="AE23" s="21">
        <f ca="1">IF(AD22=0,0,
IF(OR(AD22="",COUNTIF(AD22,"*保育無し*")),"",
IF(MOD(AD23-AD22,1)*24&gt;=8,1,
IF(MOD(AD23-AD22,1)*24&gt;=6,0.75,0))))</f>
        <v>0</v>
      </c>
      <c r="AF23" s="21">
        <f t="array" aca="1" ref="AF23" ca="1">IFERROR(IF(AE22&lt;&gt;0,INDEX(
INDIRECT("'シフト一覧（転載）'!"&amp;AE22&amp;":AK100"),1+1,
MATCH(1,INDEX((LEN(INDIRECT("'シフト一覧（転載）'!"&amp;AE22&amp;":AK100"))&gt;0)
*(INDIRECT("'シフト一覧（転載）'!"&amp;AE22&amp;":AK100")&lt;&gt;"休み"),1,0),0)),0),"")</f>
        <v>0</v>
      </c>
      <c r="AG23" s="21">
        <f ca="1">IF(AF22=0,0,
IF(OR(AF22="",COUNTIF(AF22,"*保育無し*")),"",
IF(MOD(AF23-AF22,1)*24&gt;=8,1,
IF(MOD(AF23-AF22,1)*24&gt;=6,0.75,0))))</f>
        <v>0</v>
      </c>
      <c r="AH23" s="21">
        <f t="array" aca="1" ref="AH23" ca="1">IFERROR(IF(AG22&lt;&gt;0,INDEX(
INDIRECT("'シフト一覧（転載）'!"&amp;AG22&amp;":AK100"),1+1,
MATCH(1,INDEX((LEN(INDIRECT("'シフト一覧（転載）'!"&amp;AG22&amp;":AK100"))&gt;0)
*(INDIRECT("'シフト一覧（転載）'!"&amp;AG22&amp;":AK100")&lt;&gt;"休み"),1,0),0)),0),"")</f>
        <v>0</v>
      </c>
      <c r="AI23" s="21">
        <f ca="1">IF(AH22=0,0,
IF(OR(AH22="",COUNTIF(AH22,"*保育無し*")),"",
IF(MOD(AH23-AH22,1)*24&gt;=8,1,
IF(MOD(AH23-AH22,1)*24&gt;=6,0.75,0))))</f>
        <v>0</v>
      </c>
      <c r="AJ23" s="21">
        <f t="array" aca="1" ref="AJ23" ca="1">IFERROR(IF(AI22&lt;&gt;0,INDEX(
INDIRECT("'シフト一覧（転載）'!"&amp;AI22&amp;":AK100"),1+1,
MATCH(1,INDEX((LEN(INDIRECT("'シフト一覧（転載）'!"&amp;AI22&amp;":AK100"))&gt;0)
*(INDIRECT("'シフト一覧（転載）'!"&amp;AI22&amp;":AK100")&lt;&gt;"休み"),1,0),0)),0),"")</f>
        <v>0</v>
      </c>
      <c r="AK23" s="21">
        <f ca="1">IF(AJ22=0,0,
IF(OR(AJ22="",COUNTIF(AJ22,"*保育無し*")),"",
IF(MOD(AJ23-AJ22,1)*24&gt;=8,1,
IF(MOD(AJ23-AJ22,1)*24&gt;=6,0.75,0))))</f>
        <v>0</v>
      </c>
      <c r="AL23" s="21">
        <f t="array" aca="1" ref="AL23" ca="1">IFERROR(IF(AK22&lt;&gt;0,INDEX(
INDIRECT("'シフト一覧（転載）'!"&amp;AK22&amp;":AK100"),1+1,
MATCH(1,INDEX((LEN(INDIRECT("'シフト一覧（転載）'!"&amp;AK22&amp;":AK100"))&gt;0)
*(INDIRECT("'シフト一覧（転載）'!"&amp;AK22&amp;":AK100")&lt;&gt;"休み"),1,0),0)),0),"")</f>
        <v>0</v>
      </c>
      <c r="AM23" s="21">
        <f ca="1">IF(AL22=0,0,
IF(OR(AL22="",COUNTIF(AL22,"*保育無し*")),"",
IF(MOD(AL23-AL22,1)*24&gt;=8,1,
IF(MOD(AL23-AL22,1)*24&gt;=6,0.75,0))))</f>
        <v>0</v>
      </c>
      <c r="AN23" s="21">
        <f t="array" aca="1" ref="AN23" ca="1">IFERROR(IF(AM22&lt;&gt;0,INDEX(
INDIRECT("'シフト一覧（転載）'!"&amp;AM22&amp;":AK100"),1+1,
MATCH(1,INDEX((LEN(INDIRECT("'シフト一覧（転載）'!"&amp;AM22&amp;":AK100"))&gt;0)
*(INDIRECT("'シフト一覧（転載）'!"&amp;AM22&amp;":AK100")&lt;&gt;"休み"),1,0),0)),0),"")</f>
        <v>0</v>
      </c>
      <c r="AO23" s="21">
        <f ca="1">IF(AN22=0,0,
IF(OR(AN22="",COUNTIF(AN22,"*保育無し*")),"",
IF(MOD(AN23-AN22,1)*24&gt;=8,1,
IF(MOD(AN23-AN22,1)*24&gt;=6,0.75,0))))</f>
        <v>0</v>
      </c>
      <c r="AP23" s="21">
        <f t="array" aca="1" ref="AP23" ca="1">IFERROR(IF(AO22&lt;&gt;0,INDEX(
INDIRECT("'シフト一覧（転載）'!"&amp;AO22&amp;":AK100"),1+1,
MATCH(1,INDEX((LEN(INDIRECT("'シフト一覧（転載）'!"&amp;AO22&amp;":AK100"))&gt;0)
*(INDIRECT("'シフト一覧（転載）'!"&amp;AO22&amp;":AK100")&lt;&gt;"休み"),1,0),0)),0),"")</f>
        <v>0</v>
      </c>
      <c r="AQ23" s="21">
        <f ca="1">IF(AP22=0,0,
IF(OR(AP22="",COUNTIF(AP22,"*保育無し*")),"",
IF(MOD(AP23-AP22,1)*24&gt;=8,1,
IF(MOD(AP23-AP22,1)*24&gt;=6,0.75,0))))</f>
        <v>0</v>
      </c>
      <c r="AR23" s="21">
        <f t="array" aca="1" ref="AR23" ca="1">IFERROR(IF(AQ22&lt;&gt;0,INDEX(
INDIRECT("'シフト一覧（転載）'!"&amp;AQ22&amp;":AK100"),1+1,
MATCH(1,INDEX((LEN(INDIRECT("'シフト一覧（転載）'!"&amp;AQ22&amp;":AK100"))&gt;0)
*(INDIRECT("'シフト一覧（転載）'!"&amp;AQ22&amp;":AK100")&lt;&gt;"休み"),1,0),0)),0),"")</f>
        <v>0</v>
      </c>
      <c r="AS23" s="21">
        <f ca="1">IF(AR22=0,0,
IF(OR(AR22="",COUNTIF(AR22,"*保育無し*")),"",
IF(MOD(AR23-AR22,1)*24&gt;=8,1,
IF(MOD(AR23-AR22,1)*24&gt;=6,0.75,0))))</f>
        <v>0</v>
      </c>
      <c r="AT23" s="21">
        <f t="array" aca="1" ref="AT23" ca="1">IFERROR(IF(AS22&lt;&gt;0,INDEX(
INDIRECT("'シフト一覧（転載）'!"&amp;AS22&amp;":AK100"),1+1,
MATCH(1,INDEX((LEN(INDIRECT("'シフト一覧（転載）'!"&amp;AS22&amp;":AK100"))&gt;0)
*(INDIRECT("'シフト一覧（転載）'!"&amp;AS22&amp;":AK100")&lt;&gt;"休み"),1,0),0)),0),"")</f>
        <v>0</v>
      </c>
      <c r="AU23" s="21">
        <f ca="1">IF(AT22=0,0,
IF(OR(AT22="",COUNTIF(AT22,"*保育無し*")),"",
IF(MOD(AT23-AT22,1)*24&gt;=8,1,
IF(MOD(AT23-AT22,1)*24&gt;=6,0.75,0))))</f>
        <v>0</v>
      </c>
      <c r="AV23" s="21">
        <f t="array" aca="1" ref="AV23" ca="1">IFERROR(IF(AU22&lt;&gt;0,INDEX(
INDIRECT("'シフト一覧（転載）'!"&amp;AU22&amp;":AK100"),1+1,
MATCH(1,INDEX((LEN(INDIRECT("'シフト一覧（転載）'!"&amp;AU22&amp;":AK100"))&gt;0)
*(INDIRECT("'シフト一覧（転載）'!"&amp;AU22&amp;":AK100")&lt;&gt;"休み"),1,0),0)),0),"")</f>
        <v>0</v>
      </c>
      <c r="AW23" s="21">
        <f ca="1">IF(AV22=0,0,
IF(OR(AV22="",COUNTIF(AV22,"*保育無し*")),"",
IF(MOD(AV23-AV22,1)*24&gt;=8,1,
IF(MOD(AV23-AV22,1)*24&gt;=6,0.75,0))))</f>
        <v>0</v>
      </c>
      <c r="AX23" s="21">
        <f t="array" aca="1" ref="AX23" ca="1">IFERROR(IF(AW22&lt;&gt;0,INDEX(
INDIRECT("'シフト一覧（転載）'!"&amp;AW22&amp;":AK100"),1+1,
MATCH(1,INDEX((LEN(INDIRECT("'シフト一覧（転載）'!"&amp;AW22&amp;":AK100"))&gt;0)
*(INDIRECT("'シフト一覧（転載）'!"&amp;AW22&amp;":AK100")&lt;&gt;"休み"),1,0),0)),0),"")</f>
        <v>0</v>
      </c>
      <c r="AY23" s="21">
        <f ca="1">IF(AX22=0,0,
IF(OR(AX22="",COUNTIF(AX22,"*保育無し*")),"",
IF(MOD(AX23-AX22,1)*24&gt;=8,1,
IF(MOD(AX23-AX22,1)*24&gt;=6,0.75,0))))</f>
        <v>0</v>
      </c>
      <c r="AZ23" s="21">
        <f t="array" aca="1" ref="AZ23" ca="1">IFERROR(IF(AY22&lt;&gt;0,INDEX(
INDIRECT("'シフト一覧（転載）'!"&amp;AY22&amp;":AK100"),1+1,
MATCH(1,INDEX((LEN(INDIRECT("'シフト一覧（転載）'!"&amp;AY22&amp;":AK100"))&gt;0)
*(INDIRECT("'シフト一覧（転載）'!"&amp;AY22&amp;":AK100")&lt;&gt;"休み"),1,0),0)),0),"")</f>
        <v>0</v>
      </c>
      <c r="BA23" s="21">
        <f ca="1">IF(AZ22=0,0,
IF(OR(AZ22="",COUNTIF(AZ22,"*保育無し*")),"",
IF(MOD(AZ23-AZ22,1)*24&gt;=8,1,
IF(MOD(AZ23-AZ22,1)*24&gt;=6,0.75,0))))</f>
        <v>0</v>
      </c>
      <c r="BB23" s="21">
        <f t="array" aca="1" ref="BB23" ca="1">IFERROR(IF(BA22&lt;&gt;0,INDEX(
INDIRECT("'シフト一覧（転載）'!"&amp;BA22&amp;":AK100"),1+1,
MATCH(1,INDEX((LEN(INDIRECT("'シフト一覧（転載）'!"&amp;BA22&amp;":AK100"))&gt;0)
*(INDIRECT("'シフト一覧（転載）'!"&amp;BA22&amp;":AK100")&lt;&gt;"休み"),1,0),0)),0),"")</f>
        <v>0</v>
      </c>
      <c r="BC23" s="21">
        <f ca="1">IF(BB22=0,0,
IF(OR(BB22="",COUNTIF(BB22,"*保育無し*")),"",
IF(MOD(BB23-BB22,1)*24&gt;=8,1,
IF(MOD(BB23-BB22,1)*24&gt;=6,0.75,0))))</f>
        <v>0</v>
      </c>
      <c r="BD23" s="21">
        <f t="array" aca="1" ref="BD23" ca="1">IFERROR(IF(BC22&lt;&gt;0,INDEX(
INDIRECT("'シフト一覧（転載）'!"&amp;BC22&amp;":AK100"),1+1,
MATCH(1,INDEX((LEN(INDIRECT("'シフト一覧（転載）'!"&amp;BC22&amp;":AK100"))&gt;0)
*(INDIRECT("'シフト一覧（転載）'!"&amp;BC22&amp;":AK100")&lt;&gt;"休み"),1,0),0)),0),"")</f>
        <v>0</v>
      </c>
      <c r="BE23" s="21">
        <f ca="1">IF(BD22=0,0,
IF(OR(BD22="",COUNTIF(BD22,"*保育無し*")),"",
IF(MOD(BD23-BD22,1)*24&gt;=8,1,
IF(MOD(BD23-BD22,1)*24&gt;=6,0.75,0))))</f>
        <v>0</v>
      </c>
      <c r="BF23" s="21">
        <f t="array" aca="1" ref="BF23" ca="1">IFERROR(IF(BE22&lt;&gt;0,INDEX(
INDIRECT("'シフト一覧（転載）'!"&amp;BE22&amp;":AK100"),1+1,
MATCH(1,INDEX((LEN(INDIRECT("'シフト一覧（転載）'!"&amp;BE22&amp;":AK100"))&gt;0)
*(INDIRECT("'シフト一覧（転載）'!"&amp;BE22&amp;":AK100")&lt;&gt;"休み"),1,0),0)),0),"")</f>
        <v>0</v>
      </c>
      <c r="BG23" s="21">
        <f ca="1">IF(BF22=0,0,
IF(OR(BF22="",COUNTIF(BF22,"*保育無し*")),"",
IF(MOD(BF23-BF22,1)*24&gt;=8,1,
IF(MOD(BF23-BF22,1)*24&gt;=6,0.75,0))))</f>
        <v>0</v>
      </c>
      <c r="BH23" s="21">
        <f t="array" aca="1" ref="BH23" ca="1">IFERROR(IF(BG22&lt;&gt;0,INDEX(
INDIRECT("'シフト一覧（転載）'!"&amp;BG22&amp;":AK100"),1+1,
MATCH(1,INDEX((LEN(INDIRECT("'シフト一覧（転載）'!"&amp;BG22&amp;":AK100"))&gt;0)
*(INDIRECT("'シフト一覧（転載）'!"&amp;BG22&amp;":AK100")&lt;&gt;"休み"),1,0),0)),0),"")</f>
        <v>0</v>
      </c>
      <c r="BI23" s="21">
        <f ca="1">IF(BH22=0,0,
IF(OR(BH22="",COUNTIF(BH22,"*保育無し*")),"",
IF(MOD(BH23-BH22,1)*24&gt;=8,1,
IF(MOD(BH23-BH22,1)*24&gt;=6,0.75,0))))</f>
        <v>0</v>
      </c>
      <c r="BJ23" s="21">
        <f t="array" aca="1" ref="BJ23" ca="1">IFERROR(IF(BI22&lt;&gt;0,INDEX(
INDIRECT("'シフト一覧（転載）'!"&amp;BI22&amp;":AK100"),1+1,
MATCH(1,INDEX((LEN(INDIRECT("'シフト一覧（転載）'!"&amp;BI22&amp;":AK100"))&gt;0)
*(INDIRECT("'シフト一覧（転載）'!"&amp;BI22&amp;":AK100")&lt;&gt;"休み"),1,0),0)),0),"")</f>
        <v>0</v>
      </c>
      <c r="BK23" s="21">
        <f ca="1">IF(BJ22=0,0,
IF(OR(BJ22="",COUNTIF(BJ22,"*保育無し*")),"",
IF(MOD(BJ23-BJ22,1)*24&gt;=8,1,
IF(MOD(BJ23-BJ22,1)*24&gt;=6,0.75,0))))</f>
        <v>0</v>
      </c>
      <c r="BL23" s="21">
        <f t="array" aca="1" ref="BL23" ca="1">IFERROR(IF(BK22&lt;&gt;0,INDEX(
INDIRECT("'シフト一覧（転載）'!"&amp;BK22&amp;":AK100"),1+1,
MATCH(1,INDEX((LEN(INDIRECT("'シフト一覧（転載）'!"&amp;BK22&amp;":AK100"))&gt;0)
*(INDIRECT("'シフト一覧（転載）'!"&amp;BK22&amp;":AK100")&lt;&gt;"休み"),1,0),0)),0),"")</f>
        <v>0</v>
      </c>
      <c r="BM23" s="21">
        <f ca="1">IF(BL22=0,0,
IF(OR(BL22="",COUNTIF(BL22,"*保育無し*")),"",
IF(MOD(BL23-BL22,1)*24&gt;=8,1,
IF(MOD(BL23-BL22,1)*24&gt;=6,0.75,0))))</f>
        <v>0</v>
      </c>
      <c r="BN23" s="21">
        <f t="array" aca="1" ref="BN23" ca="1">IFERROR(IF(BM22&lt;&gt;0,INDEX(
INDIRECT("'シフト一覧（転載）'!"&amp;BM22&amp;":AK100"),1+1,
MATCH(1,INDEX((LEN(INDIRECT("'シフト一覧（転載）'!"&amp;BM22&amp;":AK100"))&gt;0)
*(INDIRECT("'シフト一覧（転載）'!"&amp;BM22&amp;":AK100")&lt;&gt;"休み"),1,0),0)),0),"")</f>
        <v>0</v>
      </c>
      <c r="BO23" s="21">
        <f ca="1">IF(BN22=0,0,
IF(OR(BN22="",COUNTIF(BN22,"*保育無し*")),"",
IF(MOD(BN23-BN22,1)*24&gt;=8,1,
IF(MOD(BN23-BN22,1)*24&gt;=6,0.75,0))))</f>
        <v>0</v>
      </c>
      <c r="BP23" s="21">
        <f t="array" aca="1" ref="BP23" ca="1">IFERROR(IF(BO22&lt;&gt;0,INDEX(
INDIRECT("'シフト一覧（転載）'!"&amp;BO22&amp;":AK100"),1+1,
MATCH(1,INDEX((LEN(INDIRECT("'シフト一覧（転載）'!"&amp;BO22&amp;":AK100"))&gt;0)
*(INDIRECT("'シフト一覧（転載）'!"&amp;BO22&amp;":AK100")&lt;&gt;"休み"),1,0),0)),0),"")</f>
        <v>0</v>
      </c>
      <c r="BQ23" s="21">
        <f ca="1">IF(BP22=0,0,
IF(OR(BP22="",COUNTIF(BP22,"*保育無し*")),"",
IF(MOD(BP23-BP22,1)*24&gt;=8,1,
IF(MOD(BP23-BP22,1)*24&gt;=6,0.75,0))))</f>
        <v>0</v>
      </c>
      <c r="BR23" s="21">
        <f t="array" aca="1" ref="BR23" ca="1">IFERROR(IF(BQ22&lt;&gt;0,INDEX(
INDIRECT("'シフト一覧（転載）'!"&amp;BQ22&amp;":AK100"),1+1,
MATCH(1,INDEX((LEN(INDIRECT("'シフト一覧（転載）'!"&amp;BQ22&amp;":AK100"))&gt;0)
*(INDIRECT("'シフト一覧（転載）'!"&amp;BQ22&amp;":AK100")&lt;&gt;"休み"),1,0),0)),0),"")</f>
        <v>0</v>
      </c>
      <c r="BS23" s="21">
        <f ca="1">IF(BR22=0,0,
IF(OR(BR22="",COUNTIF(BR22,"*保育無し*")),"",
IF(MOD(BR23-BR22,1)*24&gt;=8,1,
IF(MOD(BR23-BR22,1)*24&gt;=6,0.75,0))))</f>
        <v>0</v>
      </c>
      <c r="BT23" s="21">
        <f t="array" aca="1" ref="BT23" ca="1">IFERROR(IF(BS22&lt;&gt;0,INDEX(
INDIRECT("'シフト一覧（転載）'!"&amp;BS22&amp;":AK100"),1+1,
MATCH(1,INDEX((LEN(INDIRECT("'シフト一覧（転載）'!"&amp;BS22&amp;":AK100"))&gt;0)
*(INDIRECT("'シフト一覧（転載）'!"&amp;BS22&amp;":AK100")&lt;&gt;"休み"),1,0),0)),0),"")</f>
        <v>0</v>
      </c>
      <c r="BU23" s="21">
        <f ca="1">IF(BT22=0,0,
IF(OR(BT22="",COUNTIF(BT22,"*保育無し*")),"",
IF(MOD(BT23-BT22,1)*24&gt;=8,1,
IF(MOD(BT23-BT22,1)*24&gt;=6,0.75,0))))</f>
        <v>0</v>
      </c>
      <c r="BV23" s="21">
        <f t="array" aca="1" ref="BV23" ca="1">IFERROR(IF(BU22&lt;&gt;0,INDEX(
INDIRECT("'シフト一覧（転載）'!"&amp;BU22&amp;":AK100"),1+1,
MATCH(1,INDEX((LEN(INDIRECT("'シフト一覧（転載）'!"&amp;BU22&amp;":AK100"))&gt;0)
*(INDIRECT("'シフト一覧（転載）'!"&amp;BU22&amp;":AK100")&lt;&gt;"休み"),1,0),0)),0),"")</f>
        <v>0</v>
      </c>
      <c r="BW23" s="21">
        <f ca="1">IF(BV22=0,0,
IF(OR(BV22="",COUNTIF(BV22,"*保育無し*")),"",
IF(MOD(BV23-BV22,1)*24&gt;=8,1,
IF(MOD(BV23-BV22,1)*24&gt;=6,0.75,0))))</f>
        <v>0</v>
      </c>
      <c r="BX23" s="21">
        <f t="array" aca="1" ref="BX23" ca="1">IFERROR(IF(BW22&lt;&gt;0,INDEX(
INDIRECT("'シフト一覧（転載）'!"&amp;BW22&amp;":AK100"),1+1,
MATCH(1,INDEX((LEN(INDIRECT("'シフト一覧（転載）'!"&amp;BW22&amp;":AK100"))&gt;0)
*(INDIRECT("'シフト一覧（転載）'!"&amp;BW22&amp;":AK100")&lt;&gt;"休み"),1,0),0)),0),"")</f>
        <v>0</v>
      </c>
      <c r="BY23" s="21">
        <f ca="1">IF(BX22=0,0,
IF(OR(BX22="",COUNTIF(BX22,"*保育無し*")),"",
IF(MOD(BX23-BX22,1)*24&gt;=8,1,
IF(MOD(BX23-BX22,1)*24&gt;=6,0.75,0))))</f>
        <v>0</v>
      </c>
    </row>
    <row r="24" spans="1:77" ht="19.8" customHeight="1" x14ac:dyDescent="0.2">
      <c r="A24" s="43">
        <f>IF(A23&lt;&gt;0,IF($B$9&gt;A23,A23+1,0),0)</f>
        <v>13</v>
      </c>
      <c r="B24" s="48" t="str" cm="1">
        <f t="array" aca="1" ref="B24" ca="1">IFERROR(_xlfn.TEXTJOIN("", TRUE, IF(ISERR(MID(INDIRECT("'Page_" &amp; A24 &amp; "'!C2"), ROW(INDIRECT("1:" &amp; LEN(INDIRECT("'Page_" &amp; A24 &amp; "'!C2")))), 1)*1), MID(INDIRECT("'Page_" &amp; A24 &amp; "'!C2"), ROW(INDIRECT("1:" &amp; LEN(INDIRECT("'Page_" &amp; A24 &amp; "'!C2")))), 1), "")),"")</f>
        <v>福士</v>
      </c>
      <c r="C24" s="49" t="str" cm="1">
        <f t="array" aca="1" ref="C24" ca="1">IFERROR(IF(INDIRECT("'Page_" &amp; A24 &amp; "'!E2")&lt;&gt;"",INDIRECT("'Page_" &amp; A24 &amp; "'!E2"),INDIRECT("'Page_" &amp; A24 &amp; "'!D2")),"")</f>
        <v>静子</v>
      </c>
      <c r="D24" s="58" t="str" cm="1">
        <f t="array" aca="1" ref="D24" ca="1">IFERROR(IF(INDIRECT("'Page_" &amp; A24 &amp; "'!Q3")&lt;&gt;"",INDIRECT("'Page_" &amp; A24 &amp; "'!Q3"),INDIRECT("'Page_" &amp; A24 &amp; "'!P3")),"")</f>
        <v>パート(社保 40H以内)・保育士</v>
      </c>
      <c r="E24" s="39">
        <f t="shared" ca="1" si="2"/>
        <v>0</v>
      </c>
      <c r="F24" s="28">
        <f t="shared" ca="1" si="3"/>
        <v>170.75</v>
      </c>
      <c r="G24" s="25">
        <f t="shared" ca="1" si="0"/>
        <v>168</v>
      </c>
      <c r="H24" s="63" t="str" cm="1">
        <f t="array" aca="1" ref="H24" ca="1">IF(B24&lt;&gt;"",IFERROR(INDEX('シフト一覧（転載）'!$C$8:$C$100,
MATCH(1, (ISNUMBER(SEARCH(B24,'シフト一覧（転載）'!$A$8:$A$100)))
*(ISNUMBER(SEARCH($F$9,'シフト一覧（転載）'!$B$8:$B$100))), 0)),""),"")</f>
        <v/>
      </c>
      <c r="I24" s="54">
        <f t="shared" ca="1" si="1"/>
        <v>0</v>
      </c>
      <c r="J24" s="25" cm="1">
        <f t="array" aca="1" ref="J24" ca="1">IF(B24&lt;&gt;"",IFERROR(SUM(INDIRECT("'Page_" &amp; A24 &amp; "'!K"&amp;MATCH("有休",INDIRECT("'Page_" &amp; A24 &amp; "'!K:K"),0)+2&amp;"")
+INDIRECT("'Page_" &amp; A24 &amp; "'!L"&amp;MATCH("特休",INDIRECT("'Page_" &amp; A24 &amp; "'!L:L"),0)+2&amp;""))*24,0),"")</f>
        <v>0</v>
      </c>
      <c r="K24" s="59"/>
      <c r="M24" s="103" t="str" cm="1">
        <f t="array" aca="1" ref="M2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4" s="101" t="str">
        <f t="shared" ref="N24" ca="1" si="9">IF(M24&lt;&gt;"",VLOOKUP(M24,$B$12:$C$41,2,FALSE),"")</f>
        <v/>
      </c>
      <c r="O24" s="106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20">
        <f t="array" aca="1" ref="P24" ca="1">IFERROR(IF(M24&lt;&gt;"",INDEX('シフト一覧（転載）'!$F$8:$AK$100,
    MATCH(1,(ISNUMBER(SEARCH(M24,'シフト一覧（転載）'!$A$8:$A$100)))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MATCH(1,(ISNUMBER(SEARCH(M24,'シフト一覧（転載）'!$A$8:$A$100)))
                *(ISNUMBER(SEARCH($F$9,'シフト一覧（転載）'!$B$8:$B$100))),
                0),0),0)),0),$F$9&amp;"保育無し")</f>
        <v>0</v>
      </c>
      <c r="Q24" s="20">
        <f t="array" aca="1" ref="Q24" ca="1">IFERROR(IF(COUNTIF(P24,"*無*"),"",IF(M24&lt;&gt;"",ADDRESS(
    MATCH(1,(ISNUMBER(SEARCH(M24,'シフト一覧（転載）'!$A$8:$A$100)))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MATCH(1,(ISNUMBER(SEARCH(M24,'シフト一覧（転載）'!$A$8:$A$100)))
                *(ISNUMBER(SEARCH($F$9,'シフト一覧（転載）'!$B$8:$B$100))),0),0),0) + 6,4),0)),0)</f>
        <v>0</v>
      </c>
      <c r="R24" s="20">
        <f t="array" aca="1" ref="R24" ca="1">IFERROR(IF(Q24&lt;&gt;"",IF(Q24&lt;&gt;0,INDEX(
INDIRECT("'シフト一覧（転載）'!"&amp;Q24&amp;":AK100"),1,
MATCH(1,INDEX((LEN(INDIRECT("'シフト一覧（転載）'!"&amp;Q24&amp;":AK100"))&gt;0)
*(INDIRECT("'シフト一覧（転載）'!"&amp;Q24&amp;":AK100")&lt;&gt;"休み"),1,0),0)),0),""),$F$9&amp;"保育無し")</f>
        <v>0</v>
      </c>
      <c r="S24" s="20">
        <f t="array" aca="1" ref="S24" ca="1">IFERROR(IF(Q24&lt;&gt;0,ADDRESS(ROW(INDIRECT(Q24)),
    COLUMN(INDIRECT(Q24)) - 1 +
    MATCH(1,INDEX((LEN(INDIRECT("'シフト一覧（転載）'!"&amp;Q24&amp;":AK100"))&gt;0)
            *(INDIRECT("'シフト一覧（転載）'!"&amp;Q24&amp;":AK100")&lt;&gt;"休み"),
            1,0),0)+1,4),0),"")</f>
        <v>0</v>
      </c>
      <c r="T24" s="20">
        <f t="array" aca="1" ref="T24" ca="1">IFERROR(IF(S24&lt;&gt;"",IF(S24&lt;&gt;0,INDEX(
INDIRECT("'シフト一覧（転載）'!"&amp;S24&amp;":AK100"),1,
MATCH(1,INDEX((LEN(INDIRECT("'シフト一覧（転載）'!"&amp;S24&amp;":AK100"))&gt;0)
*(INDIRECT("'シフト一覧（転載）'!"&amp;S24&amp;":AK100")&lt;&gt;"休み"),1,0),0)),0),""),$F$9&amp;"保育無し")</f>
        <v>0</v>
      </c>
      <c r="U24" s="20">
        <f t="array" aca="1" ref="U24" ca="1">IFERROR(IF(S24&lt;&gt;0,ADDRESS(ROW(INDIRECT(S24)),
    COLUMN(INDIRECT(S24)) - 1 +
    MATCH(1,INDEX((LEN(INDIRECT("'シフト一覧（転載）'!"&amp;S24&amp;":AK100"))&gt;0)
            *(INDIRECT("'シフト一覧（転載）'!"&amp;S24&amp;":AK100")&lt;&gt;"休み"),
            1,0),0)+1,4),0),"")</f>
        <v>0</v>
      </c>
      <c r="V24" s="20">
        <f t="array" aca="1" ref="V24" ca="1">IFERROR(IF(U24&lt;&gt;"",IF(U24&lt;&gt;0,INDEX(
INDIRECT("'シフト一覧（転載）'!"&amp;U24&amp;":AK100"),1,
MATCH(1,INDEX((LEN(INDIRECT("'シフト一覧（転載）'!"&amp;U24&amp;":AK100"))&gt;0)
*(INDIRECT("'シフト一覧（転載）'!"&amp;U24&amp;":AK100")&lt;&gt;"休み"),1,0),0)),0),""),$F$9&amp;"保育無し")</f>
        <v>0</v>
      </c>
      <c r="W24" s="20">
        <f t="array" aca="1" ref="W24" ca="1">IFERROR(IF(U24&lt;&gt;0,ADDRESS(ROW(INDIRECT(U24)),
    COLUMN(INDIRECT(U24)) - 1 +
    MATCH(1,INDEX((LEN(INDIRECT("'シフト一覧（転載）'!"&amp;U24&amp;":AK100"))&gt;0)
            *(INDIRECT("'シフト一覧（転載）'!"&amp;U24&amp;":AK100")&lt;&gt;"休み"),
            1,0),0)+1,4),0),"")</f>
        <v>0</v>
      </c>
      <c r="X24" s="20">
        <f t="array" aca="1" ref="X24" ca="1">IFERROR(IF(W24&lt;&gt;"",IF(W24&lt;&gt;0,INDEX(
INDIRECT("'シフト一覧（転載）'!"&amp;W24&amp;":AK100"),1,
MATCH(1,INDEX((LEN(INDIRECT("'シフト一覧（転載）'!"&amp;W24&amp;":AK100"))&gt;0)
*(INDIRECT("'シフト一覧（転載）'!"&amp;W24&amp;":AK100")&lt;&gt;"休み"),1,0),0)),0),""),$F$9&amp;"保育無し")</f>
        <v>0</v>
      </c>
      <c r="Y24" s="20">
        <f t="array" aca="1" ref="Y24" ca="1">IFERROR(IF(W24&lt;&gt;0,ADDRESS(ROW(INDIRECT(W24)),
    COLUMN(INDIRECT(W24)) - 1 +
    MATCH(1,INDEX((LEN(INDIRECT("'シフト一覧（転載）'!"&amp;W24&amp;":AK100"))&gt;0)
            *(INDIRECT("'シフト一覧（転載）'!"&amp;W24&amp;":AK100")&lt;&gt;"休み"),
            1,0),0)+1,4),0),"")</f>
        <v>0</v>
      </c>
      <c r="Z24" s="20">
        <f t="array" aca="1" ref="Z24" ca="1">IFERROR(IF(Y24&lt;&gt;"",IF(Y24&lt;&gt;0,INDEX(
INDIRECT("'シフト一覧（転載）'!"&amp;Y24&amp;":AK100"),1,
MATCH(1,INDEX((LEN(INDIRECT("'シフト一覧（転載）'!"&amp;Y24&amp;":AK100"))&gt;0)
*(INDIRECT("'シフト一覧（転載）'!"&amp;Y24&amp;":AK100")&lt;&gt;"休み"),1,0),0)),0),""),$F$9&amp;"保育無し")</f>
        <v>0</v>
      </c>
      <c r="AA24" s="20">
        <f t="array" aca="1" ref="AA24" ca="1">IFERROR(IF(Y24&lt;&gt;0,ADDRESS(ROW(INDIRECT(Y24)),
    COLUMN(INDIRECT(Y24)) - 1 +
    MATCH(1,INDEX((LEN(INDIRECT("'シフト一覧（転載）'!"&amp;Y24&amp;":AK100"))&gt;0)
            *(INDIRECT("'シフト一覧（転載）'!"&amp;Y24&amp;":AK100")&lt;&gt;"休み"),
            1,0),0)+1,4),0),"")</f>
        <v>0</v>
      </c>
      <c r="AB24" s="20">
        <f t="array" aca="1" ref="AB24" ca="1">IFERROR(IF(AA24&lt;&gt;"",IF(AA24&lt;&gt;0,INDEX(
INDIRECT("'シフト一覧（転載）'!"&amp;AA24&amp;":AK100"),1,
MATCH(1,INDEX((LEN(INDIRECT("'シフト一覧（転載）'!"&amp;AA24&amp;":AK100"))&gt;0)
*(INDIRECT("'シフト一覧（転載）'!"&amp;AA24&amp;":AK100")&lt;&gt;"休み"),1,0),0)),0),""),$F$9&amp;"保育無し")</f>
        <v>0</v>
      </c>
      <c r="AC24" s="20">
        <f t="array" aca="1" ref="AC24" ca="1">IFERROR(IF(AA24&lt;&gt;0,ADDRESS(ROW(INDIRECT(AA24)),
    COLUMN(INDIRECT(AA24)) - 1 +
    MATCH(1,INDEX((LEN(INDIRECT("'シフト一覧（転載）'!"&amp;AA24&amp;":AK100"))&gt;0)
            *(INDIRECT("'シフト一覧（転載）'!"&amp;AA24&amp;":AK100")&lt;&gt;"休み"),
            1,0),0)+1,4),0),"")</f>
        <v>0</v>
      </c>
      <c r="AD24" s="20">
        <f t="array" aca="1" ref="AD24" ca="1">IFERROR(IF(AC24&lt;&gt;"",IF(AC24&lt;&gt;0,INDEX(
INDIRECT("'シフト一覧（転載）'!"&amp;AC24&amp;":AK100"),1,
MATCH(1,INDEX((LEN(INDIRECT("'シフト一覧（転載）'!"&amp;AC24&amp;":AK100"))&gt;0)
*(INDIRECT("'シフト一覧（転載）'!"&amp;AC24&amp;":AK100")&lt;&gt;"休み"),1,0),0)),0),""),$F$9&amp;"保育無し")</f>
        <v>0</v>
      </c>
      <c r="AE24" s="20">
        <f t="array" aca="1" ref="AE24" ca="1">IFERROR(IF(AC24&lt;&gt;0,ADDRESS(ROW(INDIRECT(AC24)),
    COLUMN(INDIRECT(AC24)) - 1 +
    MATCH(1,INDEX((LEN(INDIRECT("'シフト一覧（転載）'!"&amp;AC24&amp;":AK100"))&gt;0)
            *(INDIRECT("'シフト一覧（転載）'!"&amp;AC24&amp;":AK100")&lt;&gt;"休み"),
            1,0),0)+1,4),0),"")</f>
        <v>0</v>
      </c>
      <c r="AF24" s="20">
        <f t="array" aca="1" ref="AF24" ca="1">IFERROR(IF(AE24&lt;&gt;"",IF(AE24&lt;&gt;0,INDEX(
INDIRECT("'シフト一覧（転載）'!"&amp;AE24&amp;":AK100"),1,
MATCH(1,INDEX((LEN(INDIRECT("'シフト一覧（転載）'!"&amp;AE24&amp;":AK100"))&gt;0)
*(INDIRECT("'シフト一覧（転載）'!"&amp;AE24&amp;":AK100")&lt;&gt;"休み"),1,0),0)),0),""),$F$9&amp;"保育無し")</f>
        <v>0</v>
      </c>
      <c r="AG24" s="20">
        <f t="array" aca="1" ref="AG24" ca="1">IFERROR(IF(AE24&lt;&gt;0,ADDRESS(ROW(INDIRECT(AE24)),
    COLUMN(INDIRECT(AE24)) - 1 +
    MATCH(1,INDEX((LEN(INDIRECT("'シフト一覧（転載）'!"&amp;AE24&amp;":AK100"))&gt;0)
            *(INDIRECT("'シフト一覧（転載）'!"&amp;AE24&amp;":AK100")&lt;&gt;"休み"),
            1,0),0)+1,4),0),"")</f>
        <v>0</v>
      </c>
      <c r="AH24" s="20">
        <f t="array" aca="1" ref="AH24" ca="1">IFERROR(IF(AG24&lt;&gt;"",IF(AG24&lt;&gt;0,INDEX(
INDIRECT("'シフト一覧（転載）'!"&amp;AG24&amp;":AK100"),1,
MATCH(1,INDEX((LEN(INDIRECT("'シフト一覧（転載）'!"&amp;AG24&amp;":AK100"))&gt;0)
*(INDIRECT("'シフト一覧（転載）'!"&amp;AG24&amp;":AK100")&lt;&gt;"休み"),1,0),0)),0),""),$F$9&amp;"保育無し")</f>
        <v>0</v>
      </c>
      <c r="AI24" s="20">
        <f t="array" aca="1" ref="AI24" ca="1">IFERROR(IF(AG24&lt;&gt;0,ADDRESS(ROW(INDIRECT(AG24)),
    COLUMN(INDIRECT(AG24)) - 1 +
    MATCH(1,INDEX((LEN(INDIRECT("'シフト一覧（転載）'!"&amp;AG24&amp;":AK100"))&gt;0)
            *(INDIRECT("'シフト一覧（転載）'!"&amp;AG24&amp;":AK100")&lt;&gt;"休み"),
            1,0),0)+1,4),0),"")</f>
        <v>0</v>
      </c>
      <c r="AJ24" s="20">
        <f t="array" aca="1" ref="AJ24" ca="1">IFERROR(IF(AI24&lt;&gt;"",IF(AI24&lt;&gt;0,INDEX(
INDIRECT("'シフト一覧（転載）'!"&amp;AI24&amp;":AK100"),1,
MATCH(1,INDEX((LEN(INDIRECT("'シフト一覧（転載）'!"&amp;AI24&amp;":AK100"))&gt;0)
*(INDIRECT("'シフト一覧（転載）'!"&amp;AI24&amp;":AK100")&lt;&gt;"休み"),1,0),0)),0),""),$F$9&amp;"保育無し")</f>
        <v>0</v>
      </c>
      <c r="AK24" s="20">
        <f t="array" aca="1" ref="AK24" ca="1">IFERROR(IF(AI24&lt;&gt;0,ADDRESS(ROW(INDIRECT(AI24)),
    COLUMN(INDIRECT(AI24)) - 1 +
    MATCH(1,INDEX((LEN(INDIRECT("'シフト一覧（転載）'!"&amp;AI24&amp;":AK100"))&gt;0)
            *(INDIRECT("'シフト一覧（転載）'!"&amp;AI24&amp;":AK100")&lt;&gt;"休み"),
            1,0),0)+1,4),0),"")</f>
        <v>0</v>
      </c>
      <c r="AL24" s="20">
        <f t="array" aca="1" ref="AL24" ca="1">IFERROR(IF(AK24&lt;&gt;"",IF(AK24&lt;&gt;0,INDEX(
INDIRECT("'シフト一覧（転載）'!"&amp;AK24&amp;":AK100"),1,
MATCH(1,INDEX((LEN(INDIRECT("'シフト一覧（転載）'!"&amp;AK24&amp;":AK100"))&gt;0)
*(INDIRECT("'シフト一覧（転載）'!"&amp;AK24&amp;":AK100")&lt;&gt;"休み"),1,0),0)),0),""),$F$9&amp;"保育無し")</f>
        <v>0</v>
      </c>
      <c r="AM24" s="20">
        <f t="array" aca="1" ref="AM24" ca="1">IFERROR(IF(AK24&lt;&gt;0,ADDRESS(ROW(INDIRECT(AK24)),
    COLUMN(INDIRECT(AK24)) - 1 +
    MATCH(1,INDEX((LEN(INDIRECT("'シフト一覧（転載）'!"&amp;AK24&amp;":AK100"))&gt;0)
            *(INDIRECT("'シフト一覧（転載）'!"&amp;AK24&amp;":AK100")&lt;&gt;"休み"),
            1,0),0)+1,4),0),"")</f>
        <v>0</v>
      </c>
      <c r="AN24" s="20">
        <f t="array" aca="1" ref="AN24" ca="1">IFERROR(IF(AM24&lt;&gt;"",IF(AM24&lt;&gt;0,INDEX(
INDIRECT("'シフト一覧（転載）'!"&amp;AM24&amp;":AK100"),1,
MATCH(1,INDEX((LEN(INDIRECT("'シフト一覧（転載）'!"&amp;AM24&amp;":AK100"))&gt;0)
*(INDIRECT("'シフト一覧（転載）'!"&amp;AM24&amp;":AK100")&lt;&gt;"休み"),1,0),0)),0),""),$F$9&amp;"保育無し")</f>
        <v>0</v>
      </c>
      <c r="AO24" s="20">
        <f t="array" aca="1" ref="AO24" ca="1">IFERROR(IF(AM24&lt;&gt;0,ADDRESS(ROW(INDIRECT(AM24)),
    COLUMN(INDIRECT(AM24)) - 1 +
    MATCH(1,INDEX((LEN(INDIRECT("'シフト一覧（転載）'!"&amp;AM24&amp;":AK100"))&gt;0)
            *(INDIRECT("'シフト一覧（転載）'!"&amp;AM24&amp;":AK100")&lt;&gt;"休み"),
            1,0),0)+1,4),0),"")</f>
        <v>0</v>
      </c>
      <c r="AP24" s="20">
        <f t="array" aca="1" ref="AP24" ca="1">IFERROR(IF(AO24&lt;&gt;"",IF(AO24&lt;&gt;0,INDEX(
INDIRECT("'シフト一覧（転載）'!"&amp;AO24&amp;":AK100"),1,
MATCH(1,INDEX((LEN(INDIRECT("'シフト一覧（転載）'!"&amp;AO24&amp;":AK100"))&gt;0)
*(INDIRECT("'シフト一覧（転載）'!"&amp;AO24&amp;":AK100")&lt;&gt;"休み"),1,0),0)),0),""),$F$9&amp;"保育無し")</f>
        <v>0</v>
      </c>
      <c r="AQ24" s="20">
        <f t="array" aca="1" ref="AQ24" ca="1">IFERROR(IF(AO24&lt;&gt;0,ADDRESS(ROW(INDIRECT(AO24)),
    COLUMN(INDIRECT(AO24)) - 1 +
    MATCH(1,INDEX((LEN(INDIRECT("'シフト一覧（転載）'!"&amp;AO24&amp;":AK100"))&gt;0)
            *(INDIRECT("'シフト一覧（転載）'!"&amp;AO24&amp;":AK100")&lt;&gt;"休み"),
            1,0),0)+1,4),0),"")</f>
        <v>0</v>
      </c>
      <c r="AR24" s="20">
        <f t="array" aca="1" ref="AR24" ca="1">IFERROR(IF(AQ24&lt;&gt;"",IF(AQ24&lt;&gt;0,INDEX(
INDIRECT("'シフト一覧（転載）'!"&amp;AQ24&amp;":AK100"),1,
MATCH(1,INDEX((LEN(INDIRECT("'シフト一覧（転載）'!"&amp;AQ24&amp;":AK100"))&gt;0)
*(INDIRECT("'シフト一覧（転載）'!"&amp;AQ24&amp;":AK100")&lt;&gt;"休み"),1,0),0)),0),""),$F$9&amp;"保育無し")</f>
        <v>0</v>
      </c>
      <c r="AS24" s="20">
        <f t="array" aca="1" ref="AS24" ca="1">IFERROR(IF(AQ24&lt;&gt;0,ADDRESS(ROW(INDIRECT(AQ24)),
    COLUMN(INDIRECT(AQ24)) - 1 +
    MATCH(1,INDEX((LEN(INDIRECT("'シフト一覧（転載）'!"&amp;AQ24&amp;":AK100"))&gt;0)
            *(INDIRECT("'シフト一覧（転載）'!"&amp;AQ24&amp;":AK100")&lt;&gt;"休み"),
            1,0),0)+1,4),0),"")</f>
        <v>0</v>
      </c>
      <c r="AT24" s="20">
        <f t="array" aca="1" ref="AT24" ca="1">IFERROR(IF(AS24&lt;&gt;"",IF(AS24&lt;&gt;0,INDEX(
INDIRECT("'シフト一覧（転載）'!"&amp;AS24&amp;":AK100"),1,
MATCH(1,INDEX((LEN(INDIRECT("'シフト一覧（転載）'!"&amp;AS24&amp;":AK100"))&gt;0)
*(INDIRECT("'シフト一覧（転載）'!"&amp;AS24&amp;":AK100")&lt;&gt;"休み"),1,0),0)),0),""),$F$9&amp;"保育無し")</f>
        <v>0</v>
      </c>
      <c r="AU24" s="20">
        <f t="array" aca="1" ref="AU24" ca="1">IFERROR(IF(AS24&lt;&gt;0,ADDRESS(ROW(INDIRECT(AS24)),
    COLUMN(INDIRECT(AS24)) - 1 +
    MATCH(1,INDEX((LEN(INDIRECT("'シフト一覧（転載）'!"&amp;AS24&amp;":AK100"))&gt;0)
            *(INDIRECT("'シフト一覧（転載）'!"&amp;AS24&amp;":AK100")&lt;&gt;"休み"),
            1,0),0)+1,4),0),"")</f>
        <v>0</v>
      </c>
      <c r="AV24" s="20">
        <f t="array" aca="1" ref="AV24" ca="1">IFERROR(IF(AU24&lt;&gt;"",IF(AU24&lt;&gt;0,INDEX(
INDIRECT("'シフト一覧（転載）'!"&amp;AU24&amp;":AK100"),1,
MATCH(1,INDEX((LEN(INDIRECT("'シフト一覧（転載）'!"&amp;AU24&amp;":AK100"))&gt;0)
*(INDIRECT("'シフト一覧（転載）'!"&amp;AU24&amp;":AK100")&lt;&gt;"休み"),1,0),0)),0),""),$F$9&amp;"保育無し")</f>
        <v>0</v>
      </c>
      <c r="AW24" s="20">
        <f t="array" aca="1" ref="AW24" ca="1">IFERROR(IF(AU24&lt;&gt;0,ADDRESS(ROW(INDIRECT(AU24)),
    COLUMN(INDIRECT(AU24)) - 1 +
    MATCH(1,INDEX((LEN(INDIRECT("'シフト一覧（転載）'!"&amp;AU24&amp;":AK100"))&gt;0)
            *(INDIRECT("'シフト一覧（転載）'!"&amp;AU24&amp;":AK100")&lt;&gt;"休み"),
            1,0),0)+1,4),0),"")</f>
        <v>0</v>
      </c>
      <c r="AX24" s="20">
        <f t="array" aca="1" ref="AX24" ca="1">IFERROR(IF(AW24&lt;&gt;"",IF(AW24&lt;&gt;0,INDEX(
INDIRECT("'シフト一覧（転載）'!"&amp;AW24&amp;":AK100"),1,
MATCH(1,INDEX((LEN(INDIRECT("'シフト一覧（転載）'!"&amp;AW24&amp;":AK100"))&gt;0)
*(INDIRECT("'シフト一覧（転載）'!"&amp;AW24&amp;":AK100")&lt;&gt;"休み"),1,0),0)),0),""),$F$9&amp;"保育無し")</f>
        <v>0</v>
      </c>
      <c r="AY24" s="20">
        <f t="array" aca="1" ref="AY24" ca="1">IFERROR(IF(AW24&lt;&gt;0,ADDRESS(ROW(INDIRECT(AW24)),
    COLUMN(INDIRECT(AW24)) - 1 +
    MATCH(1,INDEX((LEN(INDIRECT("'シフト一覧（転載）'!"&amp;AW24&amp;":AK100"))&gt;0)
            *(INDIRECT("'シフト一覧（転載）'!"&amp;AW24&amp;":AK100")&lt;&gt;"休み"),
            1,0),0)+1,4),0),"")</f>
        <v>0</v>
      </c>
      <c r="AZ24" s="20">
        <f t="array" aca="1" ref="AZ24" ca="1">IFERROR(IF(AY24&lt;&gt;"",IF(AY24&lt;&gt;0,INDEX(
INDIRECT("'シフト一覧（転載）'!"&amp;AY24&amp;":AK100"),1,
MATCH(1,INDEX((LEN(INDIRECT("'シフト一覧（転載）'!"&amp;AY24&amp;":AK100"))&gt;0)
*(INDIRECT("'シフト一覧（転載）'!"&amp;AY24&amp;":AK100")&lt;&gt;"休み"),1,0),0)),0),""),$F$9&amp;"保育無し")</f>
        <v>0</v>
      </c>
      <c r="BA24" s="20">
        <f t="array" aca="1" ref="BA24" ca="1">IFERROR(IF(AY24&lt;&gt;0,ADDRESS(ROW(INDIRECT(AY24)),
    COLUMN(INDIRECT(AY24)) - 1 +
    MATCH(1,INDEX((LEN(INDIRECT("'シフト一覧（転載）'!"&amp;AY24&amp;":AK100"))&gt;0)
            *(INDIRECT("'シフト一覧（転載）'!"&amp;AY24&amp;":AK100")&lt;&gt;"休み"),
            1,0),0)+1,4),0),"")</f>
        <v>0</v>
      </c>
      <c r="BB24" s="20">
        <f t="array" aca="1" ref="BB24" ca="1">IFERROR(IF(BA24&lt;&gt;"",IF(BA24&lt;&gt;0,INDEX(
INDIRECT("'シフト一覧（転載）'!"&amp;BA24&amp;":AK100"),1,
MATCH(1,INDEX((LEN(INDIRECT("'シフト一覧（転載）'!"&amp;BA24&amp;":AK100"))&gt;0)
*(INDIRECT("'シフト一覧（転載）'!"&amp;BA24&amp;":AK100")&lt;&gt;"休み"),1,0),0)),0),""),$F$9&amp;"保育無し")</f>
        <v>0</v>
      </c>
      <c r="BC24" s="20">
        <f t="array" aca="1" ref="BC24" ca="1">IFERROR(IF(BA24&lt;&gt;0,ADDRESS(ROW(INDIRECT(BA24)),
    COLUMN(INDIRECT(BA24)) - 1 +
    MATCH(1,INDEX((LEN(INDIRECT("'シフト一覧（転載）'!"&amp;BA24&amp;":AK100"))&gt;0)
            *(INDIRECT("'シフト一覧（転載）'!"&amp;BA24&amp;":AK100")&lt;&gt;"休み"),
            1,0),0)+1,4),0),"")</f>
        <v>0</v>
      </c>
      <c r="BD24" s="20">
        <f t="array" aca="1" ref="BD24" ca="1">IFERROR(IF(BC24&lt;&gt;"",IF(BC24&lt;&gt;0,INDEX(
INDIRECT("'シフト一覧（転載）'!"&amp;BC24&amp;":AK100"),1,
MATCH(1,INDEX((LEN(INDIRECT("'シフト一覧（転載）'!"&amp;BC24&amp;":AK100"))&gt;0)
*(INDIRECT("'シフト一覧（転載）'!"&amp;BC24&amp;":AK100")&lt;&gt;"休み"),1,0),0)),0),""),$F$9&amp;"保育無し")</f>
        <v>0</v>
      </c>
      <c r="BE24" s="20">
        <f t="array" aca="1" ref="BE24" ca="1">IFERROR(IF(BC24&lt;&gt;0,ADDRESS(ROW(INDIRECT(BC24)),
    COLUMN(INDIRECT(BC24)) - 1 +
    MATCH(1,INDEX((LEN(INDIRECT("'シフト一覧（転載）'!"&amp;BC24&amp;":AK100"))&gt;0)
            *(INDIRECT("'シフト一覧（転載）'!"&amp;BC24&amp;":AK100")&lt;&gt;"休み"),
            1,0),0)+1,4),0),"")</f>
        <v>0</v>
      </c>
      <c r="BF24" s="20">
        <f t="array" aca="1" ref="BF24" ca="1">IFERROR(IF(BE24&lt;&gt;"",IF(BE24&lt;&gt;0,INDEX(
INDIRECT("'シフト一覧（転載）'!"&amp;BE24&amp;":AK100"),1,
MATCH(1,INDEX((LEN(INDIRECT("'シフト一覧（転載）'!"&amp;BE24&amp;":AK100"))&gt;0)
*(INDIRECT("'シフト一覧（転載）'!"&amp;BE24&amp;":AK100")&lt;&gt;"休み"),1,0),0)),0),""),$F$9&amp;"保育無し")</f>
        <v>0</v>
      </c>
      <c r="BG24" s="20">
        <f t="array" aca="1" ref="BG24" ca="1">IFERROR(IF(BE24&lt;&gt;0,ADDRESS(ROW(INDIRECT(BE24)),
    COLUMN(INDIRECT(BE24)) - 1 +
    MATCH(1,INDEX((LEN(INDIRECT("'シフト一覧（転載）'!"&amp;BE24&amp;":AK100"))&gt;0)
            *(INDIRECT("'シフト一覧（転載）'!"&amp;BE24&amp;":AK100")&lt;&gt;"休み"),
            1,0),0)+1,4),0),"")</f>
        <v>0</v>
      </c>
      <c r="BH24" s="20">
        <f t="array" aca="1" ref="BH24" ca="1">IFERROR(IF(BG24&lt;&gt;"",IF(BG24&lt;&gt;0,INDEX(
INDIRECT("'シフト一覧（転載）'!"&amp;BG24&amp;":AK100"),1,
MATCH(1,INDEX((LEN(INDIRECT("'シフト一覧（転載）'!"&amp;BG24&amp;":AK100"))&gt;0)
*(INDIRECT("'シフト一覧（転載）'!"&amp;BG24&amp;":AK100")&lt;&gt;"休み"),1,0),0)),0),""),$F$9&amp;"保育無し")</f>
        <v>0</v>
      </c>
      <c r="BI24" s="20">
        <f t="array" aca="1" ref="BI24" ca="1">IFERROR(IF(BG24&lt;&gt;0,ADDRESS(ROW(INDIRECT(BG24)),
    COLUMN(INDIRECT(BG24)) - 1 +
    MATCH(1,INDEX((LEN(INDIRECT("'シフト一覧（転載）'!"&amp;BG24&amp;":AK100"))&gt;0)
            *(INDIRECT("'シフト一覧（転載）'!"&amp;BG24&amp;":AK100")&lt;&gt;"休み"),
            1,0),0)+1,4),0),"")</f>
        <v>0</v>
      </c>
      <c r="BJ24" s="20">
        <f t="array" aca="1" ref="BJ24" ca="1">IFERROR(IF(BI24&lt;&gt;"",IF(BI24&lt;&gt;0,INDEX(
INDIRECT("'シフト一覧（転載）'!"&amp;BI24&amp;":AK100"),1,
MATCH(1,INDEX((LEN(INDIRECT("'シフト一覧（転載）'!"&amp;BI24&amp;":AK100"))&gt;0)
*(INDIRECT("'シフト一覧（転載）'!"&amp;BI24&amp;":AK100")&lt;&gt;"休み"),1,0),0)),0),""),$F$9&amp;"保育無し")</f>
        <v>0</v>
      </c>
      <c r="BK24" s="20">
        <f t="array" aca="1" ref="BK24" ca="1">IFERROR(IF(BI24&lt;&gt;0,ADDRESS(ROW(INDIRECT(BI24)),
    COLUMN(INDIRECT(BI24)) - 1 +
    MATCH(1,INDEX((LEN(INDIRECT("'シフト一覧（転載）'!"&amp;BI24&amp;":AK100"))&gt;0)
            *(INDIRECT("'シフト一覧（転載）'!"&amp;BI24&amp;":AK100")&lt;&gt;"休み"),
            1,0),0)+1,4),0),"")</f>
        <v>0</v>
      </c>
      <c r="BL24" s="20">
        <f t="array" aca="1" ref="BL24" ca="1">IFERROR(IF(BK24&lt;&gt;"",IF(BK24&lt;&gt;0,INDEX(
INDIRECT("'シフト一覧（転載）'!"&amp;BK24&amp;":AK100"),1,
MATCH(1,INDEX((LEN(INDIRECT("'シフト一覧（転載）'!"&amp;BK24&amp;":AK100"))&gt;0)
*(INDIRECT("'シフト一覧（転載）'!"&amp;BK24&amp;":AK100")&lt;&gt;"休み"),1,0),0)),0),""),$F$9&amp;"保育無し")</f>
        <v>0</v>
      </c>
      <c r="BM24" s="20">
        <f t="array" aca="1" ref="BM24" ca="1">IFERROR(IF(BK24&lt;&gt;0,ADDRESS(ROW(INDIRECT(BK24)),
    COLUMN(INDIRECT(BK24)) - 1 +
    MATCH(1,INDEX((LEN(INDIRECT("'シフト一覧（転載）'!"&amp;BK24&amp;":AK100"))&gt;0)
            *(INDIRECT("'シフト一覧（転載）'!"&amp;BK24&amp;":AK100")&lt;&gt;"休み"),
            1,0),0)+1,4),0),"")</f>
        <v>0</v>
      </c>
      <c r="BN24" s="20">
        <f t="array" aca="1" ref="BN24" ca="1">IFERROR(IF(BM24&lt;&gt;"",IF(BM24&lt;&gt;0,INDEX(
INDIRECT("'シフト一覧（転載）'!"&amp;BM24&amp;":AK100"),1,
MATCH(1,INDEX((LEN(INDIRECT("'シフト一覧（転載）'!"&amp;BM24&amp;":AK100"))&gt;0)
*(INDIRECT("'シフト一覧（転載）'!"&amp;BM24&amp;":AK100")&lt;&gt;"休み"),1,0),0)),0),""),$F$9&amp;"保育無し")</f>
        <v>0</v>
      </c>
      <c r="BO24" s="20">
        <f t="array" aca="1" ref="BO24" ca="1">IFERROR(IF(BM24&lt;&gt;0,ADDRESS(ROW(INDIRECT(BM24)),
    COLUMN(INDIRECT(BM24)) - 1 +
    MATCH(1,INDEX((LEN(INDIRECT("'シフト一覧（転載）'!"&amp;BM24&amp;":AK100"))&gt;0)
            *(INDIRECT("'シフト一覧（転載）'!"&amp;BM24&amp;":AK100")&lt;&gt;"休み"),
            1,0),0)+1,4),0),"")</f>
        <v>0</v>
      </c>
      <c r="BP24" s="20">
        <f t="array" aca="1" ref="BP24" ca="1">IFERROR(IF(BO24&lt;&gt;"",IF(BO24&lt;&gt;0,INDEX(
INDIRECT("'シフト一覧（転載）'!"&amp;BO24&amp;":AK100"),1,
MATCH(1,INDEX((LEN(INDIRECT("'シフト一覧（転載）'!"&amp;BO24&amp;":AK100"))&gt;0)
*(INDIRECT("'シフト一覧（転載）'!"&amp;BO24&amp;":AK100")&lt;&gt;"休み"),1,0),0)),0),""),$F$9&amp;"保育無し")</f>
        <v>0</v>
      </c>
      <c r="BQ24" s="20">
        <f t="array" aca="1" ref="BQ24" ca="1">IFERROR(IF(BO24&lt;&gt;0,ADDRESS(ROW(INDIRECT(BO24)),
    COLUMN(INDIRECT(BO24)) - 1 +
    MATCH(1,INDEX((LEN(INDIRECT("'シフト一覧（転載）'!"&amp;BO24&amp;":AK100"))&gt;0)
            *(INDIRECT("'シフト一覧（転載）'!"&amp;BO24&amp;":AK100")&lt;&gt;"休み"),
            1,0),0)+1,4),0),"")</f>
        <v>0</v>
      </c>
      <c r="BR24" s="20">
        <f t="array" aca="1" ref="BR24" ca="1">IFERROR(IF(BQ24&lt;&gt;"",IF(BQ24&lt;&gt;0,INDEX(
INDIRECT("'シフト一覧（転載）'!"&amp;BQ24&amp;":AK100"),1,
MATCH(1,INDEX((LEN(INDIRECT("'シフト一覧（転載）'!"&amp;BQ24&amp;":AK100"))&gt;0)
*(INDIRECT("'シフト一覧（転載）'!"&amp;BQ24&amp;":AK100")&lt;&gt;"休み"),1,0),0)),0),""),$F$9&amp;"保育無し")</f>
        <v>0</v>
      </c>
      <c r="BS24" s="20">
        <f t="array" aca="1" ref="BS24" ca="1">IFERROR(IF(BQ24&lt;&gt;0,ADDRESS(ROW(INDIRECT(BQ24)),
    COLUMN(INDIRECT(BQ24)) - 1 +
    MATCH(1,INDEX((LEN(INDIRECT("'シフト一覧（転載）'!"&amp;BQ24&amp;":AK100"))&gt;0)
            *(INDIRECT("'シフト一覧（転載）'!"&amp;BQ24&amp;":AK100")&lt;&gt;"休み"),
            1,0),0)+1,4),0),"")</f>
        <v>0</v>
      </c>
      <c r="BT24" s="20">
        <f t="array" aca="1" ref="BT24" ca="1">IFERROR(IF(BS24&lt;&gt;"",IF(BS24&lt;&gt;0,INDEX(
INDIRECT("'シフト一覧（転載）'!"&amp;BS24&amp;":AK100"),1,
MATCH(1,INDEX((LEN(INDIRECT("'シフト一覧（転載）'!"&amp;BS24&amp;":AK100"))&gt;0)
*(INDIRECT("'シフト一覧（転載）'!"&amp;BS24&amp;":AK100")&lt;&gt;"休み"),1,0),0)),0),""),$F$9&amp;"保育無し")</f>
        <v>0</v>
      </c>
      <c r="BU24" s="20">
        <f t="array" aca="1" ref="BU24" ca="1">IFERROR(IF(BS24&lt;&gt;0,ADDRESS(ROW(INDIRECT(BS24)),
    COLUMN(INDIRECT(BS24)) - 1 +
    MATCH(1,INDEX((LEN(INDIRECT("'シフト一覧（転載）'!"&amp;BS24&amp;":AK100"))&gt;0)
            *(INDIRECT("'シフト一覧（転載）'!"&amp;BS24&amp;":AK100")&lt;&gt;"休み"),
            1,0),0)+1,4),0),"")</f>
        <v>0</v>
      </c>
      <c r="BV24" s="20">
        <f t="array" aca="1" ref="BV24" ca="1">IFERROR(IF(BU24&lt;&gt;"",IF(BU24&lt;&gt;0,INDEX(
INDIRECT("'シフト一覧（転載）'!"&amp;BU24&amp;":AK100"),1,
MATCH(1,INDEX((LEN(INDIRECT("'シフト一覧（転載）'!"&amp;BU24&amp;":AK100"))&gt;0)
*(INDIRECT("'シフト一覧（転載）'!"&amp;BU24&amp;":AK100")&lt;&gt;"休み"),1,0),0)),0),""),$F$9&amp;"保育無し")</f>
        <v>0</v>
      </c>
      <c r="BW24" s="20">
        <f t="array" aca="1" ref="BW24" ca="1">IFERROR(IF(BU24&lt;&gt;0,ADDRESS(ROW(INDIRECT(BU24)),
    COLUMN(INDIRECT(BU24)) - 1 +
    MATCH(1,INDEX((LEN(INDIRECT("'シフト一覧（転載）'!"&amp;BU24&amp;":AK100"))&gt;0)
            *(INDIRECT("'シフト一覧（転載）'!"&amp;BU24&amp;":AK100")&lt;&gt;"休み"),
            1,0),0)+1,4),0),"")</f>
        <v>0</v>
      </c>
      <c r="BX24" s="20">
        <f t="array" aca="1" ref="BX24" ca="1">IFERROR(IF(BW24&lt;&gt;"",IF(BW24&lt;&gt;0,INDEX(
INDIRECT("'シフト一覧（転載）'!"&amp;BW24&amp;":AK100"),1,
MATCH(1,INDEX((LEN(INDIRECT("'シフト一覧（転載）'!"&amp;BW24&amp;":AK100"))&gt;0)
*(INDIRECT("'シフト一覧（転載）'!"&amp;BW24&amp;":AK100")&lt;&gt;"休み"),1,0),0)),0),""),$F$9&amp;"保育無し")</f>
        <v>0</v>
      </c>
      <c r="BY24" s="20">
        <f t="array" aca="1" ref="BY24" ca="1">IFERROR(IF(BW24&lt;&gt;0,ADDRESS(ROW(INDIRECT(BW24)),
    COLUMN(INDIRECT(BW24)) - 1 +
    MATCH(1,INDEX((LEN(INDIRECT("'シフト一覧（転載）'!"&amp;BW24&amp;":AK100"))&gt;0)
            *(INDIRECT("'シフト一覧（転載）'!"&amp;BW24&amp;":AK100")&lt;&gt;"休み"),
            1,0),0)+1,4),0),"")</f>
        <v>0</v>
      </c>
    </row>
    <row r="25" spans="1:77" ht="19.8" customHeight="1" x14ac:dyDescent="0.2">
      <c r="A25" s="43">
        <f>IF(A24&lt;&gt;0,IF($B$9&gt;A24,A24+1,0),0)</f>
        <v>14</v>
      </c>
      <c r="B25" s="48" t="str" cm="1">
        <f t="array" aca="1" ref="B25" ca="1">IFERROR(_xlfn.TEXTJOIN("", TRUE, IF(ISERR(MID(INDIRECT("'Page_" &amp; A25 &amp; "'!C2"), ROW(INDIRECT("1:" &amp; LEN(INDIRECT("'Page_" &amp; A25 &amp; "'!C2")))), 1)*1), MID(INDIRECT("'Page_" &amp; A25 &amp; "'!C2"), ROW(INDIRECT("1:" &amp; LEN(INDIRECT("'Page_" &amp; A25 &amp; "'!C2")))), 1), "")),"")</f>
        <v>加藤</v>
      </c>
      <c r="C25" s="49" t="str" cm="1">
        <f t="array" aca="1" ref="C25" ca="1">IFERROR(IF(INDIRECT("'Page_" &amp; A25 &amp; "'!E2")&lt;&gt;"",INDIRECT("'Page_" &amp; A25 &amp; "'!E2"),INDIRECT("'Page_" &amp; A25 &amp; "'!D2")),"")</f>
        <v>美奈子</v>
      </c>
      <c r="D25" s="58" t="str" cm="1">
        <f t="array" aca="1" ref="D25" ca="1">IFERROR(IF(INDIRECT("'Page_" &amp; A25 &amp; "'!Q3")&lt;&gt;"",INDIRECT("'Page_" &amp; A25 &amp; "'!Q3"),INDIRECT("'Page_" &amp; A25 &amp; "'!P3")),"")</f>
        <v>パート(社保 40H以内)・事務</v>
      </c>
      <c r="E25" s="39">
        <f t="shared" ca="1" si="2"/>
        <v>1</v>
      </c>
      <c r="F25" s="28">
        <f t="shared" ca="1" si="3"/>
        <v>169.5</v>
      </c>
      <c r="G25" s="25">
        <f t="shared" ca="1" si="0"/>
        <v>168</v>
      </c>
      <c r="H25" s="63" t="str" cm="1">
        <f t="array" aca="1" ref="H25" ca="1">IF(B25&lt;&gt;"",IFERROR(INDEX('シフト一覧（転載）'!$C$8:$C$100,
MATCH(1, (ISNUMBER(SEARCH(B25,'シフト一覧（転載）'!$A$8:$A$100)))
*(ISNUMBER(SEARCH($F$9,'シフト一覧（転載）'!$B$8:$B$100))), 0)),""),"")</f>
        <v/>
      </c>
      <c r="I25" s="54">
        <f t="shared" ca="1" si="1"/>
        <v>0</v>
      </c>
      <c r="J25" s="25" cm="1">
        <f t="array" aca="1" ref="J25" ca="1">IF(B25&lt;&gt;"",IFERROR(SUM(INDIRECT("'Page_" &amp; A25 &amp; "'!K"&amp;MATCH("有休",INDIRECT("'Page_" &amp; A25 &amp; "'!K:K"),0)+2&amp;"")
+INDIRECT("'Page_" &amp; A25 &amp; "'!L"&amp;MATCH("特休",INDIRECT("'Page_" &amp; A25 &amp; "'!L:L"),0)+2&amp;""))*24,0),"")</f>
        <v>0</v>
      </c>
      <c r="K25" s="59"/>
      <c r="M25" s="104"/>
      <c r="N25" s="102"/>
      <c r="O25" s="107"/>
      <c r="P25" s="21">
        <f t="array" aca="1" ref="P25" ca="1">IFERROR(IF(M24&lt;&gt;"",INDEX('シフト一覧（転載）'!$F$8:$AK$100,
    MATCH(1,(ISNUMBER(SEARCH(M24,'シフト一覧（転載）'!$A$8:$A$100)))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MATCH(1,(ISNUMBER(SEARCH(M24,'シフト一覧（転載）'!$A$8:$A$100)))
                *(ISNUMBER(SEARCH($F$9,'シフト一覧（転載）'!$B$8:$B$100))),
                0),0),0)),0),"")</f>
        <v>0</v>
      </c>
      <c r="Q25" s="21">
        <f ca="1">IF(P24=0,0,
IF(OR(P24="",COUNTIF(P24,"*保育無し*")),"",
IF(MOD(P25-P24,1)*24&gt;=8,1,
IF(MOD(P25-P24,1)*24&gt;=6,0.75,0))))</f>
        <v>0</v>
      </c>
      <c r="R25" s="21">
        <f t="array" aca="1" ref="R25" ca="1">IFERROR(IF(Q24&lt;&gt;0,INDEX(
INDIRECT("'シフト一覧（転載）'!"&amp;Q24&amp;":AK100"),1+1,
MATCH(1,INDEX((LEN(INDIRECT("'シフト一覧（転載）'!"&amp;Q24&amp;":AK100"))&gt;0)
*(INDIRECT("'シフト一覧（転載）'!"&amp;Q24&amp;":AK100")&lt;&gt;"休み"),1,0),0)),0),"")</f>
        <v>0</v>
      </c>
      <c r="S25" s="21">
        <f ca="1">IF(R24=0,0,
IF(OR(R24="",COUNTIF(R24,"*保育無し*")),"",
IF(MOD(R25-R24,1)*24&gt;=8,1,
IF(MOD(R25-R24,1)*24&gt;=6,0.75,0))))</f>
        <v>0</v>
      </c>
      <c r="T25" s="21">
        <f t="array" aca="1" ref="T25" ca="1">IFERROR(IF(S24&lt;&gt;0,INDEX(
INDIRECT("'シフト一覧（転載）'!"&amp;S24&amp;":AK100"),1+1,
MATCH(1,INDEX((LEN(INDIRECT("'シフト一覧（転載）'!"&amp;S24&amp;":AK100"))&gt;0)
*(INDIRECT("'シフト一覧（転載）'!"&amp;S24&amp;":AK100")&lt;&gt;"休み"),1,0),0)),0),"")</f>
        <v>0</v>
      </c>
      <c r="U25" s="21">
        <f ca="1">IF(T24=0,0,
IF(OR(T24="",COUNTIF(T24,"*保育無し*")),"",
IF(MOD(T25-T24,1)*24&gt;=8,1,
IF(MOD(T25-T24,1)*24&gt;=6,0.75,0))))</f>
        <v>0</v>
      </c>
      <c r="V25" s="21">
        <f t="array" aca="1" ref="V25" ca="1">IFERROR(IF(U24&lt;&gt;0,INDEX(
INDIRECT("'シフト一覧（転載）'!"&amp;U24&amp;":AK100"),1+1,
MATCH(1,INDEX((LEN(INDIRECT("'シフト一覧（転載）'!"&amp;U24&amp;":AK100"))&gt;0)
*(INDIRECT("'シフト一覧（転載）'!"&amp;U24&amp;":AK100")&lt;&gt;"休み"),1,0),0)),0),"")</f>
        <v>0</v>
      </c>
      <c r="W25" s="21">
        <f ca="1">IF(V24=0,0,
IF(OR(V24="",COUNTIF(V24,"*保育無し*")),"",
IF(MOD(V25-V24,1)*24&gt;=8,1,
IF(MOD(V25-V24,1)*24&gt;=6,0.75,0))))</f>
        <v>0</v>
      </c>
      <c r="X25" s="21">
        <f t="array" aca="1" ref="X25" ca="1">IFERROR(IF(W24&lt;&gt;0,INDEX(
INDIRECT("'シフト一覧（転載）'!"&amp;W24&amp;":AK100"),1+1,
MATCH(1,INDEX((LEN(INDIRECT("'シフト一覧（転載）'!"&amp;W24&amp;":AK100"))&gt;0)
*(INDIRECT("'シフト一覧（転載）'!"&amp;W24&amp;":AK100")&lt;&gt;"休み"),1,0),0)),0),"")</f>
        <v>0</v>
      </c>
      <c r="Y25" s="21">
        <f ca="1">IF(X24=0,0,
IF(OR(X24="",COUNTIF(X24,"*保育無し*")),"",
IF(MOD(X25-X24,1)*24&gt;=8,1,
IF(MOD(X25-X24,1)*24&gt;=6,0.75,0))))</f>
        <v>0</v>
      </c>
      <c r="Z25" s="21">
        <f t="array" aca="1" ref="Z25" ca="1">IFERROR(IF(Y24&lt;&gt;0,INDEX(
INDIRECT("'シフト一覧（転載）'!"&amp;Y24&amp;":AK100"),1+1,
MATCH(1,INDEX((LEN(INDIRECT("'シフト一覧（転載）'!"&amp;Y24&amp;":AK100"))&gt;0)
*(INDIRECT("'シフト一覧（転載）'!"&amp;Y24&amp;":AK100")&lt;&gt;"休み"),1,0),0)),0),"")</f>
        <v>0</v>
      </c>
      <c r="AA25" s="21">
        <f ca="1">IF(Z24=0,0,
IF(OR(Z24="",COUNTIF(Z24,"*保育無し*")),"",
IF(MOD(Z25-Z24,1)*24&gt;=8,1,
IF(MOD(Z25-Z24,1)*24&gt;=6,0.75,0))))</f>
        <v>0</v>
      </c>
      <c r="AB25" s="21">
        <f t="array" aca="1" ref="AB25" ca="1">IFERROR(IF(AA24&lt;&gt;0,INDEX(
INDIRECT("'シフト一覧（転載）'!"&amp;AA24&amp;":AK100"),1+1,
MATCH(1,INDEX((LEN(INDIRECT("'シフト一覧（転載）'!"&amp;AA24&amp;":AK100"))&gt;0)
*(INDIRECT("'シフト一覧（転載）'!"&amp;AA24&amp;":AK100")&lt;&gt;"休み"),1,0),0)),0),"")</f>
        <v>0</v>
      </c>
      <c r="AC25" s="21">
        <f ca="1">IF(AB24=0,0,
IF(OR(AB24="",COUNTIF(AB24,"*保育無し*")),"",
IF(MOD(AB25-AB24,1)*24&gt;=8,1,
IF(MOD(AB25-AB24,1)*24&gt;=6,0.75,0))))</f>
        <v>0</v>
      </c>
      <c r="AD25" s="21">
        <f t="array" aca="1" ref="AD25" ca="1">IFERROR(IF(AC24&lt;&gt;0,INDEX(
INDIRECT("'シフト一覧（転載）'!"&amp;AC24&amp;":AK100"),1+1,
MATCH(1,INDEX((LEN(INDIRECT("'シフト一覧（転載）'!"&amp;AC24&amp;":AK100"))&gt;0)
*(INDIRECT("'シフト一覧（転載）'!"&amp;AC24&amp;":AK100")&lt;&gt;"休み"),1,0),0)),0),"")</f>
        <v>0</v>
      </c>
      <c r="AE25" s="21">
        <f ca="1">IF(AD24=0,0,
IF(OR(AD24="",COUNTIF(AD24,"*保育無し*")),"",
IF(MOD(AD25-AD24,1)*24&gt;=8,1,
IF(MOD(AD25-AD24,1)*24&gt;=6,0.75,0))))</f>
        <v>0</v>
      </c>
      <c r="AF25" s="21">
        <f t="array" aca="1" ref="AF25" ca="1">IFERROR(IF(AE24&lt;&gt;0,INDEX(
INDIRECT("'シフト一覧（転載）'!"&amp;AE24&amp;":AK100"),1+1,
MATCH(1,INDEX((LEN(INDIRECT("'シフト一覧（転載）'!"&amp;AE24&amp;":AK100"))&gt;0)
*(INDIRECT("'シフト一覧（転載）'!"&amp;AE24&amp;":AK100")&lt;&gt;"休み"),1,0),0)),0),"")</f>
        <v>0</v>
      </c>
      <c r="AG25" s="21">
        <f ca="1">IF(AF24=0,0,
IF(OR(AF24="",COUNTIF(AF24,"*保育無し*")),"",
IF(MOD(AF25-AF24,1)*24&gt;=8,1,
IF(MOD(AF25-AF24,1)*24&gt;=6,0.75,0))))</f>
        <v>0</v>
      </c>
      <c r="AH25" s="21">
        <f t="array" aca="1" ref="AH25" ca="1">IFERROR(IF(AG24&lt;&gt;0,INDEX(
INDIRECT("'シフト一覧（転載）'!"&amp;AG24&amp;":AK100"),1+1,
MATCH(1,INDEX((LEN(INDIRECT("'シフト一覧（転載）'!"&amp;AG24&amp;":AK100"))&gt;0)
*(INDIRECT("'シフト一覧（転載）'!"&amp;AG24&amp;":AK100")&lt;&gt;"休み"),1,0),0)),0),"")</f>
        <v>0</v>
      </c>
      <c r="AI25" s="21">
        <f ca="1">IF(AH24=0,0,
IF(OR(AH24="",COUNTIF(AH24,"*保育無し*")),"",
IF(MOD(AH25-AH24,1)*24&gt;=8,1,
IF(MOD(AH25-AH24,1)*24&gt;=6,0.75,0))))</f>
        <v>0</v>
      </c>
      <c r="AJ25" s="21">
        <f t="array" aca="1" ref="AJ25" ca="1">IFERROR(IF(AI24&lt;&gt;0,INDEX(
INDIRECT("'シフト一覧（転載）'!"&amp;AI24&amp;":AK100"),1+1,
MATCH(1,INDEX((LEN(INDIRECT("'シフト一覧（転載）'!"&amp;AI24&amp;":AK100"))&gt;0)
*(INDIRECT("'シフト一覧（転載）'!"&amp;AI24&amp;":AK100")&lt;&gt;"休み"),1,0),0)),0),"")</f>
        <v>0</v>
      </c>
      <c r="AK25" s="21">
        <f ca="1">IF(AJ24=0,0,
IF(OR(AJ24="",COUNTIF(AJ24,"*保育無し*")),"",
IF(MOD(AJ25-AJ24,1)*24&gt;=8,1,
IF(MOD(AJ25-AJ24,1)*24&gt;=6,0.75,0))))</f>
        <v>0</v>
      </c>
      <c r="AL25" s="21">
        <f t="array" aca="1" ref="AL25" ca="1">IFERROR(IF(AK24&lt;&gt;0,INDEX(
INDIRECT("'シフト一覧（転載）'!"&amp;AK24&amp;":AK100"),1+1,
MATCH(1,INDEX((LEN(INDIRECT("'シフト一覧（転載）'!"&amp;AK24&amp;":AK100"))&gt;0)
*(INDIRECT("'シフト一覧（転載）'!"&amp;AK24&amp;":AK100")&lt;&gt;"休み"),1,0),0)),0),"")</f>
        <v>0</v>
      </c>
      <c r="AM25" s="21">
        <f ca="1">IF(AL24=0,0,
IF(OR(AL24="",COUNTIF(AL24,"*保育無し*")),"",
IF(MOD(AL25-AL24,1)*24&gt;=8,1,
IF(MOD(AL25-AL24,1)*24&gt;=6,0.75,0))))</f>
        <v>0</v>
      </c>
      <c r="AN25" s="21">
        <f t="array" aca="1" ref="AN25" ca="1">IFERROR(IF(AM24&lt;&gt;0,INDEX(
INDIRECT("'シフト一覧（転載）'!"&amp;AM24&amp;":AK100"),1+1,
MATCH(1,INDEX((LEN(INDIRECT("'シフト一覧（転載）'!"&amp;AM24&amp;":AK100"))&gt;0)
*(INDIRECT("'シフト一覧（転載）'!"&amp;AM24&amp;":AK100")&lt;&gt;"休み"),1,0),0)),0),"")</f>
        <v>0</v>
      </c>
      <c r="AO25" s="21">
        <f ca="1">IF(AN24=0,0,
IF(OR(AN24="",COUNTIF(AN24,"*保育無し*")),"",
IF(MOD(AN25-AN24,1)*24&gt;=8,1,
IF(MOD(AN25-AN24,1)*24&gt;=6,0.75,0))))</f>
        <v>0</v>
      </c>
      <c r="AP25" s="21">
        <f t="array" aca="1" ref="AP25" ca="1">IFERROR(IF(AO24&lt;&gt;0,INDEX(
INDIRECT("'シフト一覧（転載）'!"&amp;AO24&amp;":AK100"),1+1,
MATCH(1,INDEX((LEN(INDIRECT("'シフト一覧（転載）'!"&amp;AO24&amp;":AK100"))&gt;0)
*(INDIRECT("'シフト一覧（転載）'!"&amp;AO24&amp;":AK100")&lt;&gt;"休み"),1,0),0)),0),"")</f>
        <v>0</v>
      </c>
      <c r="AQ25" s="21">
        <f ca="1">IF(AP24=0,0,
IF(OR(AP24="",COUNTIF(AP24,"*保育無し*")),"",
IF(MOD(AP25-AP24,1)*24&gt;=8,1,
IF(MOD(AP25-AP24,1)*24&gt;=6,0.75,0))))</f>
        <v>0</v>
      </c>
      <c r="AR25" s="21">
        <f t="array" aca="1" ref="AR25" ca="1">IFERROR(IF(AQ24&lt;&gt;0,INDEX(
INDIRECT("'シフト一覧（転載）'!"&amp;AQ24&amp;":AK100"),1+1,
MATCH(1,INDEX((LEN(INDIRECT("'シフト一覧（転載）'!"&amp;AQ24&amp;":AK100"))&gt;0)
*(INDIRECT("'シフト一覧（転載）'!"&amp;AQ24&amp;":AK100")&lt;&gt;"休み"),1,0),0)),0),"")</f>
        <v>0</v>
      </c>
      <c r="AS25" s="21">
        <f ca="1">IF(AR24=0,0,
IF(OR(AR24="",COUNTIF(AR24,"*保育無し*")),"",
IF(MOD(AR25-AR24,1)*24&gt;=8,1,
IF(MOD(AR25-AR24,1)*24&gt;=6,0.75,0))))</f>
        <v>0</v>
      </c>
      <c r="AT25" s="21">
        <f t="array" aca="1" ref="AT25" ca="1">IFERROR(IF(AS24&lt;&gt;0,INDEX(
INDIRECT("'シフト一覧（転載）'!"&amp;AS24&amp;":AK100"),1+1,
MATCH(1,INDEX((LEN(INDIRECT("'シフト一覧（転載）'!"&amp;AS24&amp;":AK100"))&gt;0)
*(INDIRECT("'シフト一覧（転載）'!"&amp;AS24&amp;":AK100")&lt;&gt;"休み"),1,0),0)),0),"")</f>
        <v>0</v>
      </c>
      <c r="AU25" s="21">
        <f ca="1">IF(AT24=0,0,
IF(OR(AT24="",COUNTIF(AT24,"*保育無し*")),"",
IF(MOD(AT25-AT24,1)*24&gt;=8,1,
IF(MOD(AT25-AT24,1)*24&gt;=6,0.75,0))))</f>
        <v>0</v>
      </c>
      <c r="AV25" s="21">
        <f t="array" aca="1" ref="AV25" ca="1">IFERROR(IF(AU24&lt;&gt;0,INDEX(
INDIRECT("'シフト一覧（転載）'!"&amp;AU24&amp;":AK100"),1+1,
MATCH(1,INDEX((LEN(INDIRECT("'シフト一覧（転載）'!"&amp;AU24&amp;":AK100"))&gt;0)
*(INDIRECT("'シフト一覧（転載）'!"&amp;AU24&amp;":AK100")&lt;&gt;"休み"),1,0),0)),0),"")</f>
        <v>0</v>
      </c>
      <c r="AW25" s="21">
        <f ca="1">IF(AV24=0,0,
IF(OR(AV24="",COUNTIF(AV24,"*保育無し*")),"",
IF(MOD(AV25-AV24,1)*24&gt;=8,1,
IF(MOD(AV25-AV24,1)*24&gt;=6,0.75,0))))</f>
        <v>0</v>
      </c>
      <c r="AX25" s="21">
        <f t="array" aca="1" ref="AX25" ca="1">IFERROR(IF(AW24&lt;&gt;0,INDEX(
INDIRECT("'シフト一覧（転載）'!"&amp;AW24&amp;":AK100"),1+1,
MATCH(1,INDEX((LEN(INDIRECT("'シフト一覧（転載）'!"&amp;AW24&amp;":AK100"))&gt;0)
*(INDIRECT("'シフト一覧（転載）'!"&amp;AW24&amp;":AK100")&lt;&gt;"休み"),1,0),0)),0),"")</f>
        <v>0</v>
      </c>
      <c r="AY25" s="21">
        <f ca="1">IF(AX24=0,0,
IF(OR(AX24="",COUNTIF(AX24,"*保育無し*")),"",
IF(MOD(AX25-AX24,1)*24&gt;=8,1,
IF(MOD(AX25-AX24,1)*24&gt;=6,0.75,0))))</f>
        <v>0</v>
      </c>
      <c r="AZ25" s="21">
        <f t="array" aca="1" ref="AZ25" ca="1">IFERROR(IF(AY24&lt;&gt;0,INDEX(
INDIRECT("'シフト一覧（転載）'!"&amp;AY24&amp;":AK100"),1+1,
MATCH(1,INDEX((LEN(INDIRECT("'シフト一覧（転載）'!"&amp;AY24&amp;":AK100"))&gt;0)
*(INDIRECT("'シフト一覧（転載）'!"&amp;AY24&amp;":AK100")&lt;&gt;"休み"),1,0),0)),0),"")</f>
        <v>0</v>
      </c>
      <c r="BA25" s="21">
        <f ca="1">IF(AZ24=0,0,
IF(OR(AZ24="",COUNTIF(AZ24,"*保育無し*")),"",
IF(MOD(AZ25-AZ24,1)*24&gt;=8,1,
IF(MOD(AZ25-AZ24,1)*24&gt;=6,0.75,0))))</f>
        <v>0</v>
      </c>
      <c r="BB25" s="21">
        <f t="array" aca="1" ref="BB25" ca="1">IFERROR(IF(BA24&lt;&gt;0,INDEX(
INDIRECT("'シフト一覧（転載）'!"&amp;BA24&amp;":AK100"),1+1,
MATCH(1,INDEX((LEN(INDIRECT("'シフト一覧（転載）'!"&amp;BA24&amp;":AK100"))&gt;0)
*(INDIRECT("'シフト一覧（転載）'!"&amp;BA24&amp;":AK100")&lt;&gt;"休み"),1,0),0)),0),"")</f>
        <v>0</v>
      </c>
      <c r="BC25" s="21">
        <f ca="1">IF(BB24=0,0,
IF(OR(BB24="",COUNTIF(BB24,"*保育無し*")),"",
IF(MOD(BB25-BB24,1)*24&gt;=8,1,
IF(MOD(BB25-BB24,1)*24&gt;=6,0.75,0))))</f>
        <v>0</v>
      </c>
      <c r="BD25" s="21">
        <f t="array" aca="1" ref="BD25" ca="1">IFERROR(IF(BC24&lt;&gt;0,INDEX(
INDIRECT("'シフト一覧（転載）'!"&amp;BC24&amp;":AK100"),1+1,
MATCH(1,INDEX((LEN(INDIRECT("'シフト一覧（転載）'!"&amp;BC24&amp;":AK100"))&gt;0)
*(INDIRECT("'シフト一覧（転載）'!"&amp;BC24&amp;":AK100")&lt;&gt;"休み"),1,0),0)),0),"")</f>
        <v>0</v>
      </c>
      <c r="BE25" s="21">
        <f ca="1">IF(BD24=0,0,
IF(OR(BD24="",COUNTIF(BD24,"*保育無し*")),"",
IF(MOD(BD25-BD24,1)*24&gt;=8,1,
IF(MOD(BD25-BD24,1)*24&gt;=6,0.75,0))))</f>
        <v>0</v>
      </c>
      <c r="BF25" s="21">
        <f t="array" aca="1" ref="BF25" ca="1">IFERROR(IF(BE24&lt;&gt;0,INDEX(
INDIRECT("'シフト一覧（転載）'!"&amp;BE24&amp;":AK100"),1+1,
MATCH(1,INDEX((LEN(INDIRECT("'シフト一覧（転載）'!"&amp;BE24&amp;":AK100"))&gt;0)
*(INDIRECT("'シフト一覧（転載）'!"&amp;BE24&amp;":AK100")&lt;&gt;"休み"),1,0),0)),0),"")</f>
        <v>0</v>
      </c>
      <c r="BG25" s="21">
        <f ca="1">IF(BF24=0,0,
IF(OR(BF24="",COUNTIF(BF24,"*保育無し*")),"",
IF(MOD(BF25-BF24,1)*24&gt;=8,1,
IF(MOD(BF25-BF24,1)*24&gt;=6,0.75,0))))</f>
        <v>0</v>
      </c>
      <c r="BH25" s="21">
        <f t="array" aca="1" ref="BH25" ca="1">IFERROR(IF(BG24&lt;&gt;0,INDEX(
INDIRECT("'シフト一覧（転載）'!"&amp;BG24&amp;":AK100"),1+1,
MATCH(1,INDEX((LEN(INDIRECT("'シフト一覧（転載）'!"&amp;BG24&amp;":AK100"))&gt;0)
*(INDIRECT("'シフト一覧（転載）'!"&amp;BG24&amp;":AK100")&lt;&gt;"休み"),1,0),0)),0),"")</f>
        <v>0</v>
      </c>
      <c r="BI25" s="21">
        <f ca="1">IF(BH24=0,0,
IF(OR(BH24="",COUNTIF(BH24,"*保育無し*")),"",
IF(MOD(BH25-BH24,1)*24&gt;=8,1,
IF(MOD(BH25-BH24,1)*24&gt;=6,0.75,0))))</f>
        <v>0</v>
      </c>
      <c r="BJ25" s="21">
        <f t="array" aca="1" ref="BJ25" ca="1">IFERROR(IF(BI24&lt;&gt;0,INDEX(
INDIRECT("'シフト一覧（転載）'!"&amp;BI24&amp;":AK100"),1+1,
MATCH(1,INDEX((LEN(INDIRECT("'シフト一覧（転載）'!"&amp;BI24&amp;":AK100"))&gt;0)
*(INDIRECT("'シフト一覧（転載）'!"&amp;BI24&amp;":AK100")&lt;&gt;"休み"),1,0),0)),0),"")</f>
        <v>0</v>
      </c>
      <c r="BK25" s="21">
        <f ca="1">IF(BJ24=0,0,
IF(OR(BJ24="",COUNTIF(BJ24,"*保育無し*")),"",
IF(MOD(BJ25-BJ24,1)*24&gt;=8,1,
IF(MOD(BJ25-BJ24,1)*24&gt;=6,0.75,0))))</f>
        <v>0</v>
      </c>
      <c r="BL25" s="21">
        <f t="array" aca="1" ref="BL25" ca="1">IFERROR(IF(BK24&lt;&gt;0,INDEX(
INDIRECT("'シフト一覧（転載）'!"&amp;BK24&amp;":AK100"),1+1,
MATCH(1,INDEX((LEN(INDIRECT("'シフト一覧（転載）'!"&amp;BK24&amp;":AK100"))&gt;0)
*(INDIRECT("'シフト一覧（転載）'!"&amp;BK24&amp;":AK100")&lt;&gt;"休み"),1,0),0)),0),"")</f>
        <v>0</v>
      </c>
      <c r="BM25" s="21">
        <f ca="1">IF(BL24=0,0,
IF(OR(BL24="",COUNTIF(BL24,"*保育無し*")),"",
IF(MOD(BL25-BL24,1)*24&gt;=8,1,
IF(MOD(BL25-BL24,1)*24&gt;=6,0.75,0))))</f>
        <v>0</v>
      </c>
      <c r="BN25" s="21">
        <f t="array" aca="1" ref="BN25" ca="1">IFERROR(IF(BM24&lt;&gt;0,INDEX(
INDIRECT("'シフト一覧（転載）'!"&amp;BM24&amp;":AK100"),1+1,
MATCH(1,INDEX((LEN(INDIRECT("'シフト一覧（転載）'!"&amp;BM24&amp;":AK100"))&gt;0)
*(INDIRECT("'シフト一覧（転載）'!"&amp;BM24&amp;":AK100")&lt;&gt;"休み"),1,0),0)),0),"")</f>
        <v>0</v>
      </c>
      <c r="BO25" s="21">
        <f ca="1">IF(BN24=0,0,
IF(OR(BN24="",COUNTIF(BN24,"*保育無し*")),"",
IF(MOD(BN25-BN24,1)*24&gt;=8,1,
IF(MOD(BN25-BN24,1)*24&gt;=6,0.75,0))))</f>
        <v>0</v>
      </c>
      <c r="BP25" s="21">
        <f t="array" aca="1" ref="BP25" ca="1">IFERROR(IF(BO24&lt;&gt;0,INDEX(
INDIRECT("'シフト一覧（転載）'!"&amp;BO24&amp;":AK100"),1+1,
MATCH(1,INDEX((LEN(INDIRECT("'シフト一覧（転載）'!"&amp;BO24&amp;":AK100"))&gt;0)
*(INDIRECT("'シフト一覧（転載）'!"&amp;BO24&amp;":AK100")&lt;&gt;"休み"),1,0),0)),0),"")</f>
        <v>0</v>
      </c>
      <c r="BQ25" s="21">
        <f ca="1">IF(BP24=0,0,
IF(OR(BP24="",COUNTIF(BP24,"*保育無し*")),"",
IF(MOD(BP25-BP24,1)*24&gt;=8,1,
IF(MOD(BP25-BP24,1)*24&gt;=6,0.75,0))))</f>
        <v>0</v>
      </c>
      <c r="BR25" s="21">
        <f t="array" aca="1" ref="BR25" ca="1">IFERROR(IF(BQ24&lt;&gt;0,INDEX(
INDIRECT("'シフト一覧（転載）'!"&amp;BQ24&amp;":AK100"),1+1,
MATCH(1,INDEX((LEN(INDIRECT("'シフト一覧（転載）'!"&amp;BQ24&amp;":AK100"))&gt;0)
*(INDIRECT("'シフト一覧（転載）'!"&amp;BQ24&amp;":AK100")&lt;&gt;"休み"),1,0),0)),0),"")</f>
        <v>0</v>
      </c>
      <c r="BS25" s="21">
        <f ca="1">IF(BR24=0,0,
IF(OR(BR24="",COUNTIF(BR24,"*保育無し*")),"",
IF(MOD(BR25-BR24,1)*24&gt;=8,1,
IF(MOD(BR25-BR24,1)*24&gt;=6,0.75,0))))</f>
        <v>0</v>
      </c>
      <c r="BT25" s="21">
        <f t="array" aca="1" ref="BT25" ca="1">IFERROR(IF(BS24&lt;&gt;0,INDEX(
INDIRECT("'シフト一覧（転載）'!"&amp;BS24&amp;":AK100"),1+1,
MATCH(1,INDEX((LEN(INDIRECT("'シフト一覧（転載）'!"&amp;BS24&amp;":AK100"))&gt;0)
*(INDIRECT("'シフト一覧（転載）'!"&amp;BS24&amp;":AK100")&lt;&gt;"休み"),1,0),0)),0),"")</f>
        <v>0</v>
      </c>
      <c r="BU25" s="21">
        <f ca="1">IF(BT24=0,0,
IF(OR(BT24="",COUNTIF(BT24,"*保育無し*")),"",
IF(MOD(BT25-BT24,1)*24&gt;=8,1,
IF(MOD(BT25-BT24,1)*24&gt;=6,0.75,0))))</f>
        <v>0</v>
      </c>
      <c r="BV25" s="21">
        <f t="array" aca="1" ref="BV25" ca="1">IFERROR(IF(BU24&lt;&gt;0,INDEX(
INDIRECT("'シフト一覧（転載）'!"&amp;BU24&amp;":AK100"),1+1,
MATCH(1,INDEX((LEN(INDIRECT("'シフト一覧（転載）'!"&amp;BU24&amp;":AK100"))&gt;0)
*(INDIRECT("'シフト一覧（転載）'!"&amp;BU24&amp;":AK100")&lt;&gt;"休み"),1,0),0)),0),"")</f>
        <v>0</v>
      </c>
      <c r="BW25" s="21">
        <f ca="1">IF(BV24=0,0,
IF(OR(BV24="",COUNTIF(BV24,"*保育無し*")),"",
IF(MOD(BV25-BV24,1)*24&gt;=8,1,
IF(MOD(BV25-BV24,1)*24&gt;=6,0.75,0))))</f>
        <v>0</v>
      </c>
      <c r="BX25" s="21">
        <f t="array" aca="1" ref="BX25" ca="1">IFERROR(IF(BW24&lt;&gt;0,INDEX(
INDIRECT("'シフト一覧（転載）'!"&amp;BW24&amp;":AK100"),1+1,
MATCH(1,INDEX((LEN(INDIRECT("'シフト一覧（転載）'!"&amp;BW24&amp;":AK100"))&gt;0)
*(INDIRECT("'シフト一覧（転載）'!"&amp;BW24&amp;":AK100")&lt;&gt;"休み"),1,0),0)),0),"")</f>
        <v>0</v>
      </c>
      <c r="BY25" s="21">
        <f ca="1">IF(BX24=0,0,
IF(OR(BX24="",COUNTIF(BX24,"*保育無し*")),"",
IF(MOD(BX25-BX24,1)*24&gt;=8,1,
IF(MOD(BX25-BX24,1)*24&gt;=6,0.75,0))))</f>
        <v>0</v>
      </c>
    </row>
    <row r="26" spans="1:77" ht="19.8" customHeight="1" x14ac:dyDescent="0.2">
      <c r="A26" s="43">
        <f>IF(A25&lt;&gt;0,IF($B$9&gt;A25,A25+1,0),0)</f>
        <v>15</v>
      </c>
      <c r="B26" s="48" t="str" cm="1">
        <f t="array" aca="1" ref="B26" ca="1">IFERROR(_xlfn.TEXTJOIN("", TRUE, IF(ISERR(MID(INDIRECT("'Page_" &amp; A26 &amp; "'!C2"), ROW(INDIRECT("1:" &amp; LEN(INDIRECT("'Page_" &amp; A26 &amp; "'!C2")))), 1)*1), MID(INDIRECT("'Page_" &amp; A26 &amp; "'!C2"), ROW(INDIRECT("1:" &amp; LEN(INDIRECT("'Page_" &amp; A26 &amp; "'!C2")))), 1), "")),"")</f>
        <v/>
      </c>
      <c r="C26" s="49" t="str" cm="1">
        <f t="array" aca="1" ref="C26" ca="1">IFERROR(IF(INDIRECT("'Page_" &amp; A26 &amp; "'!E2")&lt;&gt;"",INDIRECT("'Page_" &amp; A26 &amp; "'!E2"),INDIRECT("'Page_" &amp; A26 &amp; "'!D2")),"")</f>
        <v/>
      </c>
      <c r="D26" s="58" t="str" cm="1">
        <f t="array" aca="1" ref="D26" ca="1">IFERROR(IF(INDIRECT("'Page_" &amp; A26 &amp; "'!Q3")&lt;&gt;"",INDIRECT("'Page_" &amp; A26 &amp; "'!Q3"),INDIRECT("'Page_" &amp; A26 &amp; "'!P3")),"")</f>
        <v/>
      </c>
      <c r="E26" s="39">
        <f t="shared" ca="1" si="2"/>
        <v>0</v>
      </c>
      <c r="F26" s="28" t="str">
        <f t="shared" ca="1" si="3"/>
        <v/>
      </c>
      <c r="G26" s="25" t="str">
        <f ca="1">IF(F26&lt;&gt;"",IF(F26&gt;$E$9,$E$9,F26),"")</f>
        <v/>
      </c>
      <c r="H26" s="63" t="str" cm="1">
        <f t="array" aca="1" ref="H26" ca="1">IF(B26&lt;&gt;"",IFERROR(INDEX('シフト一覧（転載）'!$C$8:$C$100,
MATCH(1, (ISNUMBER(SEARCH(B26,'シフト一覧（転載）'!$A$8:$A$100)))
*(ISNUMBER(SEARCH($F$9,'シフト一覧（転載）'!$B$8:$B$100))), 0)),""),"")</f>
        <v/>
      </c>
      <c r="I26" s="54" t="str">
        <f ca="1">IF(B26&lt;&gt;"",IFERROR(VLOOKUP(B26,$M$12:$O$100,3,FALSE),0),"")</f>
        <v/>
      </c>
      <c r="J26" s="25" t="str" cm="1">
        <f t="array" aca="1" ref="J26" ca="1">IF(B26&lt;&gt;"",IFERROR(SUM(INDIRECT("'Page_" &amp; A26 &amp; "'!K"&amp;MATCH("有休",INDIRECT("'Page_" &amp; A26 &amp; "'!K:K"),0)+2&amp;"")
+INDIRECT("'Page_" &amp; A26 &amp; "'!L"&amp;MATCH("特休",INDIRECT("'Page_" &amp; A26 &amp; "'!L:L"),0)+2&amp;""))*24,0),"")</f>
        <v/>
      </c>
      <c r="K26" s="59"/>
      <c r="M26" s="103" t="str" cm="1">
        <f t="array" aca="1" ref="M2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6" s="101" t="str">
        <f t="shared" ref="N26" ca="1" si="10">IF(M26&lt;&gt;"",VLOOKUP(M26,$B$12:$C$41,2,FALSE),"")</f>
        <v/>
      </c>
      <c r="O26" s="106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20">
        <f t="array" aca="1" ref="P26" ca="1">IFERROR(IF(M26&lt;&gt;"",INDEX('シフト一覧（転載）'!$F$8:$AK$100,
    MATCH(1,(ISNUMBER(SEARCH(M26,'シフト一覧（転載）'!$A$8:$A$100)))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MATCH(1,(ISNUMBER(SEARCH(M26,'シフト一覧（転載）'!$A$8:$A$100)))
                *(ISNUMBER(SEARCH($F$9,'シフト一覧（転載）'!$B$8:$B$100))),
                0),0),0)),0),$F$9&amp;"保育無し")</f>
        <v>0</v>
      </c>
      <c r="Q26" s="20">
        <f t="array" aca="1" ref="Q26" ca="1">IFERROR(IF(COUNTIF(P26,"*無*"),"",IF(M26&lt;&gt;"",ADDRESS(
    MATCH(1,(ISNUMBER(SEARCH(M26,'シフト一覧（転載）'!$A$8:$A$100)))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MATCH(1,(ISNUMBER(SEARCH(M26,'シフト一覧（転載）'!$A$8:$A$100)))
                *(ISNUMBER(SEARCH($F$9,'シフト一覧（転載）'!$B$8:$B$100))),0),0),0) + 6,4),0)),0)</f>
        <v>0</v>
      </c>
      <c r="R26" s="20">
        <f t="array" aca="1" ref="R26" ca="1">IFERROR(IF(Q26&lt;&gt;"",IF(Q26&lt;&gt;0,INDEX(
INDIRECT("'シフト一覧（転載）'!"&amp;Q26&amp;":AK100"),1,
MATCH(1,INDEX((LEN(INDIRECT("'シフト一覧（転載）'!"&amp;Q26&amp;":AK100"))&gt;0)
*(INDIRECT("'シフト一覧（転載）'!"&amp;Q26&amp;":AK100")&lt;&gt;"休み"),1,0),0)),0),""),$F$9&amp;"保育無し")</f>
        <v>0</v>
      </c>
      <c r="S26" s="20">
        <f t="array" aca="1" ref="S26" ca="1">IFERROR(IF(Q26&lt;&gt;0,ADDRESS(ROW(INDIRECT(Q26)),
    COLUMN(INDIRECT(Q26)) - 1 +
    MATCH(1,INDEX((LEN(INDIRECT("'シフト一覧（転載）'!"&amp;Q26&amp;":AK100"))&gt;0)
            *(INDIRECT("'シフト一覧（転載）'!"&amp;Q26&amp;":AK100")&lt;&gt;"休み"),
            1,0),0)+1,4),0),"")</f>
        <v>0</v>
      </c>
      <c r="T26" s="20">
        <f t="array" aca="1" ref="T26" ca="1">IFERROR(IF(S26&lt;&gt;"",IF(S26&lt;&gt;0,INDEX(
INDIRECT("'シフト一覧（転載）'!"&amp;S26&amp;":AK100"),1,
MATCH(1,INDEX((LEN(INDIRECT("'シフト一覧（転載）'!"&amp;S26&amp;":AK100"))&gt;0)
*(INDIRECT("'シフト一覧（転載）'!"&amp;S26&amp;":AK100")&lt;&gt;"休み"),1,0),0)),0),""),$F$9&amp;"保育無し")</f>
        <v>0</v>
      </c>
      <c r="U26" s="20">
        <f t="array" aca="1" ref="U26" ca="1">IFERROR(IF(S26&lt;&gt;0,ADDRESS(ROW(INDIRECT(S26)),
    COLUMN(INDIRECT(S26)) - 1 +
    MATCH(1,INDEX((LEN(INDIRECT("'シフト一覧（転載）'!"&amp;S26&amp;":AK100"))&gt;0)
            *(INDIRECT("'シフト一覧（転載）'!"&amp;S26&amp;":AK100")&lt;&gt;"休み"),
            1,0),0)+1,4),0),"")</f>
        <v>0</v>
      </c>
      <c r="V26" s="20">
        <f t="array" aca="1" ref="V26" ca="1">IFERROR(IF(U26&lt;&gt;"",IF(U26&lt;&gt;0,INDEX(
INDIRECT("'シフト一覧（転載）'!"&amp;U26&amp;":AK100"),1,
MATCH(1,INDEX((LEN(INDIRECT("'シフト一覧（転載）'!"&amp;U26&amp;":AK100"))&gt;0)
*(INDIRECT("'シフト一覧（転載）'!"&amp;U26&amp;":AK100")&lt;&gt;"休み"),1,0),0)),0),""),$F$9&amp;"保育無し")</f>
        <v>0</v>
      </c>
      <c r="W26" s="20">
        <f t="array" aca="1" ref="W26" ca="1">IFERROR(IF(U26&lt;&gt;0,ADDRESS(ROW(INDIRECT(U26)),
    COLUMN(INDIRECT(U26)) - 1 +
    MATCH(1,INDEX((LEN(INDIRECT("'シフト一覧（転載）'!"&amp;U26&amp;":AK100"))&gt;0)
            *(INDIRECT("'シフト一覧（転載）'!"&amp;U26&amp;":AK100")&lt;&gt;"休み"),
            1,0),0)+1,4),0),"")</f>
        <v>0</v>
      </c>
      <c r="X26" s="20">
        <f t="array" aca="1" ref="X26" ca="1">IFERROR(IF(W26&lt;&gt;"",IF(W26&lt;&gt;0,INDEX(
INDIRECT("'シフト一覧（転載）'!"&amp;W26&amp;":AK100"),1,
MATCH(1,INDEX((LEN(INDIRECT("'シフト一覧（転載）'!"&amp;W26&amp;":AK100"))&gt;0)
*(INDIRECT("'シフト一覧（転載）'!"&amp;W26&amp;":AK100")&lt;&gt;"休み"),1,0),0)),0),""),$F$9&amp;"保育無し")</f>
        <v>0</v>
      </c>
      <c r="Y26" s="20">
        <f t="array" aca="1" ref="Y26" ca="1">IFERROR(IF(W26&lt;&gt;0,ADDRESS(ROW(INDIRECT(W26)),
    COLUMN(INDIRECT(W26)) - 1 +
    MATCH(1,INDEX((LEN(INDIRECT("'シフト一覧（転載）'!"&amp;W26&amp;":AK100"))&gt;0)
            *(INDIRECT("'シフト一覧（転載）'!"&amp;W26&amp;":AK100")&lt;&gt;"休み"),
            1,0),0)+1,4),0),"")</f>
        <v>0</v>
      </c>
      <c r="Z26" s="20">
        <f t="array" aca="1" ref="Z26" ca="1">IFERROR(IF(Y26&lt;&gt;"",IF(Y26&lt;&gt;0,INDEX(
INDIRECT("'シフト一覧（転載）'!"&amp;Y26&amp;":AK100"),1,
MATCH(1,INDEX((LEN(INDIRECT("'シフト一覧（転載）'!"&amp;Y26&amp;":AK100"))&gt;0)
*(INDIRECT("'シフト一覧（転載）'!"&amp;Y26&amp;":AK100")&lt;&gt;"休み"),1,0),0)),0),""),$F$9&amp;"保育無し")</f>
        <v>0</v>
      </c>
      <c r="AA26" s="20">
        <f t="array" aca="1" ref="AA26" ca="1">IFERROR(IF(Y26&lt;&gt;0,ADDRESS(ROW(INDIRECT(Y26)),
    COLUMN(INDIRECT(Y26)) - 1 +
    MATCH(1,INDEX((LEN(INDIRECT("'シフト一覧（転載）'!"&amp;Y26&amp;":AK100"))&gt;0)
            *(INDIRECT("'シフト一覧（転載）'!"&amp;Y26&amp;":AK100")&lt;&gt;"休み"),
            1,0),0)+1,4),0),"")</f>
        <v>0</v>
      </c>
      <c r="AB26" s="20">
        <f t="array" aca="1" ref="AB26" ca="1">IFERROR(IF(AA26&lt;&gt;"",IF(AA26&lt;&gt;0,INDEX(
INDIRECT("'シフト一覧（転載）'!"&amp;AA26&amp;":AK100"),1,
MATCH(1,INDEX((LEN(INDIRECT("'シフト一覧（転載）'!"&amp;AA26&amp;":AK100"))&gt;0)
*(INDIRECT("'シフト一覧（転載）'!"&amp;AA26&amp;":AK100")&lt;&gt;"休み"),1,0),0)),0),""),$F$9&amp;"保育無し")</f>
        <v>0</v>
      </c>
      <c r="AC26" s="20">
        <f t="array" aca="1" ref="AC26" ca="1">IFERROR(IF(AA26&lt;&gt;0,ADDRESS(ROW(INDIRECT(AA26)),
    COLUMN(INDIRECT(AA26)) - 1 +
    MATCH(1,INDEX((LEN(INDIRECT("'シフト一覧（転載）'!"&amp;AA26&amp;":AK100"))&gt;0)
            *(INDIRECT("'シフト一覧（転載）'!"&amp;AA26&amp;":AK100")&lt;&gt;"休み"),
            1,0),0)+1,4),0),"")</f>
        <v>0</v>
      </c>
      <c r="AD26" s="20">
        <f t="array" aca="1" ref="AD26" ca="1">IFERROR(IF(AC26&lt;&gt;"",IF(AC26&lt;&gt;0,INDEX(
INDIRECT("'シフト一覧（転載）'!"&amp;AC26&amp;":AK100"),1,
MATCH(1,INDEX((LEN(INDIRECT("'シフト一覧（転載）'!"&amp;AC26&amp;":AK100"))&gt;0)
*(INDIRECT("'シフト一覧（転載）'!"&amp;AC26&amp;":AK100")&lt;&gt;"休み"),1,0),0)),0),""),$F$9&amp;"保育無し")</f>
        <v>0</v>
      </c>
      <c r="AE26" s="20">
        <f t="array" aca="1" ref="AE26" ca="1">IFERROR(IF(AC26&lt;&gt;0,ADDRESS(ROW(INDIRECT(AC26)),
    COLUMN(INDIRECT(AC26)) - 1 +
    MATCH(1,INDEX((LEN(INDIRECT("'シフト一覧（転載）'!"&amp;AC26&amp;":AK100"))&gt;0)
            *(INDIRECT("'シフト一覧（転載）'!"&amp;AC26&amp;":AK100")&lt;&gt;"休み"),
            1,0),0)+1,4),0),"")</f>
        <v>0</v>
      </c>
      <c r="AF26" s="20">
        <f t="array" aca="1" ref="AF26" ca="1">IFERROR(IF(AE26&lt;&gt;"",IF(AE26&lt;&gt;0,INDEX(
INDIRECT("'シフト一覧（転載）'!"&amp;AE26&amp;":AK100"),1,
MATCH(1,INDEX((LEN(INDIRECT("'シフト一覧（転載）'!"&amp;AE26&amp;":AK100"))&gt;0)
*(INDIRECT("'シフト一覧（転載）'!"&amp;AE26&amp;":AK100")&lt;&gt;"休み"),1,0),0)),0),""),$F$9&amp;"保育無し")</f>
        <v>0</v>
      </c>
      <c r="AG26" s="20">
        <f t="array" aca="1" ref="AG26" ca="1">IFERROR(IF(AE26&lt;&gt;0,ADDRESS(ROW(INDIRECT(AE26)),
    COLUMN(INDIRECT(AE26)) - 1 +
    MATCH(1,INDEX((LEN(INDIRECT("'シフト一覧（転載）'!"&amp;AE26&amp;":AK100"))&gt;0)
            *(INDIRECT("'シフト一覧（転載）'!"&amp;AE26&amp;":AK100")&lt;&gt;"休み"),
            1,0),0)+1,4),0),"")</f>
        <v>0</v>
      </c>
      <c r="AH26" s="20">
        <f t="array" aca="1" ref="AH26" ca="1">IFERROR(IF(AG26&lt;&gt;"",IF(AG26&lt;&gt;0,INDEX(
INDIRECT("'シフト一覧（転載）'!"&amp;AG26&amp;":AK100"),1,
MATCH(1,INDEX((LEN(INDIRECT("'シフト一覧（転載）'!"&amp;AG26&amp;":AK100"))&gt;0)
*(INDIRECT("'シフト一覧（転載）'!"&amp;AG26&amp;":AK100")&lt;&gt;"休み"),1,0),0)),0),""),$F$9&amp;"保育無し")</f>
        <v>0</v>
      </c>
      <c r="AI26" s="20">
        <f t="array" aca="1" ref="AI26" ca="1">IFERROR(IF(AG26&lt;&gt;0,ADDRESS(ROW(INDIRECT(AG26)),
    COLUMN(INDIRECT(AG26)) - 1 +
    MATCH(1,INDEX((LEN(INDIRECT("'シフト一覧（転載）'!"&amp;AG26&amp;":AK100"))&gt;0)
            *(INDIRECT("'シフト一覧（転載）'!"&amp;AG26&amp;":AK100")&lt;&gt;"休み"),
            1,0),0)+1,4),0),"")</f>
        <v>0</v>
      </c>
      <c r="AJ26" s="20">
        <f t="array" aca="1" ref="AJ26" ca="1">IFERROR(IF(AI26&lt;&gt;"",IF(AI26&lt;&gt;0,INDEX(
INDIRECT("'シフト一覧（転載）'!"&amp;AI26&amp;":AK100"),1,
MATCH(1,INDEX((LEN(INDIRECT("'シフト一覧（転載）'!"&amp;AI26&amp;":AK100"))&gt;0)
*(INDIRECT("'シフト一覧（転載）'!"&amp;AI26&amp;":AK100")&lt;&gt;"休み"),1,0),0)),0),""),$F$9&amp;"保育無し")</f>
        <v>0</v>
      </c>
      <c r="AK26" s="20">
        <f t="array" aca="1" ref="AK26" ca="1">IFERROR(IF(AI26&lt;&gt;0,ADDRESS(ROW(INDIRECT(AI26)),
    COLUMN(INDIRECT(AI26)) - 1 +
    MATCH(1,INDEX((LEN(INDIRECT("'シフト一覧（転載）'!"&amp;AI26&amp;":AK100"))&gt;0)
            *(INDIRECT("'シフト一覧（転載）'!"&amp;AI26&amp;":AK100")&lt;&gt;"休み"),
            1,0),0)+1,4),0),"")</f>
        <v>0</v>
      </c>
      <c r="AL26" s="20">
        <f t="array" aca="1" ref="AL26" ca="1">IFERROR(IF(AK26&lt;&gt;"",IF(AK26&lt;&gt;0,INDEX(
INDIRECT("'シフト一覧（転載）'!"&amp;AK26&amp;":AK100"),1,
MATCH(1,INDEX((LEN(INDIRECT("'シフト一覧（転載）'!"&amp;AK26&amp;":AK100"))&gt;0)
*(INDIRECT("'シフト一覧（転載）'!"&amp;AK26&amp;":AK100")&lt;&gt;"休み"),1,0),0)),0),""),$F$9&amp;"保育無し")</f>
        <v>0</v>
      </c>
      <c r="AM26" s="20">
        <f t="array" aca="1" ref="AM26" ca="1">IFERROR(IF(AK26&lt;&gt;0,ADDRESS(ROW(INDIRECT(AK26)),
    COLUMN(INDIRECT(AK26)) - 1 +
    MATCH(1,INDEX((LEN(INDIRECT("'シフト一覧（転載）'!"&amp;AK26&amp;":AK100"))&gt;0)
            *(INDIRECT("'シフト一覧（転載）'!"&amp;AK26&amp;":AK100")&lt;&gt;"休み"),
            1,0),0)+1,4),0),"")</f>
        <v>0</v>
      </c>
      <c r="AN26" s="20">
        <f t="array" aca="1" ref="AN26" ca="1">IFERROR(IF(AM26&lt;&gt;"",IF(AM26&lt;&gt;0,INDEX(
INDIRECT("'シフト一覧（転載）'!"&amp;AM26&amp;":AK100"),1,
MATCH(1,INDEX((LEN(INDIRECT("'シフト一覧（転載）'!"&amp;AM26&amp;":AK100"))&gt;0)
*(INDIRECT("'シフト一覧（転載）'!"&amp;AM26&amp;":AK100")&lt;&gt;"休み"),1,0),0)),0),""),$F$9&amp;"保育無し")</f>
        <v>0</v>
      </c>
      <c r="AO26" s="20">
        <f t="array" aca="1" ref="AO26" ca="1">IFERROR(IF(AM26&lt;&gt;0,ADDRESS(ROW(INDIRECT(AM26)),
    COLUMN(INDIRECT(AM26)) - 1 +
    MATCH(1,INDEX((LEN(INDIRECT("'シフト一覧（転載）'!"&amp;AM26&amp;":AK100"))&gt;0)
            *(INDIRECT("'シフト一覧（転載）'!"&amp;AM26&amp;":AK100")&lt;&gt;"休み"),
            1,0),0)+1,4),0),"")</f>
        <v>0</v>
      </c>
      <c r="AP26" s="20">
        <f t="array" aca="1" ref="AP26" ca="1">IFERROR(IF(AO26&lt;&gt;"",IF(AO26&lt;&gt;0,INDEX(
INDIRECT("'シフト一覧（転載）'!"&amp;AO26&amp;":AK100"),1,
MATCH(1,INDEX((LEN(INDIRECT("'シフト一覧（転載）'!"&amp;AO26&amp;":AK100"))&gt;0)
*(INDIRECT("'シフト一覧（転載）'!"&amp;AO26&amp;":AK100")&lt;&gt;"休み"),1,0),0)),0),""),$F$9&amp;"保育無し")</f>
        <v>0</v>
      </c>
      <c r="AQ26" s="20">
        <f t="array" aca="1" ref="AQ26" ca="1">IFERROR(IF(AO26&lt;&gt;0,ADDRESS(ROW(INDIRECT(AO26)),
    COLUMN(INDIRECT(AO26)) - 1 +
    MATCH(1,INDEX((LEN(INDIRECT("'シフト一覧（転載）'!"&amp;AO26&amp;":AK100"))&gt;0)
            *(INDIRECT("'シフト一覧（転載）'!"&amp;AO26&amp;":AK100")&lt;&gt;"休み"),
            1,0),0)+1,4),0),"")</f>
        <v>0</v>
      </c>
      <c r="AR26" s="20">
        <f t="array" aca="1" ref="AR26" ca="1">IFERROR(IF(AQ26&lt;&gt;"",IF(AQ26&lt;&gt;0,INDEX(
INDIRECT("'シフト一覧（転載）'!"&amp;AQ26&amp;":AK100"),1,
MATCH(1,INDEX((LEN(INDIRECT("'シフト一覧（転載）'!"&amp;AQ26&amp;":AK100"))&gt;0)
*(INDIRECT("'シフト一覧（転載）'!"&amp;AQ26&amp;":AK100")&lt;&gt;"休み"),1,0),0)),0),""),$F$9&amp;"保育無し")</f>
        <v>0</v>
      </c>
      <c r="AS26" s="20">
        <f t="array" aca="1" ref="AS26" ca="1">IFERROR(IF(AQ26&lt;&gt;0,ADDRESS(ROW(INDIRECT(AQ26)),
    COLUMN(INDIRECT(AQ26)) - 1 +
    MATCH(1,INDEX((LEN(INDIRECT("'シフト一覧（転載）'!"&amp;AQ26&amp;":AK100"))&gt;0)
            *(INDIRECT("'シフト一覧（転載）'!"&amp;AQ26&amp;":AK100")&lt;&gt;"休み"),
            1,0),0)+1,4),0),"")</f>
        <v>0</v>
      </c>
      <c r="AT26" s="20">
        <f t="array" aca="1" ref="AT26" ca="1">IFERROR(IF(AS26&lt;&gt;"",IF(AS26&lt;&gt;0,INDEX(
INDIRECT("'シフト一覧（転載）'!"&amp;AS26&amp;":AK100"),1,
MATCH(1,INDEX((LEN(INDIRECT("'シフト一覧（転載）'!"&amp;AS26&amp;":AK100"))&gt;0)
*(INDIRECT("'シフト一覧（転載）'!"&amp;AS26&amp;":AK100")&lt;&gt;"休み"),1,0),0)),0),""),$F$9&amp;"保育無し")</f>
        <v>0</v>
      </c>
      <c r="AU26" s="20">
        <f t="array" aca="1" ref="AU26" ca="1">IFERROR(IF(AS26&lt;&gt;0,ADDRESS(ROW(INDIRECT(AS26)),
    COLUMN(INDIRECT(AS26)) - 1 +
    MATCH(1,INDEX((LEN(INDIRECT("'シフト一覧（転載）'!"&amp;AS26&amp;":AK100"))&gt;0)
            *(INDIRECT("'シフト一覧（転載）'!"&amp;AS26&amp;":AK100")&lt;&gt;"休み"),
            1,0),0)+1,4),0),"")</f>
        <v>0</v>
      </c>
      <c r="AV26" s="20">
        <f t="array" aca="1" ref="AV26" ca="1">IFERROR(IF(AU26&lt;&gt;"",IF(AU26&lt;&gt;0,INDEX(
INDIRECT("'シフト一覧（転載）'!"&amp;AU26&amp;":AK100"),1,
MATCH(1,INDEX((LEN(INDIRECT("'シフト一覧（転載）'!"&amp;AU26&amp;":AK100"))&gt;0)
*(INDIRECT("'シフト一覧（転載）'!"&amp;AU26&amp;":AK100")&lt;&gt;"休み"),1,0),0)),0),""),$F$9&amp;"保育無し")</f>
        <v>0</v>
      </c>
      <c r="AW26" s="20">
        <f t="array" aca="1" ref="AW26" ca="1">IFERROR(IF(AU26&lt;&gt;0,ADDRESS(ROW(INDIRECT(AU26)),
    COLUMN(INDIRECT(AU26)) - 1 +
    MATCH(1,INDEX((LEN(INDIRECT("'シフト一覧（転載）'!"&amp;AU26&amp;":AK100"))&gt;0)
            *(INDIRECT("'シフト一覧（転載）'!"&amp;AU26&amp;":AK100")&lt;&gt;"休み"),
            1,0),0)+1,4),0),"")</f>
        <v>0</v>
      </c>
      <c r="AX26" s="20">
        <f t="array" aca="1" ref="AX26" ca="1">IFERROR(IF(AW26&lt;&gt;"",IF(AW26&lt;&gt;0,INDEX(
INDIRECT("'シフト一覧（転載）'!"&amp;AW26&amp;":AK100"),1,
MATCH(1,INDEX((LEN(INDIRECT("'シフト一覧（転載）'!"&amp;AW26&amp;":AK100"))&gt;0)
*(INDIRECT("'シフト一覧（転載）'!"&amp;AW26&amp;":AK100")&lt;&gt;"休み"),1,0),0)),0),""),$F$9&amp;"保育無し")</f>
        <v>0</v>
      </c>
      <c r="AY26" s="20">
        <f t="array" aca="1" ref="AY26" ca="1">IFERROR(IF(AW26&lt;&gt;0,ADDRESS(ROW(INDIRECT(AW26)),
    COLUMN(INDIRECT(AW26)) - 1 +
    MATCH(1,INDEX((LEN(INDIRECT("'シフト一覧（転載）'!"&amp;AW26&amp;":AK100"))&gt;0)
            *(INDIRECT("'シフト一覧（転載）'!"&amp;AW26&amp;":AK100")&lt;&gt;"休み"),
            1,0),0)+1,4),0),"")</f>
        <v>0</v>
      </c>
      <c r="AZ26" s="20">
        <f t="array" aca="1" ref="AZ26" ca="1">IFERROR(IF(AY26&lt;&gt;"",IF(AY26&lt;&gt;0,INDEX(
INDIRECT("'シフト一覧（転載）'!"&amp;AY26&amp;":AK100"),1,
MATCH(1,INDEX((LEN(INDIRECT("'シフト一覧（転載）'!"&amp;AY26&amp;":AK100"))&gt;0)
*(INDIRECT("'シフト一覧（転載）'!"&amp;AY26&amp;":AK100")&lt;&gt;"休み"),1,0),0)),0),""),$F$9&amp;"保育無し")</f>
        <v>0</v>
      </c>
      <c r="BA26" s="20">
        <f t="array" aca="1" ref="BA26" ca="1">IFERROR(IF(AY26&lt;&gt;0,ADDRESS(ROW(INDIRECT(AY26)),
    COLUMN(INDIRECT(AY26)) - 1 +
    MATCH(1,INDEX((LEN(INDIRECT("'シフト一覧（転載）'!"&amp;AY26&amp;":AK100"))&gt;0)
            *(INDIRECT("'シフト一覧（転載）'!"&amp;AY26&amp;":AK100")&lt;&gt;"休み"),
            1,0),0)+1,4),0),"")</f>
        <v>0</v>
      </c>
      <c r="BB26" s="20">
        <f t="array" aca="1" ref="BB26" ca="1">IFERROR(IF(BA26&lt;&gt;"",IF(BA26&lt;&gt;0,INDEX(
INDIRECT("'シフト一覧（転載）'!"&amp;BA26&amp;":AK100"),1,
MATCH(1,INDEX((LEN(INDIRECT("'シフト一覧（転載）'!"&amp;BA26&amp;":AK100"))&gt;0)
*(INDIRECT("'シフト一覧（転載）'!"&amp;BA26&amp;":AK100")&lt;&gt;"休み"),1,0),0)),0),""),$F$9&amp;"保育無し")</f>
        <v>0</v>
      </c>
      <c r="BC26" s="20">
        <f t="array" aca="1" ref="BC26" ca="1">IFERROR(IF(BA26&lt;&gt;0,ADDRESS(ROW(INDIRECT(BA26)),
    COLUMN(INDIRECT(BA26)) - 1 +
    MATCH(1,INDEX((LEN(INDIRECT("'シフト一覧（転載）'!"&amp;BA26&amp;":AK100"))&gt;0)
            *(INDIRECT("'シフト一覧（転載）'!"&amp;BA26&amp;":AK100")&lt;&gt;"休み"),
            1,0),0)+1,4),0),"")</f>
        <v>0</v>
      </c>
      <c r="BD26" s="20">
        <f t="array" aca="1" ref="BD26" ca="1">IFERROR(IF(BC26&lt;&gt;"",IF(BC26&lt;&gt;0,INDEX(
INDIRECT("'シフト一覧（転載）'!"&amp;BC26&amp;":AK100"),1,
MATCH(1,INDEX((LEN(INDIRECT("'シフト一覧（転載）'!"&amp;BC26&amp;":AK100"))&gt;0)
*(INDIRECT("'シフト一覧（転載）'!"&amp;BC26&amp;":AK100")&lt;&gt;"休み"),1,0),0)),0),""),$F$9&amp;"保育無し")</f>
        <v>0</v>
      </c>
      <c r="BE26" s="20">
        <f t="array" aca="1" ref="BE26" ca="1">IFERROR(IF(BC26&lt;&gt;0,ADDRESS(ROW(INDIRECT(BC26)),
    COLUMN(INDIRECT(BC26)) - 1 +
    MATCH(1,INDEX((LEN(INDIRECT("'シフト一覧（転載）'!"&amp;BC26&amp;":AK100"))&gt;0)
            *(INDIRECT("'シフト一覧（転載）'!"&amp;BC26&amp;":AK100")&lt;&gt;"休み"),
            1,0),0)+1,4),0),"")</f>
        <v>0</v>
      </c>
      <c r="BF26" s="20">
        <f t="array" aca="1" ref="BF26" ca="1">IFERROR(IF(BE26&lt;&gt;"",IF(BE26&lt;&gt;0,INDEX(
INDIRECT("'シフト一覧（転載）'!"&amp;BE26&amp;":AK100"),1,
MATCH(1,INDEX((LEN(INDIRECT("'シフト一覧（転載）'!"&amp;BE26&amp;":AK100"))&gt;0)
*(INDIRECT("'シフト一覧（転載）'!"&amp;BE26&amp;":AK100")&lt;&gt;"休み"),1,0),0)),0),""),$F$9&amp;"保育無し")</f>
        <v>0</v>
      </c>
      <c r="BG26" s="20">
        <f t="array" aca="1" ref="BG26" ca="1">IFERROR(IF(BE26&lt;&gt;0,ADDRESS(ROW(INDIRECT(BE26)),
    COLUMN(INDIRECT(BE26)) - 1 +
    MATCH(1,INDEX((LEN(INDIRECT("'シフト一覧（転載）'!"&amp;BE26&amp;":AK100"))&gt;0)
            *(INDIRECT("'シフト一覧（転載）'!"&amp;BE26&amp;":AK100")&lt;&gt;"休み"),
            1,0),0)+1,4),0),"")</f>
        <v>0</v>
      </c>
      <c r="BH26" s="20">
        <f t="array" aca="1" ref="BH26" ca="1">IFERROR(IF(BG26&lt;&gt;"",IF(BG26&lt;&gt;0,INDEX(
INDIRECT("'シフト一覧（転載）'!"&amp;BG26&amp;":AK100"),1,
MATCH(1,INDEX((LEN(INDIRECT("'シフト一覧（転載）'!"&amp;BG26&amp;":AK100"))&gt;0)
*(INDIRECT("'シフト一覧（転載）'!"&amp;BG26&amp;":AK100")&lt;&gt;"休み"),1,0),0)),0),""),$F$9&amp;"保育無し")</f>
        <v>0</v>
      </c>
      <c r="BI26" s="20">
        <f t="array" aca="1" ref="BI26" ca="1">IFERROR(IF(BG26&lt;&gt;0,ADDRESS(ROW(INDIRECT(BG26)),
    COLUMN(INDIRECT(BG26)) - 1 +
    MATCH(1,INDEX((LEN(INDIRECT("'シフト一覧（転載）'!"&amp;BG26&amp;":AK100"))&gt;0)
            *(INDIRECT("'シフト一覧（転載）'!"&amp;BG26&amp;":AK100")&lt;&gt;"休み"),
            1,0),0)+1,4),0),"")</f>
        <v>0</v>
      </c>
      <c r="BJ26" s="20">
        <f t="array" aca="1" ref="BJ26" ca="1">IFERROR(IF(BI26&lt;&gt;"",IF(BI26&lt;&gt;0,INDEX(
INDIRECT("'シフト一覧（転載）'!"&amp;BI26&amp;":AK100"),1,
MATCH(1,INDEX((LEN(INDIRECT("'シフト一覧（転載）'!"&amp;BI26&amp;":AK100"))&gt;0)
*(INDIRECT("'シフト一覧（転載）'!"&amp;BI26&amp;":AK100")&lt;&gt;"休み"),1,0),0)),0),""),$F$9&amp;"保育無し")</f>
        <v>0</v>
      </c>
      <c r="BK26" s="20">
        <f t="array" aca="1" ref="BK26" ca="1">IFERROR(IF(BI26&lt;&gt;0,ADDRESS(ROW(INDIRECT(BI26)),
    COLUMN(INDIRECT(BI26)) - 1 +
    MATCH(1,INDEX((LEN(INDIRECT("'シフト一覧（転載）'!"&amp;BI26&amp;":AK100"))&gt;0)
            *(INDIRECT("'シフト一覧（転載）'!"&amp;BI26&amp;":AK100")&lt;&gt;"休み"),
            1,0),0)+1,4),0),"")</f>
        <v>0</v>
      </c>
      <c r="BL26" s="20">
        <f t="array" aca="1" ref="BL26" ca="1">IFERROR(IF(BK26&lt;&gt;"",IF(BK26&lt;&gt;0,INDEX(
INDIRECT("'シフト一覧（転載）'!"&amp;BK26&amp;":AK100"),1,
MATCH(1,INDEX((LEN(INDIRECT("'シフト一覧（転載）'!"&amp;BK26&amp;":AK100"))&gt;0)
*(INDIRECT("'シフト一覧（転載）'!"&amp;BK26&amp;":AK100")&lt;&gt;"休み"),1,0),0)),0),""),$F$9&amp;"保育無し")</f>
        <v>0</v>
      </c>
      <c r="BM26" s="20">
        <f t="array" aca="1" ref="BM26" ca="1">IFERROR(IF(BK26&lt;&gt;0,ADDRESS(ROW(INDIRECT(BK26)),
    COLUMN(INDIRECT(BK26)) - 1 +
    MATCH(1,INDEX((LEN(INDIRECT("'シフト一覧（転載）'!"&amp;BK26&amp;":AK100"))&gt;0)
            *(INDIRECT("'シフト一覧（転載）'!"&amp;BK26&amp;":AK100")&lt;&gt;"休み"),
            1,0),0)+1,4),0),"")</f>
        <v>0</v>
      </c>
      <c r="BN26" s="20">
        <f t="array" aca="1" ref="BN26" ca="1">IFERROR(IF(BM26&lt;&gt;"",IF(BM26&lt;&gt;0,INDEX(
INDIRECT("'シフト一覧（転載）'!"&amp;BM26&amp;":AK100"),1,
MATCH(1,INDEX((LEN(INDIRECT("'シフト一覧（転載）'!"&amp;BM26&amp;":AK100"))&gt;0)
*(INDIRECT("'シフト一覧（転載）'!"&amp;BM26&amp;":AK100")&lt;&gt;"休み"),1,0),0)),0),""),$F$9&amp;"保育無し")</f>
        <v>0</v>
      </c>
      <c r="BO26" s="20">
        <f t="array" aca="1" ref="BO26" ca="1">IFERROR(IF(BM26&lt;&gt;0,ADDRESS(ROW(INDIRECT(BM26)),
    COLUMN(INDIRECT(BM26)) - 1 +
    MATCH(1,INDEX((LEN(INDIRECT("'シフト一覧（転載）'!"&amp;BM26&amp;":AK100"))&gt;0)
            *(INDIRECT("'シフト一覧（転載）'!"&amp;BM26&amp;":AK100")&lt;&gt;"休み"),
            1,0),0)+1,4),0),"")</f>
        <v>0</v>
      </c>
      <c r="BP26" s="20">
        <f t="array" aca="1" ref="BP26" ca="1">IFERROR(IF(BO26&lt;&gt;"",IF(BO26&lt;&gt;0,INDEX(
INDIRECT("'シフト一覧（転載）'!"&amp;BO26&amp;":AK100"),1,
MATCH(1,INDEX((LEN(INDIRECT("'シフト一覧（転載）'!"&amp;BO26&amp;":AK100"))&gt;0)
*(INDIRECT("'シフト一覧（転載）'!"&amp;BO26&amp;":AK100")&lt;&gt;"休み"),1,0),0)),0),""),$F$9&amp;"保育無し")</f>
        <v>0</v>
      </c>
      <c r="BQ26" s="20">
        <f t="array" aca="1" ref="BQ26" ca="1">IFERROR(IF(BO26&lt;&gt;0,ADDRESS(ROW(INDIRECT(BO26)),
    COLUMN(INDIRECT(BO26)) - 1 +
    MATCH(1,INDEX((LEN(INDIRECT("'シフト一覧（転載）'!"&amp;BO26&amp;":AK100"))&gt;0)
            *(INDIRECT("'シフト一覧（転載）'!"&amp;BO26&amp;":AK100")&lt;&gt;"休み"),
            1,0),0)+1,4),0),"")</f>
        <v>0</v>
      </c>
      <c r="BR26" s="20">
        <f t="array" aca="1" ref="BR26" ca="1">IFERROR(IF(BQ26&lt;&gt;"",IF(BQ26&lt;&gt;0,INDEX(
INDIRECT("'シフト一覧（転載）'!"&amp;BQ26&amp;":AK100"),1,
MATCH(1,INDEX((LEN(INDIRECT("'シフト一覧（転載）'!"&amp;BQ26&amp;":AK100"))&gt;0)
*(INDIRECT("'シフト一覧（転載）'!"&amp;BQ26&amp;":AK100")&lt;&gt;"休み"),1,0),0)),0),""),$F$9&amp;"保育無し")</f>
        <v>0</v>
      </c>
      <c r="BS26" s="20">
        <f t="array" aca="1" ref="BS26" ca="1">IFERROR(IF(BQ26&lt;&gt;0,ADDRESS(ROW(INDIRECT(BQ26)),
    COLUMN(INDIRECT(BQ26)) - 1 +
    MATCH(1,INDEX((LEN(INDIRECT("'シフト一覧（転載）'!"&amp;BQ26&amp;":AK100"))&gt;0)
            *(INDIRECT("'シフト一覧（転載）'!"&amp;BQ26&amp;":AK100")&lt;&gt;"休み"),
            1,0),0)+1,4),0),"")</f>
        <v>0</v>
      </c>
      <c r="BT26" s="20">
        <f t="array" aca="1" ref="BT26" ca="1">IFERROR(IF(BS26&lt;&gt;"",IF(BS26&lt;&gt;0,INDEX(
INDIRECT("'シフト一覧（転載）'!"&amp;BS26&amp;":AK100"),1,
MATCH(1,INDEX((LEN(INDIRECT("'シフト一覧（転載）'!"&amp;BS26&amp;":AK100"))&gt;0)
*(INDIRECT("'シフト一覧（転載）'!"&amp;BS26&amp;":AK100")&lt;&gt;"休み"),1,0),0)),0),""),$F$9&amp;"保育無し")</f>
        <v>0</v>
      </c>
      <c r="BU26" s="20">
        <f t="array" aca="1" ref="BU26" ca="1">IFERROR(IF(BS26&lt;&gt;0,ADDRESS(ROW(INDIRECT(BS26)),
    COLUMN(INDIRECT(BS26)) - 1 +
    MATCH(1,INDEX((LEN(INDIRECT("'シフト一覧（転載）'!"&amp;BS26&amp;":AK100"))&gt;0)
            *(INDIRECT("'シフト一覧（転載）'!"&amp;BS26&amp;":AK100")&lt;&gt;"休み"),
            1,0),0)+1,4),0),"")</f>
        <v>0</v>
      </c>
      <c r="BV26" s="20">
        <f t="array" aca="1" ref="BV26" ca="1">IFERROR(IF(BU26&lt;&gt;"",IF(BU26&lt;&gt;0,INDEX(
INDIRECT("'シフト一覧（転載）'!"&amp;BU26&amp;":AK100"),1,
MATCH(1,INDEX((LEN(INDIRECT("'シフト一覧（転載）'!"&amp;BU26&amp;":AK100"))&gt;0)
*(INDIRECT("'シフト一覧（転載）'!"&amp;BU26&amp;":AK100")&lt;&gt;"休み"),1,0),0)),0),""),$F$9&amp;"保育無し")</f>
        <v>0</v>
      </c>
      <c r="BW26" s="20">
        <f t="array" aca="1" ref="BW26" ca="1">IFERROR(IF(BU26&lt;&gt;0,ADDRESS(ROW(INDIRECT(BU26)),
    COLUMN(INDIRECT(BU26)) - 1 +
    MATCH(1,INDEX((LEN(INDIRECT("'シフト一覧（転載）'!"&amp;BU26&amp;":AK100"))&gt;0)
            *(INDIRECT("'シフト一覧（転載）'!"&amp;BU26&amp;":AK100")&lt;&gt;"休み"),
            1,0),0)+1,4),0),"")</f>
        <v>0</v>
      </c>
      <c r="BX26" s="20">
        <f t="array" aca="1" ref="BX26" ca="1">IFERROR(IF(BW26&lt;&gt;"",IF(BW26&lt;&gt;0,INDEX(
INDIRECT("'シフト一覧（転載）'!"&amp;BW26&amp;":AK100"),1,
MATCH(1,INDEX((LEN(INDIRECT("'シフト一覧（転載）'!"&amp;BW26&amp;":AK100"))&gt;0)
*(INDIRECT("'シフト一覧（転載）'!"&amp;BW26&amp;":AK100")&lt;&gt;"休み"),1,0),0)),0),""),$F$9&amp;"保育無し")</f>
        <v>0</v>
      </c>
      <c r="BY26" s="20">
        <f t="array" aca="1" ref="BY26" ca="1">IFERROR(IF(BW26&lt;&gt;0,ADDRESS(ROW(INDIRECT(BW26)),
    COLUMN(INDIRECT(BW26)) - 1 +
    MATCH(1,INDEX((LEN(INDIRECT("'シフト一覧（転載）'!"&amp;BW26&amp;":AK100"))&gt;0)
            *(INDIRECT("'シフト一覧（転載）'!"&amp;BW26&amp;":AK100")&lt;&gt;"休み"),
            1,0),0)+1,4),0),"")</f>
        <v>0</v>
      </c>
    </row>
    <row r="27" spans="1:77" ht="19.8" customHeight="1" x14ac:dyDescent="0.2">
      <c r="A27" s="43">
        <f>IF(A26&lt;&gt;0,IF($B$9&gt;A26,A26+1,0),0)</f>
        <v>0</v>
      </c>
      <c r="B27" s="48" t="str" cm="1">
        <f t="array" aca="1" ref="B27" ca="1">IFERROR(_xlfn.TEXTJOIN("", TRUE, IF(ISERR(MID(INDIRECT("'Page_" &amp; A27 &amp; "'!C2"), ROW(INDIRECT("1:" &amp; LEN(INDIRECT("'Page_" &amp; A27 &amp; "'!C2")))), 1)*1), MID(INDIRECT("'Page_" &amp; A27 &amp; "'!C2"), ROW(INDIRECT("1:" &amp; LEN(INDIRECT("'Page_" &amp; A27 &amp; "'!C2")))), 1), "")),"")</f>
        <v/>
      </c>
      <c r="C27" s="49" t="str" cm="1">
        <f t="array" aca="1" ref="C27" ca="1">IFERROR(IF(INDIRECT("'Page_" &amp; A27 &amp; "'!E2")&lt;&gt;"",INDIRECT("'Page_" &amp; A27 &amp; "'!E2"),INDIRECT("'Page_" &amp; A27 &amp; "'!D2")),"")</f>
        <v/>
      </c>
      <c r="D27" s="58" t="str" cm="1">
        <f t="array" aca="1" ref="D27" ca="1">IFERROR(IF(INDIRECT("'Page_" &amp; A27 &amp; "'!Q3")&lt;&gt;"",INDIRECT("'Page_" &amp; A27 &amp; "'!Q3"),INDIRECT("'Page_" &amp; A27 &amp; "'!P3")),"")</f>
        <v/>
      </c>
      <c r="E27" s="39">
        <f t="shared" ca="1" si="2"/>
        <v>0</v>
      </c>
      <c r="F27" s="28" t="str">
        <f t="shared" ca="1" si="3"/>
        <v/>
      </c>
      <c r="G27" s="25" t="str">
        <f t="shared" ref="G27:G41" ca="1" si="11">IF(F27&lt;&gt;"",IF(F27&gt;$E$9,$E$9,F27),"")</f>
        <v/>
      </c>
      <c r="H27" s="63" t="str" cm="1">
        <f t="array" aca="1" ref="H27" ca="1">IF(B27&lt;&gt;"",IFERROR(INDEX('シフト一覧（転載）'!$C$8:$C$100,
MATCH(1, (ISNUMBER(SEARCH(B27,'シフト一覧（転載）'!$A$8:$A$100)))
*(ISNUMBER(SEARCH($F$9,'シフト一覧（転載）'!$B$8:$B$100))), 0)),""),"")</f>
        <v/>
      </c>
      <c r="I27" s="54" t="str">
        <f t="shared" ref="I27:I41" ca="1" si="12">IF(B27&lt;&gt;"",IFERROR(VLOOKUP(B27,$M$12:$O$100,3,FALSE),0),"")</f>
        <v/>
      </c>
      <c r="J27" s="25" t="str" cm="1">
        <f t="array" aca="1" ref="J27" ca="1">IF(B27&lt;&gt;"",IFERROR(SUM(INDIRECT("'Page_" &amp; A27 &amp; "'!K"&amp;MATCH("有休",INDIRECT("'Page_" &amp; A27 &amp; "'!K:K"),0)+2&amp;"")
+INDIRECT("'Page_" &amp; A27 &amp; "'!L"&amp;MATCH("特休",INDIRECT("'Page_" &amp; A27 &amp; "'!L:L"),0)+2&amp;""))*24,0),"")</f>
        <v/>
      </c>
      <c r="K27" s="59"/>
      <c r="M27" s="104"/>
      <c r="N27" s="102"/>
      <c r="O27" s="107"/>
      <c r="P27" s="21">
        <f t="array" aca="1" ref="P27" ca="1">IFERROR(IF(M26&lt;&gt;"",INDEX('シフト一覧（転載）'!$F$8:$AK$100,
    MATCH(1,(ISNUMBER(SEARCH(M26,'シフト一覧（転載）'!$A$8:$A$100)))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MATCH(1,(ISNUMBER(SEARCH(M26,'シフト一覧（転載）'!$A$8:$A$100)))
                *(ISNUMBER(SEARCH($F$9,'シフト一覧（転載）'!$B$8:$B$100))),
                0),0),0)),0),"")</f>
        <v>0</v>
      </c>
      <c r="Q27" s="21">
        <f ca="1">IF(P26=0,0,
IF(OR(P26="",COUNTIF(P26,"*保育無し*")),"",
IF(MOD(P27-P26,1)*24&gt;=8,1,
IF(MOD(P27-P26,1)*24&gt;=6,0.75,0))))</f>
        <v>0</v>
      </c>
      <c r="R27" s="21">
        <f t="array" aca="1" ref="R27" ca="1">IFERROR(IF(Q26&lt;&gt;0,INDEX(
INDIRECT("'シフト一覧（転載）'!"&amp;Q26&amp;":AK100"),1+1,
MATCH(1,INDEX((LEN(INDIRECT("'シフト一覧（転載）'!"&amp;Q26&amp;":AK100"))&gt;0)
*(INDIRECT("'シフト一覧（転載）'!"&amp;Q26&amp;":AK100")&lt;&gt;"休み"),1,0),0)),0),"")</f>
        <v>0</v>
      </c>
      <c r="S27" s="21">
        <f ca="1">IF(R26=0,0,
IF(OR(R26="",COUNTIF(R26,"*保育無し*")),"",
IF(MOD(R27-R26,1)*24&gt;=8,1,
IF(MOD(R27-R26,1)*24&gt;=6,0.75,0))))</f>
        <v>0</v>
      </c>
      <c r="T27" s="21">
        <f t="array" aca="1" ref="T27" ca="1">IFERROR(IF(S26&lt;&gt;0,INDEX(
INDIRECT("'シフト一覧（転載）'!"&amp;S26&amp;":AK100"),1+1,
MATCH(1,INDEX((LEN(INDIRECT("'シフト一覧（転載）'!"&amp;S26&amp;":AK100"))&gt;0)
*(INDIRECT("'シフト一覧（転載）'!"&amp;S26&amp;":AK100")&lt;&gt;"休み"),1,0),0)),0),"")</f>
        <v>0</v>
      </c>
      <c r="U27" s="21">
        <f ca="1">IF(T26=0,0,
IF(OR(T26="",COUNTIF(T26,"*保育無し*")),"",
IF(MOD(T27-T26,1)*24&gt;=8,1,
IF(MOD(T27-T26,1)*24&gt;=6,0.75,0))))</f>
        <v>0</v>
      </c>
      <c r="V27" s="21">
        <f t="array" aca="1" ref="V27" ca="1">IFERROR(IF(U26&lt;&gt;0,INDEX(
INDIRECT("'シフト一覧（転載）'!"&amp;U26&amp;":AK100"),1+1,
MATCH(1,INDEX((LEN(INDIRECT("'シフト一覧（転載）'!"&amp;U26&amp;":AK100"))&gt;0)
*(INDIRECT("'シフト一覧（転載）'!"&amp;U26&amp;":AK100")&lt;&gt;"休み"),1,0),0)),0),"")</f>
        <v>0</v>
      </c>
      <c r="W27" s="21">
        <f ca="1">IF(V26=0,0,
IF(OR(V26="",COUNTIF(V26,"*保育無し*")),"",
IF(MOD(V27-V26,1)*24&gt;=8,1,
IF(MOD(V27-V26,1)*24&gt;=6,0.75,0))))</f>
        <v>0</v>
      </c>
      <c r="X27" s="21">
        <f t="array" aca="1" ref="X27" ca="1">IFERROR(IF(W26&lt;&gt;0,INDEX(
INDIRECT("'シフト一覧（転載）'!"&amp;W26&amp;":AK100"),1+1,
MATCH(1,INDEX((LEN(INDIRECT("'シフト一覧（転載）'!"&amp;W26&amp;":AK100"))&gt;0)
*(INDIRECT("'シフト一覧（転載）'!"&amp;W26&amp;":AK100")&lt;&gt;"休み"),1,0),0)),0),"")</f>
        <v>0</v>
      </c>
      <c r="Y27" s="21">
        <f ca="1">IF(X26=0,0,
IF(OR(X26="",COUNTIF(X26,"*保育無し*")),"",
IF(MOD(X27-X26,1)*24&gt;=8,1,
IF(MOD(X27-X26,1)*24&gt;=6,0.75,0))))</f>
        <v>0</v>
      </c>
      <c r="Z27" s="21">
        <f t="array" aca="1" ref="Z27" ca="1">IFERROR(IF(Y26&lt;&gt;0,INDEX(
INDIRECT("'シフト一覧（転載）'!"&amp;Y26&amp;":AK100"),1+1,
MATCH(1,INDEX((LEN(INDIRECT("'シフト一覧（転載）'!"&amp;Y26&amp;":AK100"))&gt;0)
*(INDIRECT("'シフト一覧（転載）'!"&amp;Y26&amp;":AK100")&lt;&gt;"休み"),1,0),0)),0),"")</f>
        <v>0</v>
      </c>
      <c r="AA27" s="21">
        <f ca="1">IF(Z26=0,0,
IF(OR(Z26="",COUNTIF(Z26,"*保育無し*")),"",
IF(MOD(Z27-Z26,1)*24&gt;=8,1,
IF(MOD(Z27-Z26,1)*24&gt;=6,0.75,0))))</f>
        <v>0</v>
      </c>
      <c r="AB27" s="21">
        <f t="array" aca="1" ref="AB27" ca="1">IFERROR(IF(AA26&lt;&gt;0,INDEX(
INDIRECT("'シフト一覧（転載）'!"&amp;AA26&amp;":AK100"),1+1,
MATCH(1,INDEX((LEN(INDIRECT("'シフト一覧（転載）'!"&amp;AA26&amp;":AK100"))&gt;0)
*(INDIRECT("'シフト一覧（転載）'!"&amp;AA26&amp;":AK100")&lt;&gt;"休み"),1,0),0)),0),"")</f>
        <v>0</v>
      </c>
      <c r="AC27" s="21">
        <f ca="1">IF(AB26=0,0,
IF(OR(AB26="",COUNTIF(AB26,"*保育無し*")),"",
IF(MOD(AB27-AB26,1)*24&gt;=8,1,
IF(MOD(AB27-AB26,1)*24&gt;=6,0.75,0))))</f>
        <v>0</v>
      </c>
      <c r="AD27" s="21">
        <f t="array" aca="1" ref="AD27" ca="1">IFERROR(IF(AC26&lt;&gt;0,INDEX(
INDIRECT("'シフト一覧（転載）'!"&amp;AC26&amp;":AK100"),1+1,
MATCH(1,INDEX((LEN(INDIRECT("'シフト一覧（転載）'!"&amp;AC26&amp;":AK100"))&gt;0)
*(INDIRECT("'シフト一覧（転載）'!"&amp;AC26&amp;":AK100")&lt;&gt;"休み"),1,0),0)),0),"")</f>
        <v>0</v>
      </c>
      <c r="AE27" s="21">
        <f ca="1">IF(AD26=0,0,
IF(OR(AD26="",COUNTIF(AD26,"*保育無し*")),"",
IF(MOD(AD27-AD26,1)*24&gt;=8,1,
IF(MOD(AD27-AD26,1)*24&gt;=6,0.75,0))))</f>
        <v>0</v>
      </c>
      <c r="AF27" s="21">
        <f t="array" aca="1" ref="AF27" ca="1">IFERROR(IF(AE26&lt;&gt;0,INDEX(
INDIRECT("'シフト一覧（転載）'!"&amp;AE26&amp;":AK100"),1+1,
MATCH(1,INDEX((LEN(INDIRECT("'シフト一覧（転載）'!"&amp;AE26&amp;":AK100"))&gt;0)
*(INDIRECT("'シフト一覧（転載）'!"&amp;AE26&amp;":AK100")&lt;&gt;"休み"),1,0),0)),0),"")</f>
        <v>0</v>
      </c>
      <c r="AG27" s="21">
        <f ca="1">IF(AF26=0,0,
IF(OR(AF26="",COUNTIF(AF26,"*保育無し*")),"",
IF(MOD(AF27-AF26,1)*24&gt;=8,1,
IF(MOD(AF27-AF26,1)*24&gt;=6,0.75,0))))</f>
        <v>0</v>
      </c>
      <c r="AH27" s="21">
        <f t="array" aca="1" ref="AH27" ca="1">IFERROR(IF(AG26&lt;&gt;0,INDEX(
INDIRECT("'シフト一覧（転載）'!"&amp;AG26&amp;":AK100"),1+1,
MATCH(1,INDEX((LEN(INDIRECT("'シフト一覧（転載）'!"&amp;AG26&amp;":AK100"))&gt;0)
*(INDIRECT("'シフト一覧（転載）'!"&amp;AG26&amp;":AK100")&lt;&gt;"休み"),1,0),0)),0),"")</f>
        <v>0</v>
      </c>
      <c r="AI27" s="21">
        <f ca="1">IF(AH26=0,0,
IF(OR(AH26="",COUNTIF(AH26,"*保育無し*")),"",
IF(MOD(AH27-AH26,1)*24&gt;=8,1,
IF(MOD(AH27-AH26,1)*24&gt;=6,0.75,0))))</f>
        <v>0</v>
      </c>
      <c r="AJ27" s="21">
        <f t="array" aca="1" ref="AJ27" ca="1">IFERROR(IF(AI26&lt;&gt;0,INDEX(
INDIRECT("'シフト一覧（転載）'!"&amp;AI26&amp;":AK100"),1+1,
MATCH(1,INDEX((LEN(INDIRECT("'シフト一覧（転載）'!"&amp;AI26&amp;":AK100"))&gt;0)
*(INDIRECT("'シフト一覧（転載）'!"&amp;AI26&amp;":AK100")&lt;&gt;"休み"),1,0),0)),0),"")</f>
        <v>0</v>
      </c>
      <c r="AK27" s="21">
        <f ca="1">IF(AJ26=0,0,
IF(OR(AJ26="",COUNTIF(AJ26,"*保育無し*")),"",
IF(MOD(AJ27-AJ26,1)*24&gt;=8,1,
IF(MOD(AJ27-AJ26,1)*24&gt;=6,0.75,0))))</f>
        <v>0</v>
      </c>
      <c r="AL27" s="21">
        <f t="array" aca="1" ref="AL27" ca="1">IFERROR(IF(AK26&lt;&gt;0,INDEX(
INDIRECT("'シフト一覧（転載）'!"&amp;AK26&amp;":AK100"),1+1,
MATCH(1,INDEX((LEN(INDIRECT("'シフト一覧（転載）'!"&amp;AK26&amp;":AK100"))&gt;0)
*(INDIRECT("'シフト一覧（転載）'!"&amp;AK26&amp;":AK100")&lt;&gt;"休み"),1,0),0)),0),"")</f>
        <v>0</v>
      </c>
      <c r="AM27" s="21">
        <f ca="1">IF(AL26=0,0,
IF(OR(AL26="",COUNTIF(AL26,"*保育無し*")),"",
IF(MOD(AL27-AL26,1)*24&gt;=8,1,
IF(MOD(AL27-AL26,1)*24&gt;=6,0.75,0))))</f>
        <v>0</v>
      </c>
      <c r="AN27" s="21">
        <f t="array" aca="1" ref="AN27" ca="1">IFERROR(IF(AM26&lt;&gt;0,INDEX(
INDIRECT("'シフト一覧（転載）'!"&amp;AM26&amp;":AK100"),1+1,
MATCH(1,INDEX((LEN(INDIRECT("'シフト一覧（転載）'!"&amp;AM26&amp;":AK100"))&gt;0)
*(INDIRECT("'シフト一覧（転載）'!"&amp;AM26&amp;":AK100")&lt;&gt;"休み"),1,0),0)),0),"")</f>
        <v>0</v>
      </c>
      <c r="AO27" s="21">
        <f ca="1">IF(AN26=0,0,
IF(OR(AN26="",COUNTIF(AN26,"*保育無し*")),"",
IF(MOD(AN27-AN26,1)*24&gt;=8,1,
IF(MOD(AN27-AN26,1)*24&gt;=6,0.75,0))))</f>
        <v>0</v>
      </c>
      <c r="AP27" s="21">
        <f t="array" aca="1" ref="AP27" ca="1">IFERROR(IF(AO26&lt;&gt;0,INDEX(
INDIRECT("'シフト一覧（転載）'!"&amp;AO26&amp;":AK100"),1+1,
MATCH(1,INDEX((LEN(INDIRECT("'シフト一覧（転載）'!"&amp;AO26&amp;":AK100"))&gt;0)
*(INDIRECT("'シフト一覧（転載）'!"&amp;AO26&amp;":AK100")&lt;&gt;"休み"),1,0),0)),0),"")</f>
        <v>0</v>
      </c>
      <c r="AQ27" s="21">
        <f ca="1">IF(AP26=0,0,
IF(OR(AP26="",COUNTIF(AP26,"*保育無し*")),"",
IF(MOD(AP27-AP26,1)*24&gt;=8,1,
IF(MOD(AP27-AP26,1)*24&gt;=6,0.75,0))))</f>
        <v>0</v>
      </c>
      <c r="AR27" s="21">
        <f t="array" aca="1" ref="AR27" ca="1">IFERROR(IF(AQ26&lt;&gt;0,INDEX(
INDIRECT("'シフト一覧（転載）'!"&amp;AQ26&amp;":AK100"),1+1,
MATCH(1,INDEX((LEN(INDIRECT("'シフト一覧（転載）'!"&amp;AQ26&amp;":AK100"))&gt;0)
*(INDIRECT("'シフト一覧（転載）'!"&amp;AQ26&amp;":AK100")&lt;&gt;"休み"),1,0),0)),0),"")</f>
        <v>0</v>
      </c>
      <c r="AS27" s="21">
        <f ca="1">IF(AR26=0,0,
IF(OR(AR26="",COUNTIF(AR26,"*保育無し*")),"",
IF(MOD(AR27-AR26,1)*24&gt;=8,1,
IF(MOD(AR27-AR26,1)*24&gt;=6,0.75,0))))</f>
        <v>0</v>
      </c>
      <c r="AT27" s="21">
        <f t="array" aca="1" ref="AT27" ca="1">IFERROR(IF(AS26&lt;&gt;0,INDEX(
INDIRECT("'シフト一覧（転載）'!"&amp;AS26&amp;":AK100"),1+1,
MATCH(1,INDEX((LEN(INDIRECT("'シフト一覧（転載）'!"&amp;AS26&amp;":AK100"))&gt;0)
*(INDIRECT("'シフト一覧（転載）'!"&amp;AS26&amp;":AK100")&lt;&gt;"休み"),1,0),0)),0),"")</f>
        <v>0</v>
      </c>
      <c r="AU27" s="21">
        <f ca="1">IF(AT26=0,0,
IF(OR(AT26="",COUNTIF(AT26,"*保育無し*")),"",
IF(MOD(AT27-AT26,1)*24&gt;=8,1,
IF(MOD(AT27-AT26,1)*24&gt;=6,0.75,0))))</f>
        <v>0</v>
      </c>
      <c r="AV27" s="21">
        <f t="array" aca="1" ref="AV27" ca="1">IFERROR(IF(AU26&lt;&gt;0,INDEX(
INDIRECT("'シフト一覧（転載）'!"&amp;AU26&amp;":AK100"),1+1,
MATCH(1,INDEX((LEN(INDIRECT("'シフト一覧（転載）'!"&amp;AU26&amp;":AK100"))&gt;0)
*(INDIRECT("'シフト一覧（転載）'!"&amp;AU26&amp;":AK100")&lt;&gt;"休み"),1,0),0)),0),"")</f>
        <v>0</v>
      </c>
      <c r="AW27" s="21">
        <f ca="1">IF(AV26=0,0,
IF(OR(AV26="",COUNTIF(AV26,"*保育無し*")),"",
IF(MOD(AV27-AV26,1)*24&gt;=8,1,
IF(MOD(AV27-AV26,1)*24&gt;=6,0.75,0))))</f>
        <v>0</v>
      </c>
      <c r="AX27" s="21">
        <f t="array" aca="1" ref="AX27" ca="1">IFERROR(IF(AW26&lt;&gt;0,INDEX(
INDIRECT("'シフト一覧（転載）'!"&amp;AW26&amp;":AK100"),1+1,
MATCH(1,INDEX((LEN(INDIRECT("'シフト一覧（転載）'!"&amp;AW26&amp;":AK100"))&gt;0)
*(INDIRECT("'シフト一覧（転載）'!"&amp;AW26&amp;":AK100")&lt;&gt;"休み"),1,0),0)),0),"")</f>
        <v>0</v>
      </c>
      <c r="AY27" s="21">
        <f ca="1">IF(AX26=0,0,
IF(OR(AX26="",COUNTIF(AX26,"*保育無し*")),"",
IF(MOD(AX27-AX26,1)*24&gt;=8,1,
IF(MOD(AX27-AX26,1)*24&gt;=6,0.75,0))))</f>
        <v>0</v>
      </c>
      <c r="AZ27" s="21">
        <f t="array" aca="1" ref="AZ27" ca="1">IFERROR(IF(AY26&lt;&gt;0,INDEX(
INDIRECT("'シフト一覧（転載）'!"&amp;AY26&amp;":AK100"),1+1,
MATCH(1,INDEX((LEN(INDIRECT("'シフト一覧（転載）'!"&amp;AY26&amp;":AK100"))&gt;0)
*(INDIRECT("'シフト一覧（転載）'!"&amp;AY26&amp;":AK100")&lt;&gt;"休み"),1,0),0)),0),"")</f>
        <v>0</v>
      </c>
      <c r="BA27" s="21">
        <f ca="1">IF(AZ26=0,0,
IF(OR(AZ26="",COUNTIF(AZ26,"*保育無し*")),"",
IF(MOD(AZ27-AZ26,1)*24&gt;=8,1,
IF(MOD(AZ27-AZ26,1)*24&gt;=6,0.75,0))))</f>
        <v>0</v>
      </c>
      <c r="BB27" s="21">
        <f t="array" aca="1" ref="BB27" ca="1">IFERROR(IF(BA26&lt;&gt;0,INDEX(
INDIRECT("'シフト一覧（転載）'!"&amp;BA26&amp;":AK100"),1+1,
MATCH(1,INDEX((LEN(INDIRECT("'シフト一覧（転載）'!"&amp;BA26&amp;":AK100"))&gt;0)
*(INDIRECT("'シフト一覧（転載）'!"&amp;BA26&amp;":AK100")&lt;&gt;"休み"),1,0),0)),0),"")</f>
        <v>0</v>
      </c>
      <c r="BC27" s="21">
        <f ca="1">IF(BB26=0,0,
IF(OR(BB26="",COUNTIF(BB26,"*保育無し*")),"",
IF(MOD(BB27-BB26,1)*24&gt;=8,1,
IF(MOD(BB27-BB26,1)*24&gt;=6,0.75,0))))</f>
        <v>0</v>
      </c>
      <c r="BD27" s="21">
        <f t="array" aca="1" ref="BD27" ca="1">IFERROR(IF(BC26&lt;&gt;0,INDEX(
INDIRECT("'シフト一覧（転載）'!"&amp;BC26&amp;":AK100"),1+1,
MATCH(1,INDEX((LEN(INDIRECT("'シフト一覧（転載）'!"&amp;BC26&amp;":AK100"))&gt;0)
*(INDIRECT("'シフト一覧（転載）'!"&amp;BC26&amp;":AK100")&lt;&gt;"休み"),1,0),0)),0),"")</f>
        <v>0</v>
      </c>
      <c r="BE27" s="21">
        <f ca="1">IF(BD26=0,0,
IF(OR(BD26="",COUNTIF(BD26,"*保育無し*")),"",
IF(MOD(BD27-BD26,1)*24&gt;=8,1,
IF(MOD(BD27-BD26,1)*24&gt;=6,0.75,0))))</f>
        <v>0</v>
      </c>
      <c r="BF27" s="21">
        <f t="array" aca="1" ref="BF27" ca="1">IFERROR(IF(BE26&lt;&gt;0,INDEX(
INDIRECT("'シフト一覧（転載）'!"&amp;BE26&amp;":AK100"),1+1,
MATCH(1,INDEX((LEN(INDIRECT("'シフト一覧（転載）'!"&amp;BE26&amp;":AK100"))&gt;0)
*(INDIRECT("'シフト一覧（転載）'!"&amp;BE26&amp;":AK100")&lt;&gt;"休み"),1,0),0)),0),"")</f>
        <v>0</v>
      </c>
      <c r="BG27" s="21">
        <f ca="1">IF(BF26=0,0,
IF(OR(BF26="",COUNTIF(BF26,"*保育無し*")),"",
IF(MOD(BF27-BF26,1)*24&gt;=8,1,
IF(MOD(BF27-BF26,1)*24&gt;=6,0.75,0))))</f>
        <v>0</v>
      </c>
      <c r="BH27" s="21">
        <f t="array" aca="1" ref="BH27" ca="1">IFERROR(IF(BG26&lt;&gt;0,INDEX(
INDIRECT("'シフト一覧（転載）'!"&amp;BG26&amp;":AK100"),1+1,
MATCH(1,INDEX((LEN(INDIRECT("'シフト一覧（転載）'!"&amp;BG26&amp;":AK100"))&gt;0)
*(INDIRECT("'シフト一覧（転載）'!"&amp;BG26&amp;":AK100")&lt;&gt;"休み"),1,0),0)),0),"")</f>
        <v>0</v>
      </c>
      <c r="BI27" s="21">
        <f ca="1">IF(BH26=0,0,
IF(OR(BH26="",COUNTIF(BH26,"*保育無し*")),"",
IF(MOD(BH27-BH26,1)*24&gt;=8,1,
IF(MOD(BH27-BH26,1)*24&gt;=6,0.75,0))))</f>
        <v>0</v>
      </c>
      <c r="BJ27" s="21">
        <f t="array" aca="1" ref="BJ27" ca="1">IFERROR(IF(BI26&lt;&gt;0,INDEX(
INDIRECT("'シフト一覧（転載）'!"&amp;BI26&amp;":AK100"),1+1,
MATCH(1,INDEX((LEN(INDIRECT("'シフト一覧（転載）'!"&amp;BI26&amp;":AK100"))&gt;0)
*(INDIRECT("'シフト一覧（転載）'!"&amp;BI26&amp;":AK100")&lt;&gt;"休み"),1,0),0)),0),"")</f>
        <v>0</v>
      </c>
      <c r="BK27" s="21">
        <f ca="1">IF(BJ26=0,0,
IF(OR(BJ26="",COUNTIF(BJ26,"*保育無し*")),"",
IF(MOD(BJ27-BJ26,1)*24&gt;=8,1,
IF(MOD(BJ27-BJ26,1)*24&gt;=6,0.75,0))))</f>
        <v>0</v>
      </c>
      <c r="BL27" s="21">
        <f t="array" aca="1" ref="BL27" ca="1">IFERROR(IF(BK26&lt;&gt;0,INDEX(
INDIRECT("'シフト一覧（転載）'!"&amp;BK26&amp;":AK100"),1+1,
MATCH(1,INDEX((LEN(INDIRECT("'シフト一覧（転載）'!"&amp;BK26&amp;":AK100"))&gt;0)
*(INDIRECT("'シフト一覧（転載）'!"&amp;BK26&amp;":AK100")&lt;&gt;"休み"),1,0),0)),0),"")</f>
        <v>0</v>
      </c>
      <c r="BM27" s="21">
        <f ca="1">IF(BL26=0,0,
IF(OR(BL26="",COUNTIF(BL26,"*保育無し*")),"",
IF(MOD(BL27-BL26,1)*24&gt;=8,1,
IF(MOD(BL27-BL26,1)*24&gt;=6,0.75,0))))</f>
        <v>0</v>
      </c>
      <c r="BN27" s="21">
        <f t="array" aca="1" ref="BN27" ca="1">IFERROR(IF(BM26&lt;&gt;0,INDEX(
INDIRECT("'シフト一覧（転載）'!"&amp;BM26&amp;":AK100"),1+1,
MATCH(1,INDEX((LEN(INDIRECT("'シフト一覧（転載）'!"&amp;BM26&amp;":AK100"))&gt;0)
*(INDIRECT("'シフト一覧（転載）'!"&amp;BM26&amp;":AK100")&lt;&gt;"休み"),1,0),0)),0),"")</f>
        <v>0</v>
      </c>
      <c r="BO27" s="21">
        <f ca="1">IF(BN26=0,0,
IF(OR(BN26="",COUNTIF(BN26,"*保育無し*")),"",
IF(MOD(BN27-BN26,1)*24&gt;=8,1,
IF(MOD(BN27-BN26,1)*24&gt;=6,0.75,0))))</f>
        <v>0</v>
      </c>
      <c r="BP27" s="21">
        <f t="array" aca="1" ref="BP27" ca="1">IFERROR(IF(BO26&lt;&gt;0,INDEX(
INDIRECT("'シフト一覧（転載）'!"&amp;BO26&amp;":AK100"),1+1,
MATCH(1,INDEX((LEN(INDIRECT("'シフト一覧（転載）'!"&amp;BO26&amp;":AK100"))&gt;0)
*(INDIRECT("'シフト一覧（転載）'!"&amp;BO26&amp;":AK100")&lt;&gt;"休み"),1,0),0)),0),"")</f>
        <v>0</v>
      </c>
      <c r="BQ27" s="21">
        <f ca="1">IF(BP26=0,0,
IF(OR(BP26="",COUNTIF(BP26,"*保育無し*")),"",
IF(MOD(BP27-BP26,1)*24&gt;=8,1,
IF(MOD(BP27-BP26,1)*24&gt;=6,0.75,0))))</f>
        <v>0</v>
      </c>
      <c r="BR27" s="21">
        <f t="array" aca="1" ref="BR27" ca="1">IFERROR(IF(BQ26&lt;&gt;0,INDEX(
INDIRECT("'シフト一覧（転載）'!"&amp;BQ26&amp;":AK100"),1+1,
MATCH(1,INDEX((LEN(INDIRECT("'シフト一覧（転載）'!"&amp;BQ26&amp;":AK100"))&gt;0)
*(INDIRECT("'シフト一覧（転載）'!"&amp;BQ26&amp;":AK100")&lt;&gt;"休み"),1,0),0)),0),"")</f>
        <v>0</v>
      </c>
      <c r="BS27" s="21">
        <f ca="1">IF(BR26=0,0,
IF(OR(BR26="",COUNTIF(BR26,"*保育無し*")),"",
IF(MOD(BR27-BR26,1)*24&gt;=8,1,
IF(MOD(BR27-BR26,1)*24&gt;=6,0.75,0))))</f>
        <v>0</v>
      </c>
      <c r="BT27" s="21">
        <f t="array" aca="1" ref="BT27" ca="1">IFERROR(IF(BS26&lt;&gt;0,INDEX(
INDIRECT("'シフト一覧（転載）'!"&amp;BS26&amp;":AK100"),1+1,
MATCH(1,INDEX((LEN(INDIRECT("'シフト一覧（転載）'!"&amp;BS26&amp;":AK100"))&gt;0)
*(INDIRECT("'シフト一覧（転載）'!"&amp;BS26&amp;":AK100")&lt;&gt;"休み"),1,0),0)),0),"")</f>
        <v>0</v>
      </c>
      <c r="BU27" s="21">
        <f ca="1">IF(BT26=0,0,
IF(OR(BT26="",COUNTIF(BT26,"*保育無し*")),"",
IF(MOD(BT27-BT26,1)*24&gt;=8,1,
IF(MOD(BT27-BT26,1)*24&gt;=6,0.75,0))))</f>
        <v>0</v>
      </c>
      <c r="BV27" s="21">
        <f t="array" aca="1" ref="BV27" ca="1">IFERROR(IF(BU26&lt;&gt;0,INDEX(
INDIRECT("'シフト一覧（転載）'!"&amp;BU26&amp;":AK100"),1+1,
MATCH(1,INDEX((LEN(INDIRECT("'シフト一覧（転載）'!"&amp;BU26&amp;":AK100"))&gt;0)
*(INDIRECT("'シフト一覧（転載）'!"&amp;BU26&amp;":AK100")&lt;&gt;"休み"),1,0),0)),0),"")</f>
        <v>0</v>
      </c>
      <c r="BW27" s="21">
        <f ca="1">IF(BV26=0,0,
IF(OR(BV26="",COUNTIF(BV26,"*保育無し*")),"",
IF(MOD(BV27-BV26,1)*24&gt;=8,1,
IF(MOD(BV27-BV26,1)*24&gt;=6,0.75,0))))</f>
        <v>0</v>
      </c>
      <c r="BX27" s="21">
        <f t="array" aca="1" ref="BX27" ca="1">IFERROR(IF(BW26&lt;&gt;0,INDEX(
INDIRECT("'シフト一覧（転載）'!"&amp;BW26&amp;":AK100"),1+1,
MATCH(1,INDEX((LEN(INDIRECT("'シフト一覧（転載）'!"&amp;BW26&amp;":AK100"))&gt;0)
*(INDIRECT("'シフト一覧（転載）'!"&amp;BW26&amp;":AK100")&lt;&gt;"休み"),1,0),0)),0),"")</f>
        <v>0</v>
      </c>
      <c r="BY27" s="21">
        <f ca="1">IF(BX26=0,0,
IF(OR(BX26="",COUNTIF(BX26,"*保育無し*")),"",
IF(MOD(BX27-BX26,1)*24&gt;=8,1,
IF(MOD(BX27-BX26,1)*24&gt;=6,0.75,0))))</f>
        <v>0</v>
      </c>
    </row>
    <row r="28" spans="1:77" ht="19.8" customHeight="1" x14ac:dyDescent="0.2">
      <c r="A28" s="43">
        <f>IF(A27&lt;&gt;0,IF($B$9&gt;A27,A27+1,0),0)</f>
        <v>0</v>
      </c>
      <c r="B28" s="48" t="str" cm="1">
        <f t="array" aca="1" ref="B28" ca="1">IFERROR(_xlfn.TEXTJOIN("", TRUE, IF(ISERR(MID(INDIRECT("'Page_" &amp; A28 &amp; "'!C2"), ROW(INDIRECT("1:" &amp; LEN(INDIRECT("'Page_" &amp; A28 &amp; "'!C2")))), 1)*1), MID(INDIRECT("'Page_" &amp; A28 &amp; "'!C2"), ROW(INDIRECT("1:" &amp; LEN(INDIRECT("'Page_" &amp; A28 &amp; "'!C2")))), 1), "")),"")</f>
        <v/>
      </c>
      <c r="C28" s="49" t="str" cm="1">
        <f t="array" aca="1" ref="C28" ca="1">IFERROR(IF(INDIRECT("'Page_" &amp; A28 &amp; "'!E2")&lt;&gt;"",INDIRECT("'Page_" &amp; A28 &amp; "'!E2"),INDIRECT("'Page_" &amp; A28 &amp; "'!D2")),"")</f>
        <v/>
      </c>
      <c r="D28" s="58" t="str" cm="1">
        <f t="array" aca="1" ref="D28" ca="1">IFERROR(IF(INDIRECT("'Page_" &amp; A28 &amp; "'!Q3")&lt;&gt;"",INDIRECT("'Page_" &amp; A28 &amp; "'!Q3"),INDIRECT("'Page_" &amp; A28 &amp; "'!P3")),"")</f>
        <v/>
      </c>
      <c r="E28" s="39">
        <f t="shared" ca="1" si="2"/>
        <v>0</v>
      </c>
      <c r="F28" s="28" t="str">
        <f t="shared" ca="1" si="3"/>
        <v/>
      </c>
      <c r="G28" s="25" t="str">
        <f t="shared" ca="1" si="11"/>
        <v/>
      </c>
      <c r="H28" s="63" t="str" cm="1">
        <f t="array" aca="1" ref="H28" ca="1">IF(B28&lt;&gt;"",IFERROR(INDEX('シフト一覧（転載）'!$C$8:$C$100,
MATCH(1, (ISNUMBER(SEARCH(B28,'シフト一覧（転載）'!$A$8:$A$100)))
*(ISNUMBER(SEARCH($F$9,'シフト一覧（転載）'!$B$8:$B$100))), 0)),""),"")</f>
        <v/>
      </c>
      <c r="I28" s="54" t="str">
        <f t="shared" ca="1" si="12"/>
        <v/>
      </c>
      <c r="J28" s="25" t="str" cm="1">
        <f t="array" aca="1" ref="J28" ca="1">IF(B28&lt;&gt;"",IFERROR(SUM(INDIRECT("'Page_" &amp; A28 &amp; "'!K"&amp;MATCH("有休",INDIRECT("'Page_" &amp; A28 &amp; "'!K:K"),0)+2&amp;"")
+INDIRECT("'Page_" &amp; A28 &amp; "'!L"&amp;MATCH("特休",INDIRECT("'Page_" &amp; A28 &amp; "'!L:L"),0)+2&amp;""))*24,0),"")</f>
        <v/>
      </c>
      <c r="K28" s="59"/>
      <c r="M28" s="103" t="str" cm="1">
        <f t="array" aca="1" ref="M2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28" s="101" t="str">
        <f t="shared" ref="N28" ca="1" si="13">IF(M28&lt;&gt;"",VLOOKUP(M28,$B$12:$C$41,2,FALSE),"")</f>
        <v/>
      </c>
      <c r="O28" s="106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20">
        <f t="array" aca="1" ref="P28" ca="1">IFERROR(IF(M28&lt;&gt;"",INDEX('シフト一覧（転載）'!$F$8:$AK$100,
    MATCH(1,(ISNUMBER(SEARCH(M28,'シフト一覧（転載）'!$A$8:$A$100)))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MATCH(1,(ISNUMBER(SEARCH(M28,'シフト一覧（転載）'!$A$8:$A$100)))
                *(ISNUMBER(SEARCH($F$9,'シフト一覧（転載）'!$B$8:$B$100))),
                0),0),0)),0),$F$9&amp;"保育無し")</f>
        <v>0</v>
      </c>
      <c r="Q28" s="20">
        <f t="array" aca="1" ref="Q28" ca="1">IFERROR(IF(COUNTIF(P28,"*無*"),"",IF(M28&lt;&gt;"",ADDRESS(
    MATCH(1,(ISNUMBER(SEARCH(M28,'シフト一覧（転載）'!$A$8:$A$100)))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MATCH(1,(ISNUMBER(SEARCH(M28,'シフト一覧（転載）'!$A$8:$A$100)))
                *(ISNUMBER(SEARCH($F$9,'シフト一覧（転載）'!$B$8:$B$100))),0),0),0) + 6,4),0)),0)</f>
        <v>0</v>
      </c>
      <c r="R28" s="20">
        <f t="array" aca="1" ref="R28" ca="1">IFERROR(IF(Q28&lt;&gt;"",IF(Q28&lt;&gt;0,INDEX(
INDIRECT("'シフト一覧（転載）'!"&amp;Q28&amp;":AK100"),1,
MATCH(1,INDEX((LEN(INDIRECT("'シフト一覧（転載）'!"&amp;Q28&amp;":AK100"))&gt;0)
*(INDIRECT("'シフト一覧（転載）'!"&amp;Q28&amp;":AK100")&lt;&gt;"休み"),1,0),0)),0),""),$F$9&amp;"保育無し")</f>
        <v>0</v>
      </c>
      <c r="S28" s="20">
        <f t="array" aca="1" ref="S28" ca="1">IFERROR(IF(Q28&lt;&gt;0,ADDRESS(ROW(INDIRECT(Q28)),
    COLUMN(INDIRECT(Q28)) - 1 +
    MATCH(1,INDEX((LEN(INDIRECT("'シフト一覧（転載）'!"&amp;Q28&amp;":AK100"))&gt;0)
            *(INDIRECT("'シフト一覧（転載）'!"&amp;Q28&amp;":AK100")&lt;&gt;"休み"),
            1,0),0)+1,4),0),"")</f>
        <v>0</v>
      </c>
      <c r="T28" s="20">
        <f t="array" aca="1" ref="T28" ca="1">IFERROR(IF(S28&lt;&gt;"",IF(S28&lt;&gt;0,INDEX(
INDIRECT("'シフト一覧（転載）'!"&amp;S28&amp;":AK100"),1,
MATCH(1,INDEX((LEN(INDIRECT("'シフト一覧（転載）'!"&amp;S28&amp;":AK100"))&gt;0)
*(INDIRECT("'シフト一覧（転載）'!"&amp;S28&amp;":AK100")&lt;&gt;"休み"),1,0),0)),0),""),$F$9&amp;"保育無し")</f>
        <v>0</v>
      </c>
      <c r="U28" s="20">
        <f t="array" aca="1" ref="U28" ca="1">IFERROR(IF(S28&lt;&gt;0,ADDRESS(ROW(INDIRECT(S28)),
    COLUMN(INDIRECT(S28)) - 1 +
    MATCH(1,INDEX((LEN(INDIRECT("'シフト一覧（転載）'!"&amp;S28&amp;":AK100"))&gt;0)
            *(INDIRECT("'シフト一覧（転載）'!"&amp;S28&amp;":AK100")&lt;&gt;"休み"),
            1,0),0)+1,4),0),"")</f>
        <v>0</v>
      </c>
      <c r="V28" s="20">
        <f t="array" aca="1" ref="V28" ca="1">IFERROR(IF(U28&lt;&gt;"",IF(U28&lt;&gt;0,INDEX(
INDIRECT("'シフト一覧（転載）'!"&amp;U28&amp;":AK100"),1,
MATCH(1,INDEX((LEN(INDIRECT("'シフト一覧（転載）'!"&amp;U28&amp;":AK100"))&gt;0)
*(INDIRECT("'シフト一覧（転載）'!"&amp;U28&amp;":AK100")&lt;&gt;"休み"),1,0),0)),0),""),$F$9&amp;"保育無し")</f>
        <v>0</v>
      </c>
      <c r="W28" s="20">
        <f t="array" aca="1" ref="W28" ca="1">IFERROR(IF(U28&lt;&gt;0,ADDRESS(ROW(INDIRECT(U28)),
    COLUMN(INDIRECT(U28)) - 1 +
    MATCH(1,INDEX((LEN(INDIRECT("'シフト一覧（転載）'!"&amp;U28&amp;":AK100"))&gt;0)
            *(INDIRECT("'シフト一覧（転載）'!"&amp;U28&amp;":AK100")&lt;&gt;"休み"),
            1,0),0)+1,4),0),"")</f>
        <v>0</v>
      </c>
      <c r="X28" s="20">
        <f t="array" aca="1" ref="X28" ca="1">IFERROR(IF(W28&lt;&gt;"",IF(W28&lt;&gt;0,INDEX(
INDIRECT("'シフト一覧（転載）'!"&amp;W28&amp;":AK100"),1,
MATCH(1,INDEX((LEN(INDIRECT("'シフト一覧（転載）'!"&amp;W28&amp;":AK100"))&gt;0)
*(INDIRECT("'シフト一覧（転載）'!"&amp;W28&amp;":AK100")&lt;&gt;"休み"),1,0),0)),0),""),$F$9&amp;"保育無し")</f>
        <v>0</v>
      </c>
      <c r="Y28" s="20">
        <f t="array" aca="1" ref="Y28" ca="1">IFERROR(IF(W28&lt;&gt;0,ADDRESS(ROW(INDIRECT(W28)),
    COLUMN(INDIRECT(W28)) - 1 +
    MATCH(1,INDEX((LEN(INDIRECT("'シフト一覧（転載）'!"&amp;W28&amp;":AK100"))&gt;0)
            *(INDIRECT("'シフト一覧（転載）'!"&amp;W28&amp;":AK100")&lt;&gt;"休み"),
            1,0),0)+1,4),0),"")</f>
        <v>0</v>
      </c>
      <c r="Z28" s="20">
        <f t="array" aca="1" ref="Z28" ca="1">IFERROR(IF(Y28&lt;&gt;"",IF(Y28&lt;&gt;0,INDEX(
INDIRECT("'シフト一覧（転載）'!"&amp;Y28&amp;":AK100"),1,
MATCH(1,INDEX((LEN(INDIRECT("'シフト一覧（転載）'!"&amp;Y28&amp;":AK100"))&gt;0)
*(INDIRECT("'シフト一覧（転載）'!"&amp;Y28&amp;":AK100")&lt;&gt;"休み"),1,0),0)),0),""),$F$9&amp;"保育無し")</f>
        <v>0</v>
      </c>
      <c r="AA28" s="20">
        <f t="array" aca="1" ref="AA28" ca="1">IFERROR(IF(Y28&lt;&gt;0,ADDRESS(ROW(INDIRECT(Y28)),
    COLUMN(INDIRECT(Y28)) - 1 +
    MATCH(1,INDEX((LEN(INDIRECT("'シフト一覧（転載）'!"&amp;Y28&amp;":AK100"))&gt;0)
            *(INDIRECT("'シフト一覧（転載）'!"&amp;Y28&amp;":AK100")&lt;&gt;"休み"),
            1,0),0)+1,4),0),"")</f>
        <v>0</v>
      </c>
      <c r="AB28" s="20">
        <f t="array" aca="1" ref="AB28" ca="1">IFERROR(IF(AA28&lt;&gt;"",IF(AA28&lt;&gt;0,INDEX(
INDIRECT("'シフト一覧（転載）'!"&amp;AA28&amp;":AK100"),1,
MATCH(1,INDEX((LEN(INDIRECT("'シフト一覧（転載）'!"&amp;AA28&amp;":AK100"))&gt;0)
*(INDIRECT("'シフト一覧（転載）'!"&amp;AA28&amp;":AK100")&lt;&gt;"休み"),1,0),0)),0),""),$F$9&amp;"保育無し")</f>
        <v>0</v>
      </c>
      <c r="AC28" s="20">
        <f t="array" aca="1" ref="AC28" ca="1">IFERROR(IF(AA28&lt;&gt;0,ADDRESS(ROW(INDIRECT(AA28)),
    COLUMN(INDIRECT(AA28)) - 1 +
    MATCH(1,INDEX((LEN(INDIRECT("'シフト一覧（転載）'!"&amp;AA28&amp;":AK100"))&gt;0)
            *(INDIRECT("'シフト一覧（転載）'!"&amp;AA28&amp;":AK100")&lt;&gt;"休み"),
            1,0),0)+1,4),0),"")</f>
        <v>0</v>
      </c>
      <c r="AD28" s="20">
        <f t="array" aca="1" ref="AD28" ca="1">IFERROR(IF(AC28&lt;&gt;"",IF(AC28&lt;&gt;0,INDEX(
INDIRECT("'シフト一覧（転載）'!"&amp;AC28&amp;":AK100"),1,
MATCH(1,INDEX((LEN(INDIRECT("'シフト一覧（転載）'!"&amp;AC28&amp;":AK100"))&gt;0)
*(INDIRECT("'シフト一覧（転載）'!"&amp;AC28&amp;":AK100")&lt;&gt;"休み"),1,0),0)),0),""),$F$9&amp;"保育無し")</f>
        <v>0</v>
      </c>
      <c r="AE28" s="20">
        <f t="array" aca="1" ref="AE28" ca="1">IFERROR(IF(AC28&lt;&gt;0,ADDRESS(ROW(INDIRECT(AC28)),
    COLUMN(INDIRECT(AC28)) - 1 +
    MATCH(1,INDEX((LEN(INDIRECT("'シフト一覧（転載）'!"&amp;AC28&amp;":AK100"))&gt;0)
            *(INDIRECT("'シフト一覧（転載）'!"&amp;AC28&amp;":AK100")&lt;&gt;"休み"),
            1,0),0)+1,4),0),"")</f>
        <v>0</v>
      </c>
      <c r="AF28" s="20">
        <f t="array" aca="1" ref="AF28" ca="1">IFERROR(IF(AE28&lt;&gt;"",IF(AE28&lt;&gt;0,INDEX(
INDIRECT("'シフト一覧（転載）'!"&amp;AE28&amp;":AK100"),1,
MATCH(1,INDEX((LEN(INDIRECT("'シフト一覧（転載）'!"&amp;AE28&amp;":AK100"))&gt;0)
*(INDIRECT("'シフト一覧（転載）'!"&amp;AE28&amp;":AK100")&lt;&gt;"休み"),1,0),0)),0),""),$F$9&amp;"保育無し")</f>
        <v>0</v>
      </c>
      <c r="AG28" s="20">
        <f t="array" aca="1" ref="AG28" ca="1">IFERROR(IF(AE28&lt;&gt;0,ADDRESS(ROW(INDIRECT(AE28)),
    COLUMN(INDIRECT(AE28)) - 1 +
    MATCH(1,INDEX((LEN(INDIRECT("'シフト一覧（転載）'!"&amp;AE28&amp;":AK100"))&gt;0)
            *(INDIRECT("'シフト一覧（転載）'!"&amp;AE28&amp;":AK100")&lt;&gt;"休み"),
            1,0),0)+1,4),0),"")</f>
        <v>0</v>
      </c>
      <c r="AH28" s="20">
        <f t="array" aca="1" ref="AH28" ca="1">IFERROR(IF(AG28&lt;&gt;"",IF(AG28&lt;&gt;0,INDEX(
INDIRECT("'シフト一覧（転載）'!"&amp;AG28&amp;":AK100"),1,
MATCH(1,INDEX((LEN(INDIRECT("'シフト一覧（転載）'!"&amp;AG28&amp;":AK100"))&gt;0)
*(INDIRECT("'シフト一覧（転載）'!"&amp;AG28&amp;":AK100")&lt;&gt;"休み"),1,0),0)),0),""),$F$9&amp;"保育無し")</f>
        <v>0</v>
      </c>
      <c r="AI28" s="20">
        <f t="array" aca="1" ref="AI28" ca="1">IFERROR(IF(AG28&lt;&gt;0,ADDRESS(ROW(INDIRECT(AG28)),
    COLUMN(INDIRECT(AG28)) - 1 +
    MATCH(1,INDEX((LEN(INDIRECT("'シフト一覧（転載）'!"&amp;AG28&amp;":AK100"))&gt;0)
            *(INDIRECT("'シフト一覧（転載）'!"&amp;AG28&amp;":AK100")&lt;&gt;"休み"),
            1,0),0)+1,4),0),"")</f>
        <v>0</v>
      </c>
      <c r="AJ28" s="20">
        <f t="array" aca="1" ref="AJ28" ca="1">IFERROR(IF(AI28&lt;&gt;"",IF(AI28&lt;&gt;0,INDEX(
INDIRECT("'シフト一覧（転載）'!"&amp;AI28&amp;":AK100"),1,
MATCH(1,INDEX((LEN(INDIRECT("'シフト一覧（転載）'!"&amp;AI28&amp;":AK100"))&gt;0)
*(INDIRECT("'シフト一覧（転載）'!"&amp;AI28&amp;":AK100")&lt;&gt;"休み"),1,0),0)),0),""),$F$9&amp;"保育無し")</f>
        <v>0</v>
      </c>
      <c r="AK28" s="20">
        <f t="array" aca="1" ref="AK28" ca="1">IFERROR(IF(AI28&lt;&gt;0,ADDRESS(ROW(INDIRECT(AI28)),
    COLUMN(INDIRECT(AI28)) - 1 +
    MATCH(1,INDEX((LEN(INDIRECT("'シフト一覧（転載）'!"&amp;AI28&amp;":AK100"))&gt;0)
            *(INDIRECT("'シフト一覧（転載）'!"&amp;AI28&amp;":AK100")&lt;&gt;"休み"),
            1,0),0)+1,4),0),"")</f>
        <v>0</v>
      </c>
      <c r="AL28" s="20">
        <f t="array" aca="1" ref="AL28" ca="1">IFERROR(IF(AK28&lt;&gt;"",IF(AK28&lt;&gt;0,INDEX(
INDIRECT("'シフト一覧（転載）'!"&amp;AK28&amp;":AK100"),1,
MATCH(1,INDEX((LEN(INDIRECT("'シフト一覧（転載）'!"&amp;AK28&amp;":AK100"))&gt;0)
*(INDIRECT("'シフト一覧（転載）'!"&amp;AK28&amp;":AK100")&lt;&gt;"休み"),1,0),0)),0),""),$F$9&amp;"保育無し")</f>
        <v>0</v>
      </c>
      <c r="AM28" s="20">
        <f t="array" aca="1" ref="AM28" ca="1">IFERROR(IF(AK28&lt;&gt;0,ADDRESS(ROW(INDIRECT(AK28)),
    COLUMN(INDIRECT(AK28)) - 1 +
    MATCH(1,INDEX((LEN(INDIRECT("'シフト一覧（転載）'!"&amp;AK28&amp;":AK100"))&gt;0)
            *(INDIRECT("'シフト一覧（転載）'!"&amp;AK28&amp;":AK100")&lt;&gt;"休み"),
            1,0),0)+1,4),0),"")</f>
        <v>0</v>
      </c>
      <c r="AN28" s="20">
        <f t="array" aca="1" ref="AN28" ca="1">IFERROR(IF(AM28&lt;&gt;"",IF(AM28&lt;&gt;0,INDEX(
INDIRECT("'シフト一覧（転載）'!"&amp;AM28&amp;":AK100"),1,
MATCH(1,INDEX((LEN(INDIRECT("'シフト一覧（転載）'!"&amp;AM28&amp;":AK100"))&gt;0)
*(INDIRECT("'シフト一覧（転載）'!"&amp;AM28&amp;":AK100")&lt;&gt;"休み"),1,0),0)),0),""),$F$9&amp;"保育無し")</f>
        <v>0</v>
      </c>
      <c r="AO28" s="20">
        <f t="array" aca="1" ref="AO28" ca="1">IFERROR(IF(AM28&lt;&gt;0,ADDRESS(ROW(INDIRECT(AM28)),
    COLUMN(INDIRECT(AM28)) - 1 +
    MATCH(1,INDEX((LEN(INDIRECT("'シフト一覧（転載）'!"&amp;AM28&amp;":AK100"))&gt;0)
            *(INDIRECT("'シフト一覧（転載）'!"&amp;AM28&amp;":AK100")&lt;&gt;"休み"),
            1,0),0)+1,4),0),"")</f>
        <v>0</v>
      </c>
      <c r="AP28" s="20">
        <f t="array" aca="1" ref="AP28" ca="1">IFERROR(IF(AO28&lt;&gt;"",IF(AO28&lt;&gt;0,INDEX(
INDIRECT("'シフト一覧（転載）'!"&amp;AO28&amp;":AK100"),1,
MATCH(1,INDEX((LEN(INDIRECT("'シフト一覧（転載）'!"&amp;AO28&amp;":AK100"))&gt;0)
*(INDIRECT("'シフト一覧（転載）'!"&amp;AO28&amp;":AK100")&lt;&gt;"休み"),1,0),0)),0),""),$F$9&amp;"保育無し")</f>
        <v>0</v>
      </c>
      <c r="AQ28" s="20">
        <f t="array" aca="1" ref="AQ28" ca="1">IFERROR(IF(AO28&lt;&gt;0,ADDRESS(ROW(INDIRECT(AO28)),
    COLUMN(INDIRECT(AO28)) - 1 +
    MATCH(1,INDEX((LEN(INDIRECT("'シフト一覧（転載）'!"&amp;AO28&amp;":AK100"))&gt;0)
            *(INDIRECT("'シフト一覧（転載）'!"&amp;AO28&amp;":AK100")&lt;&gt;"休み"),
            1,0),0)+1,4),0),"")</f>
        <v>0</v>
      </c>
      <c r="AR28" s="20">
        <f t="array" aca="1" ref="AR28" ca="1">IFERROR(IF(AQ28&lt;&gt;"",IF(AQ28&lt;&gt;0,INDEX(
INDIRECT("'シフト一覧（転載）'!"&amp;AQ28&amp;":AK100"),1,
MATCH(1,INDEX((LEN(INDIRECT("'シフト一覧（転載）'!"&amp;AQ28&amp;":AK100"))&gt;0)
*(INDIRECT("'シフト一覧（転載）'!"&amp;AQ28&amp;":AK100")&lt;&gt;"休み"),1,0),0)),0),""),$F$9&amp;"保育無し")</f>
        <v>0</v>
      </c>
      <c r="AS28" s="20">
        <f t="array" aca="1" ref="AS28" ca="1">IFERROR(IF(AQ28&lt;&gt;0,ADDRESS(ROW(INDIRECT(AQ28)),
    COLUMN(INDIRECT(AQ28)) - 1 +
    MATCH(1,INDEX((LEN(INDIRECT("'シフト一覧（転載）'!"&amp;AQ28&amp;":AK100"))&gt;0)
            *(INDIRECT("'シフト一覧（転載）'!"&amp;AQ28&amp;":AK100")&lt;&gt;"休み"),
            1,0),0)+1,4),0),"")</f>
        <v>0</v>
      </c>
      <c r="AT28" s="20">
        <f t="array" aca="1" ref="AT28" ca="1">IFERROR(IF(AS28&lt;&gt;"",IF(AS28&lt;&gt;0,INDEX(
INDIRECT("'シフト一覧（転載）'!"&amp;AS28&amp;":AK100"),1,
MATCH(1,INDEX((LEN(INDIRECT("'シフト一覧（転載）'!"&amp;AS28&amp;":AK100"))&gt;0)
*(INDIRECT("'シフト一覧（転載）'!"&amp;AS28&amp;":AK100")&lt;&gt;"休み"),1,0),0)),0),""),$F$9&amp;"保育無し")</f>
        <v>0</v>
      </c>
      <c r="AU28" s="20">
        <f t="array" aca="1" ref="AU28" ca="1">IFERROR(IF(AS28&lt;&gt;0,ADDRESS(ROW(INDIRECT(AS28)),
    COLUMN(INDIRECT(AS28)) - 1 +
    MATCH(1,INDEX((LEN(INDIRECT("'シフト一覧（転載）'!"&amp;AS28&amp;":AK100"))&gt;0)
            *(INDIRECT("'シフト一覧（転載）'!"&amp;AS28&amp;":AK100")&lt;&gt;"休み"),
            1,0),0)+1,4),0),"")</f>
        <v>0</v>
      </c>
      <c r="AV28" s="20">
        <f t="array" aca="1" ref="AV28" ca="1">IFERROR(IF(AU28&lt;&gt;"",IF(AU28&lt;&gt;0,INDEX(
INDIRECT("'シフト一覧（転載）'!"&amp;AU28&amp;":AK100"),1,
MATCH(1,INDEX((LEN(INDIRECT("'シフト一覧（転載）'!"&amp;AU28&amp;":AK100"))&gt;0)
*(INDIRECT("'シフト一覧（転載）'!"&amp;AU28&amp;":AK100")&lt;&gt;"休み"),1,0),0)),0),""),$F$9&amp;"保育無し")</f>
        <v>0</v>
      </c>
      <c r="AW28" s="20">
        <f t="array" aca="1" ref="AW28" ca="1">IFERROR(IF(AU28&lt;&gt;0,ADDRESS(ROW(INDIRECT(AU28)),
    COLUMN(INDIRECT(AU28)) - 1 +
    MATCH(1,INDEX((LEN(INDIRECT("'シフト一覧（転載）'!"&amp;AU28&amp;":AK100"))&gt;0)
            *(INDIRECT("'シフト一覧（転載）'!"&amp;AU28&amp;":AK100")&lt;&gt;"休み"),
            1,0),0)+1,4),0),"")</f>
        <v>0</v>
      </c>
      <c r="AX28" s="20">
        <f t="array" aca="1" ref="AX28" ca="1">IFERROR(IF(AW28&lt;&gt;"",IF(AW28&lt;&gt;0,INDEX(
INDIRECT("'シフト一覧（転載）'!"&amp;AW28&amp;":AK100"),1,
MATCH(1,INDEX((LEN(INDIRECT("'シフト一覧（転載）'!"&amp;AW28&amp;":AK100"))&gt;0)
*(INDIRECT("'シフト一覧（転載）'!"&amp;AW28&amp;":AK100")&lt;&gt;"休み"),1,0),0)),0),""),$F$9&amp;"保育無し")</f>
        <v>0</v>
      </c>
      <c r="AY28" s="20">
        <f t="array" aca="1" ref="AY28" ca="1">IFERROR(IF(AW28&lt;&gt;0,ADDRESS(ROW(INDIRECT(AW28)),
    COLUMN(INDIRECT(AW28)) - 1 +
    MATCH(1,INDEX((LEN(INDIRECT("'シフト一覧（転載）'!"&amp;AW28&amp;":AK100"))&gt;0)
            *(INDIRECT("'シフト一覧（転載）'!"&amp;AW28&amp;":AK100")&lt;&gt;"休み"),
            1,0),0)+1,4),0),"")</f>
        <v>0</v>
      </c>
      <c r="AZ28" s="20">
        <f t="array" aca="1" ref="AZ28" ca="1">IFERROR(IF(AY28&lt;&gt;"",IF(AY28&lt;&gt;0,INDEX(
INDIRECT("'シフト一覧（転載）'!"&amp;AY28&amp;":AK100"),1,
MATCH(1,INDEX((LEN(INDIRECT("'シフト一覧（転載）'!"&amp;AY28&amp;":AK100"))&gt;0)
*(INDIRECT("'シフト一覧（転載）'!"&amp;AY28&amp;":AK100")&lt;&gt;"休み"),1,0),0)),0),""),$F$9&amp;"保育無し")</f>
        <v>0</v>
      </c>
      <c r="BA28" s="20">
        <f t="array" aca="1" ref="BA28" ca="1">IFERROR(IF(AY28&lt;&gt;0,ADDRESS(ROW(INDIRECT(AY28)),
    COLUMN(INDIRECT(AY28)) - 1 +
    MATCH(1,INDEX((LEN(INDIRECT("'シフト一覧（転載）'!"&amp;AY28&amp;":AK100"))&gt;0)
            *(INDIRECT("'シフト一覧（転載）'!"&amp;AY28&amp;":AK100")&lt;&gt;"休み"),
            1,0),0)+1,4),0),"")</f>
        <v>0</v>
      </c>
      <c r="BB28" s="20">
        <f t="array" aca="1" ref="BB28" ca="1">IFERROR(IF(BA28&lt;&gt;"",IF(BA28&lt;&gt;0,INDEX(
INDIRECT("'シフト一覧（転載）'!"&amp;BA28&amp;":AK100"),1,
MATCH(1,INDEX((LEN(INDIRECT("'シフト一覧（転載）'!"&amp;BA28&amp;":AK100"))&gt;0)
*(INDIRECT("'シフト一覧（転載）'!"&amp;BA28&amp;":AK100")&lt;&gt;"休み"),1,0),0)),0),""),$F$9&amp;"保育無し")</f>
        <v>0</v>
      </c>
      <c r="BC28" s="20">
        <f t="array" aca="1" ref="BC28" ca="1">IFERROR(IF(BA28&lt;&gt;0,ADDRESS(ROW(INDIRECT(BA28)),
    COLUMN(INDIRECT(BA28)) - 1 +
    MATCH(1,INDEX((LEN(INDIRECT("'シフト一覧（転載）'!"&amp;BA28&amp;":AK100"))&gt;0)
            *(INDIRECT("'シフト一覧（転載）'!"&amp;BA28&amp;":AK100")&lt;&gt;"休み"),
            1,0),0)+1,4),0),"")</f>
        <v>0</v>
      </c>
      <c r="BD28" s="20">
        <f t="array" aca="1" ref="BD28" ca="1">IFERROR(IF(BC28&lt;&gt;"",IF(BC28&lt;&gt;0,INDEX(
INDIRECT("'シフト一覧（転載）'!"&amp;BC28&amp;":AK100"),1,
MATCH(1,INDEX((LEN(INDIRECT("'シフト一覧（転載）'!"&amp;BC28&amp;":AK100"))&gt;0)
*(INDIRECT("'シフト一覧（転載）'!"&amp;BC28&amp;":AK100")&lt;&gt;"休み"),1,0),0)),0),""),$F$9&amp;"保育無し")</f>
        <v>0</v>
      </c>
      <c r="BE28" s="20">
        <f t="array" aca="1" ref="BE28" ca="1">IFERROR(IF(BC28&lt;&gt;0,ADDRESS(ROW(INDIRECT(BC28)),
    COLUMN(INDIRECT(BC28)) - 1 +
    MATCH(1,INDEX((LEN(INDIRECT("'シフト一覧（転載）'!"&amp;BC28&amp;":AK100"))&gt;0)
            *(INDIRECT("'シフト一覧（転載）'!"&amp;BC28&amp;":AK100")&lt;&gt;"休み"),
            1,0),0)+1,4),0),"")</f>
        <v>0</v>
      </c>
      <c r="BF28" s="20">
        <f t="array" aca="1" ref="BF28" ca="1">IFERROR(IF(BE28&lt;&gt;"",IF(BE28&lt;&gt;0,INDEX(
INDIRECT("'シフト一覧（転載）'!"&amp;BE28&amp;":AK100"),1,
MATCH(1,INDEX((LEN(INDIRECT("'シフト一覧（転載）'!"&amp;BE28&amp;":AK100"))&gt;0)
*(INDIRECT("'シフト一覧（転載）'!"&amp;BE28&amp;":AK100")&lt;&gt;"休み"),1,0),0)),0),""),$F$9&amp;"保育無し")</f>
        <v>0</v>
      </c>
      <c r="BG28" s="20">
        <f t="array" aca="1" ref="BG28" ca="1">IFERROR(IF(BE28&lt;&gt;0,ADDRESS(ROW(INDIRECT(BE28)),
    COLUMN(INDIRECT(BE28)) - 1 +
    MATCH(1,INDEX((LEN(INDIRECT("'シフト一覧（転載）'!"&amp;BE28&amp;":AK100"))&gt;0)
            *(INDIRECT("'シフト一覧（転載）'!"&amp;BE28&amp;":AK100")&lt;&gt;"休み"),
            1,0),0)+1,4),0),"")</f>
        <v>0</v>
      </c>
      <c r="BH28" s="20">
        <f t="array" aca="1" ref="BH28" ca="1">IFERROR(IF(BG28&lt;&gt;"",IF(BG28&lt;&gt;0,INDEX(
INDIRECT("'シフト一覧（転載）'!"&amp;BG28&amp;":AK100"),1,
MATCH(1,INDEX((LEN(INDIRECT("'シフト一覧（転載）'!"&amp;BG28&amp;":AK100"))&gt;0)
*(INDIRECT("'シフト一覧（転載）'!"&amp;BG28&amp;":AK100")&lt;&gt;"休み"),1,0),0)),0),""),$F$9&amp;"保育無し")</f>
        <v>0</v>
      </c>
      <c r="BI28" s="20">
        <f t="array" aca="1" ref="BI28" ca="1">IFERROR(IF(BG28&lt;&gt;0,ADDRESS(ROW(INDIRECT(BG28)),
    COLUMN(INDIRECT(BG28)) - 1 +
    MATCH(1,INDEX((LEN(INDIRECT("'シフト一覧（転載）'!"&amp;BG28&amp;":AK100"))&gt;0)
            *(INDIRECT("'シフト一覧（転載）'!"&amp;BG28&amp;":AK100")&lt;&gt;"休み"),
            1,0),0)+1,4),0),"")</f>
        <v>0</v>
      </c>
      <c r="BJ28" s="20">
        <f t="array" aca="1" ref="BJ28" ca="1">IFERROR(IF(BI28&lt;&gt;"",IF(BI28&lt;&gt;0,INDEX(
INDIRECT("'シフト一覧（転載）'!"&amp;BI28&amp;":AK100"),1,
MATCH(1,INDEX((LEN(INDIRECT("'シフト一覧（転載）'!"&amp;BI28&amp;":AK100"))&gt;0)
*(INDIRECT("'シフト一覧（転載）'!"&amp;BI28&amp;":AK100")&lt;&gt;"休み"),1,0),0)),0),""),$F$9&amp;"保育無し")</f>
        <v>0</v>
      </c>
      <c r="BK28" s="20">
        <f t="array" aca="1" ref="BK28" ca="1">IFERROR(IF(BI28&lt;&gt;0,ADDRESS(ROW(INDIRECT(BI28)),
    COLUMN(INDIRECT(BI28)) - 1 +
    MATCH(1,INDEX((LEN(INDIRECT("'シフト一覧（転載）'!"&amp;BI28&amp;":AK100"))&gt;0)
            *(INDIRECT("'シフト一覧（転載）'!"&amp;BI28&amp;":AK100")&lt;&gt;"休み"),
            1,0),0)+1,4),0),"")</f>
        <v>0</v>
      </c>
      <c r="BL28" s="20">
        <f t="array" aca="1" ref="BL28" ca="1">IFERROR(IF(BK28&lt;&gt;"",IF(BK28&lt;&gt;0,INDEX(
INDIRECT("'シフト一覧（転載）'!"&amp;BK28&amp;":AK100"),1,
MATCH(1,INDEX((LEN(INDIRECT("'シフト一覧（転載）'!"&amp;BK28&amp;":AK100"))&gt;0)
*(INDIRECT("'シフト一覧（転載）'!"&amp;BK28&amp;":AK100")&lt;&gt;"休み"),1,0),0)),0),""),$F$9&amp;"保育無し")</f>
        <v>0</v>
      </c>
      <c r="BM28" s="20">
        <f t="array" aca="1" ref="BM28" ca="1">IFERROR(IF(BK28&lt;&gt;0,ADDRESS(ROW(INDIRECT(BK28)),
    COLUMN(INDIRECT(BK28)) - 1 +
    MATCH(1,INDEX((LEN(INDIRECT("'シフト一覧（転載）'!"&amp;BK28&amp;":AK100"))&gt;0)
            *(INDIRECT("'シフト一覧（転載）'!"&amp;BK28&amp;":AK100")&lt;&gt;"休み"),
            1,0),0)+1,4),0),"")</f>
        <v>0</v>
      </c>
      <c r="BN28" s="20">
        <f t="array" aca="1" ref="BN28" ca="1">IFERROR(IF(BM28&lt;&gt;"",IF(BM28&lt;&gt;0,INDEX(
INDIRECT("'シフト一覧（転載）'!"&amp;BM28&amp;":AK100"),1,
MATCH(1,INDEX((LEN(INDIRECT("'シフト一覧（転載）'!"&amp;BM28&amp;":AK100"))&gt;0)
*(INDIRECT("'シフト一覧（転載）'!"&amp;BM28&amp;":AK100")&lt;&gt;"休み"),1,0),0)),0),""),$F$9&amp;"保育無し")</f>
        <v>0</v>
      </c>
      <c r="BO28" s="20">
        <f t="array" aca="1" ref="BO28" ca="1">IFERROR(IF(BM28&lt;&gt;0,ADDRESS(ROW(INDIRECT(BM28)),
    COLUMN(INDIRECT(BM28)) - 1 +
    MATCH(1,INDEX((LEN(INDIRECT("'シフト一覧（転載）'!"&amp;BM28&amp;":AK100"))&gt;0)
            *(INDIRECT("'シフト一覧（転載）'!"&amp;BM28&amp;":AK100")&lt;&gt;"休み"),
            1,0),0)+1,4),0),"")</f>
        <v>0</v>
      </c>
      <c r="BP28" s="20">
        <f t="array" aca="1" ref="BP28" ca="1">IFERROR(IF(BO28&lt;&gt;"",IF(BO28&lt;&gt;0,INDEX(
INDIRECT("'シフト一覧（転載）'!"&amp;BO28&amp;":AK100"),1,
MATCH(1,INDEX((LEN(INDIRECT("'シフト一覧（転載）'!"&amp;BO28&amp;":AK100"))&gt;0)
*(INDIRECT("'シフト一覧（転載）'!"&amp;BO28&amp;":AK100")&lt;&gt;"休み"),1,0),0)),0),""),$F$9&amp;"保育無し")</f>
        <v>0</v>
      </c>
      <c r="BQ28" s="20">
        <f t="array" aca="1" ref="BQ28" ca="1">IFERROR(IF(BO28&lt;&gt;0,ADDRESS(ROW(INDIRECT(BO28)),
    COLUMN(INDIRECT(BO28)) - 1 +
    MATCH(1,INDEX((LEN(INDIRECT("'シフト一覧（転載）'!"&amp;BO28&amp;":AK100"))&gt;0)
            *(INDIRECT("'シフト一覧（転載）'!"&amp;BO28&amp;":AK100")&lt;&gt;"休み"),
            1,0),0)+1,4),0),"")</f>
        <v>0</v>
      </c>
      <c r="BR28" s="20">
        <f t="array" aca="1" ref="BR28" ca="1">IFERROR(IF(BQ28&lt;&gt;"",IF(BQ28&lt;&gt;0,INDEX(
INDIRECT("'シフト一覧（転載）'!"&amp;BQ28&amp;":AK100"),1,
MATCH(1,INDEX((LEN(INDIRECT("'シフト一覧（転載）'!"&amp;BQ28&amp;":AK100"))&gt;0)
*(INDIRECT("'シフト一覧（転載）'!"&amp;BQ28&amp;":AK100")&lt;&gt;"休み"),1,0),0)),0),""),$F$9&amp;"保育無し")</f>
        <v>0</v>
      </c>
      <c r="BS28" s="20">
        <f t="array" aca="1" ref="BS28" ca="1">IFERROR(IF(BQ28&lt;&gt;0,ADDRESS(ROW(INDIRECT(BQ28)),
    COLUMN(INDIRECT(BQ28)) - 1 +
    MATCH(1,INDEX((LEN(INDIRECT("'シフト一覧（転載）'!"&amp;BQ28&amp;":AK100"))&gt;0)
            *(INDIRECT("'シフト一覧（転載）'!"&amp;BQ28&amp;":AK100")&lt;&gt;"休み"),
            1,0),0)+1,4),0),"")</f>
        <v>0</v>
      </c>
      <c r="BT28" s="20">
        <f t="array" aca="1" ref="BT28" ca="1">IFERROR(IF(BS28&lt;&gt;"",IF(BS28&lt;&gt;0,INDEX(
INDIRECT("'シフト一覧（転載）'!"&amp;BS28&amp;":AK100"),1,
MATCH(1,INDEX((LEN(INDIRECT("'シフト一覧（転載）'!"&amp;BS28&amp;":AK100"))&gt;0)
*(INDIRECT("'シフト一覧（転載）'!"&amp;BS28&amp;":AK100")&lt;&gt;"休み"),1,0),0)),0),""),$F$9&amp;"保育無し")</f>
        <v>0</v>
      </c>
      <c r="BU28" s="20">
        <f t="array" aca="1" ref="BU28" ca="1">IFERROR(IF(BS28&lt;&gt;0,ADDRESS(ROW(INDIRECT(BS28)),
    COLUMN(INDIRECT(BS28)) - 1 +
    MATCH(1,INDEX((LEN(INDIRECT("'シフト一覧（転載）'!"&amp;BS28&amp;":AK100"))&gt;0)
            *(INDIRECT("'シフト一覧（転載）'!"&amp;BS28&amp;":AK100")&lt;&gt;"休み"),
            1,0),0)+1,4),0),"")</f>
        <v>0</v>
      </c>
      <c r="BV28" s="20">
        <f t="array" aca="1" ref="BV28" ca="1">IFERROR(IF(BU28&lt;&gt;"",IF(BU28&lt;&gt;0,INDEX(
INDIRECT("'シフト一覧（転載）'!"&amp;BU28&amp;":AK100"),1,
MATCH(1,INDEX((LEN(INDIRECT("'シフト一覧（転載）'!"&amp;BU28&amp;":AK100"))&gt;0)
*(INDIRECT("'シフト一覧（転載）'!"&amp;BU28&amp;":AK100")&lt;&gt;"休み"),1,0),0)),0),""),$F$9&amp;"保育無し")</f>
        <v>0</v>
      </c>
      <c r="BW28" s="20">
        <f t="array" aca="1" ref="BW28" ca="1">IFERROR(IF(BU28&lt;&gt;0,ADDRESS(ROW(INDIRECT(BU28)),
    COLUMN(INDIRECT(BU28)) - 1 +
    MATCH(1,INDEX((LEN(INDIRECT("'シフト一覧（転載）'!"&amp;BU28&amp;":AK100"))&gt;0)
            *(INDIRECT("'シフト一覧（転載）'!"&amp;BU28&amp;":AK100")&lt;&gt;"休み"),
            1,0),0)+1,4),0),"")</f>
        <v>0</v>
      </c>
      <c r="BX28" s="20">
        <f t="array" aca="1" ref="BX28" ca="1">IFERROR(IF(BW28&lt;&gt;"",IF(BW28&lt;&gt;0,INDEX(
INDIRECT("'シフト一覧（転載）'!"&amp;BW28&amp;":AK100"),1,
MATCH(1,INDEX((LEN(INDIRECT("'シフト一覧（転載）'!"&amp;BW28&amp;":AK100"))&gt;0)
*(INDIRECT("'シフト一覧（転載）'!"&amp;BW28&amp;":AK100")&lt;&gt;"休み"),1,0),0)),0),""),$F$9&amp;"保育無し")</f>
        <v>0</v>
      </c>
      <c r="BY28" s="20">
        <f t="array" aca="1" ref="BY28" ca="1">IFERROR(IF(BW28&lt;&gt;0,ADDRESS(ROW(INDIRECT(BW28)),
    COLUMN(INDIRECT(BW28)) - 1 +
    MATCH(1,INDEX((LEN(INDIRECT("'シフト一覧（転載）'!"&amp;BW28&amp;":AK100"))&gt;0)
            *(INDIRECT("'シフト一覧（転載）'!"&amp;BW28&amp;":AK100")&lt;&gt;"休み"),
            1,0),0)+1,4),0),"")</f>
        <v>0</v>
      </c>
    </row>
    <row r="29" spans="1:77" ht="19.8" customHeight="1" x14ac:dyDescent="0.2">
      <c r="A29" s="43">
        <f>IF(A28&lt;&gt;0,IF($B$9&gt;A28,A28+1,0),0)</f>
        <v>0</v>
      </c>
      <c r="B29" s="48" t="str" cm="1">
        <f t="array" aca="1" ref="B29" ca="1">IFERROR(_xlfn.TEXTJOIN("", TRUE, IF(ISERR(MID(INDIRECT("'Page_" &amp; A29 &amp; "'!C2"), ROW(INDIRECT("1:" &amp; LEN(INDIRECT("'Page_" &amp; A29 &amp; "'!C2")))), 1)*1), MID(INDIRECT("'Page_" &amp; A29 &amp; "'!C2"), ROW(INDIRECT("1:" &amp; LEN(INDIRECT("'Page_" &amp; A29 &amp; "'!C2")))), 1), "")),"")</f>
        <v/>
      </c>
      <c r="C29" s="49" t="str" cm="1">
        <f t="array" aca="1" ref="C29" ca="1">IFERROR(IF(INDIRECT("'Page_" &amp; A29 &amp; "'!E2")&lt;&gt;"",INDIRECT("'Page_" &amp; A29 &amp; "'!E2"),INDIRECT("'Page_" &amp; A29 &amp; "'!D2")),"")</f>
        <v/>
      </c>
      <c r="D29" s="58" t="str" cm="1">
        <f t="array" aca="1" ref="D29" ca="1">IFERROR(IF(INDIRECT("'Page_" &amp; A29 &amp; "'!Q3")&lt;&gt;"",INDIRECT("'Page_" &amp; A29 &amp; "'!Q3"),INDIRECT("'Page_" &amp; A29 &amp; "'!P3")),"")</f>
        <v/>
      </c>
      <c r="E29" s="39">
        <f t="shared" ca="1" si="2"/>
        <v>0</v>
      </c>
      <c r="F29" s="28" t="str">
        <f t="shared" ca="1" si="3"/>
        <v/>
      </c>
      <c r="G29" s="25" t="str">
        <f t="shared" ca="1" si="11"/>
        <v/>
      </c>
      <c r="H29" s="63" t="str" cm="1">
        <f t="array" aca="1" ref="H29" ca="1">IF(B29&lt;&gt;"",IFERROR(INDEX('シフト一覧（転載）'!$C$8:$C$100,
MATCH(1, (ISNUMBER(SEARCH(B29,'シフト一覧（転載）'!$A$8:$A$100)))
*(ISNUMBER(SEARCH($F$9,'シフト一覧（転載）'!$B$8:$B$100))), 0)),""),"")</f>
        <v/>
      </c>
      <c r="I29" s="54" t="str">
        <f t="shared" ca="1" si="12"/>
        <v/>
      </c>
      <c r="J29" s="25" t="str" cm="1">
        <f t="array" aca="1" ref="J29" ca="1">IF(B29&lt;&gt;"",IFERROR(SUM(INDIRECT("'Page_" &amp; A29 &amp; "'!K"&amp;MATCH("有休",INDIRECT("'Page_" &amp; A29 &amp; "'!K:K"),0)+2&amp;"")
+INDIRECT("'Page_" &amp; A29 &amp; "'!L"&amp;MATCH("特休",INDIRECT("'Page_" &amp; A29 &amp; "'!L:L"),0)+2&amp;""))*24,0),"")</f>
        <v/>
      </c>
      <c r="K29" s="59"/>
      <c r="M29" s="104"/>
      <c r="N29" s="102"/>
      <c r="O29" s="107"/>
      <c r="P29" s="21">
        <f t="array" aca="1" ref="P29" ca="1">IFERROR(IF(M28&lt;&gt;"",INDEX('シフト一覧（転載）'!$F$8:$AK$100,
    MATCH(1,(ISNUMBER(SEARCH(M28,'シフト一覧（転載）'!$A$8:$A$100)))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MATCH(1,(ISNUMBER(SEARCH(M28,'シフト一覧（転載）'!$A$8:$A$100)))
                *(ISNUMBER(SEARCH($F$9,'シフト一覧（転載）'!$B$8:$B$100))),
                0),0),0)),0),"")</f>
        <v>0</v>
      </c>
      <c r="Q29" s="21">
        <f ca="1">IF(P28=0,0,
IF(OR(P28="",COUNTIF(P28,"*保育無し*")),"",
IF(MOD(P29-P28,1)*24&gt;=8,1,
IF(MOD(P29-P28,1)*24&gt;=6,0.75,0))))</f>
        <v>0</v>
      </c>
      <c r="R29" s="21">
        <f t="array" aca="1" ref="R29" ca="1">IFERROR(IF(Q28&lt;&gt;0,INDEX(
INDIRECT("'シフト一覧（転載）'!"&amp;Q28&amp;":AK100"),1+1,
MATCH(1,INDEX((LEN(INDIRECT("'シフト一覧（転載）'!"&amp;Q28&amp;":AK100"))&gt;0)
*(INDIRECT("'シフト一覧（転載）'!"&amp;Q28&amp;":AK100")&lt;&gt;"休み"),1,0),0)),0),"")</f>
        <v>0</v>
      </c>
      <c r="S29" s="21">
        <f ca="1">IF(R28=0,0,
IF(OR(R28="",COUNTIF(R28,"*保育無し*")),"",
IF(MOD(R29-R28,1)*24&gt;=8,1,
IF(MOD(R29-R28,1)*24&gt;=6,0.75,0))))</f>
        <v>0</v>
      </c>
      <c r="T29" s="21">
        <f t="array" aca="1" ref="T29" ca="1">IFERROR(IF(S28&lt;&gt;0,INDEX(
INDIRECT("'シフト一覧（転載）'!"&amp;S28&amp;":AK100"),1+1,
MATCH(1,INDEX((LEN(INDIRECT("'シフト一覧（転載）'!"&amp;S28&amp;":AK100"))&gt;0)
*(INDIRECT("'シフト一覧（転載）'!"&amp;S28&amp;":AK100")&lt;&gt;"休み"),1,0),0)),0),"")</f>
        <v>0</v>
      </c>
      <c r="U29" s="21">
        <f ca="1">IF(T28=0,0,
IF(OR(T28="",COUNTIF(T28,"*保育無し*")),"",
IF(MOD(T29-T28,1)*24&gt;=8,1,
IF(MOD(T29-T28,1)*24&gt;=6,0.75,0))))</f>
        <v>0</v>
      </c>
      <c r="V29" s="21">
        <f t="array" aca="1" ref="V29" ca="1">IFERROR(IF(U28&lt;&gt;0,INDEX(
INDIRECT("'シフト一覧（転載）'!"&amp;U28&amp;":AK100"),1+1,
MATCH(1,INDEX((LEN(INDIRECT("'シフト一覧（転載）'!"&amp;U28&amp;":AK100"))&gt;0)
*(INDIRECT("'シフト一覧（転載）'!"&amp;U28&amp;":AK100")&lt;&gt;"休み"),1,0),0)),0),"")</f>
        <v>0</v>
      </c>
      <c r="W29" s="21">
        <f ca="1">IF(V28=0,0,
IF(OR(V28="",COUNTIF(V28,"*保育無し*")),"",
IF(MOD(V29-V28,1)*24&gt;=8,1,
IF(MOD(V29-V28,1)*24&gt;=6,0.75,0))))</f>
        <v>0</v>
      </c>
      <c r="X29" s="21">
        <f t="array" aca="1" ref="X29" ca="1">IFERROR(IF(W28&lt;&gt;0,INDEX(
INDIRECT("'シフト一覧（転載）'!"&amp;W28&amp;":AK100"),1+1,
MATCH(1,INDEX((LEN(INDIRECT("'シフト一覧（転載）'!"&amp;W28&amp;":AK100"))&gt;0)
*(INDIRECT("'シフト一覧（転載）'!"&amp;W28&amp;":AK100")&lt;&gt;"休み"),1,0),0)),0),"")</f>
        <v>0</v>
      </c>
      <c r="Y29" s="21">
        <f ca="1">IF(X28=0,0,
IF(OR(X28="",COUNTIF(X28,"*保育無し*")),"",
IF(MOD(X29-X28,1)*24&gt;=8,1,
IF(MOD(X29-X28,1)*24&gt;=6,0.75,0))))</f>
        <v>0</v>
      </c>
      <c r="Z29" s="21">
        <f t="array" aca="1" ref="Z29" ca="1">IFERROR(IF(Y28&lt;&gt;0,INDEX(
INDIRECT("'シフト一覧（転載）'!"&amp;Y28&amp;":AK100"),1+1,
MATCH(1,INDEX((LEN(INDIRECT("'シフト一覧（転載）'!"&amp;Y28&amp;":AK100"))&gt;0)
*(INDIRECT("'シフト一覧（転載）'!"&amp;Y28&amp;":AK100")&lt;&gt;"休み"),1,0),0)),0),"")</f>
        <v>0</v>
      </c>
      <c r="AA29" s="21">
        <f ca="1">IF(Z28=0,0,
IF(OR(Z28="",COUNTIF(Z28,"*保育無し*")),"",
IF(MOD(Z29-Z28,1)*24&gt;=8,1,
IF(MOD(Z29-Z28,1)*24&gt;=6,0.75,0))))</f>
        <v>0</v>
      </c>
      <c r="AB29" s="21">
        <f t="array" aca="1" ref="AB29" ca="1">IFERROR(IF(AA28&lt;&gt;0,INDEX(
INDIRECT("'シフト一覧（転載）'!"&amp;AA28&amp;":AK100"),1+1,
MATCH(1,INDEX((LEN(INDIRECT("'シフト一覧（転載）'!"&amp;AA28&amp;":AK100"))&gt;0)
*(INDIRECT("'シフト一覧（転載）'!"&amp;AA28&amp;":AK100")&lt;&gt;"休み"),1,0),0)),0),"")</f>
        <v>0</v>
      </c>
      <c r="AC29" s="21">
        <f ca="1">IF(AB28=0,0,
IF(OR(AB28="",COUNTIF(AB28,"*保育無し*")),"",
IF(MOD(AB29-AB28,1)*24&gt;=8,1,
IF(MOD(AB29-AB28,1)*24&gt;=6,0.75,0))))</f>
        <v>0</v>
      </c>
      <c r="AD29" s="21">
        <f t="array" aca="1" ref="AD29" ca="1">IFERROR(IF(AC28&lt;&gt;0,INDEX(
INDIRECT("'シフト一覧（転載）'!"&amp;AC28&amp;":AK100"),1+1,
MATCH(1,INDEX((LEN(INDIRECT("'シフト一覧（転載）'!"&amp;AC28&amp;":AK100"))&gt;0)
*(INDIRECT("'シフト一覧（転載）'!"&amp;AC28&amp;":AK100")&lt;&gt;"休み"),1,0),0)),0),"")</f>
        <v>0</v>
      </c>
      <c r="AE29" s="21">
        <f ca="1">IF(AD28=0,0,
IF(OR(AD28="",COUNTIF(AD28,"*保育無し*")),"",
IF(MOD(AD29-AD28,1)*24&gt;=8,1,
IF(MOD(AD29-AD28,1)*24&gt;=6,0.75,0))))</f>
        <v>0</v>
      </c>
      <c r="AF29" s="21">
        <f t="array" aca="1" ref="AF29" ca="1">IFERROR(IF(AE28&lt;&gt;0,INDEX(
INDIRECT("'シフト一覧（転載）'!"&amp;AE28&amp;":AK100"),1+1,
MATCH(1,INDEX((LEN(INDIRECT("'シフト一覧（転載）'!"&amp;AE28&amp;":AK100"))&gt;0)
*(INDIRECT("'シフト一覧（転載）'!"&amp;AE28&amp;":AK100")&lt;&gt;"休み"),1,0),0)),0),"")</f>
        <v>0</v>
      </c>
      <c r="AG29" s="21">
        <f ca="1">IF(AF28=0,0,
IF(OR(AF28="",COUNTIF(AF28,"*保育無し*")),"",
IF(MOD(AF29-AF28,1)*24&gt;=8,1,
IF(MOD(AF29-AF28,1)*24&gt;=6,0.75,0))))</f>
        <v>0</v>
      </c>
      <c r="AH29" s="21">
        <f t="array" aca="1" ref="AH29" ca="1">IFERROR(IF(AG28&lt;&gt;0,INDEX(
INDIRECT("'シフト一覧（転載）'!"&amp;AG28&amp;":AK100"),1+1,
MATCH(1,INDEX((LEN(INDIRECT("'シフト一覧（転載）'!"&amp;AG28&amp;":AK100"))&gt;0)
*(INDIRECT("'シフト一覧（転載）'!"&amp;AG28&amp;":AK100")&lt;&gt;"休み"),1,0),0)),0),"")</f>
        <v>0</v>
      </c>
      <c r="AI29" s="21">
        <f ca="1">IF(AH28=0,0,
IF(OR(AH28="",COUNTIF(AH28,"*保育無し*")),"",
IF(MOD(AH29-AH28,1)*24&gt;=8,1,
IF(MOD(AH29-AH28,1)*24&gt;=6,0.75,0))))</f>
        <v>0</v>
      </c>
      <c r="AJ29" s="21">
        <f t="array" aca="1" ref="AJ29" ca="1">IFERROR(IF(AI28&lt;&gt;0,INDEX(
INDIRECT("'シフト一覧（転載）'!"&amp;AI28&amp;":AK100"),1+1,
MATCH(1,INDEX((LEN(INDIRECT("'シフト一覧（転載）'!"&amp;AI28&amp;":AK100"))&gt;0)
*(INDIRECT("'シフト一覧（転載）'!"&amp;AI28&amp;":AK100")&lt;&gt;"休み"),1,0),0)),0),"")</f>
        <v>0</v>
      </c>
      <c r="AK29" s="21">
        <f ca="1">IF(AJ28=0,0,
IF(OR(AJ28="",COUNTIF(AJ28,"*保育無し*")),"",
IF(MOD(AJ29-AJ28,1)*24&gt;=8,1,
IF(MOD(AJ29-AJ28,1)*24&gt;=6,0.75,0))))</f>
        <v>0</v>
      </c>
      <c r="AL29" s="21">
        <f t="array" aca="1" ref="AL29" ca="1">IFERROR(IF(AK28&lt;&gt;0,INDEX(
INDIRECT("'シフト一覧（転載）'!"&amp;AK28&amp;":AK100"),1+1,
MATCH(1,INDEX((LEN(INDIRECT("'シフト一覧（転載）'!"&amp;AK28&amp;":AK100"))&gt;0)
*(INDIRECT("'シフト一覧（転載）'!"&amp;AK28&amp;":AK100")&lt;&gt;"休み"),1,0),0)),0),"")</f>
        <v>0</v>
      </c>
      <c r="AM29" s="21">
        <f ca="1">IF(AL28=0,0,
IF(OR(AL28="",COUNTIF(AL28,"*保育無し*")),"",
IF(MOD(AL29-AL28,1)*24&gt;=8,1,
IF(MOD(AL29-AL28,1)*24&gt;=6,0.75,0))))</f>
        <v>0</v>
      </c>
      <c r="AN29" s="21">
        <f t="array" aca="1" ref="AN29" ca="1">IFERROR(IF(AM28&lt;&gt;0,INDEX(
INDIRECT("'シフト一覧（転載）'!"&amp;AM28&amp;":AK100"),1+1,
MATCH(1,INDEX((LEN(INDIRECT("'シフト一覧（転載）'!"&amp;AM28&amp;":AK100"))&gt;0)
*(INDIRECT("'シフト一覧（転載）'!"&amp;AM28&amp;":AK100")&lt;&gt;"休み"),1,0),0)),0),"")</f>
        <v>0</v>
      </c>
      <c r="AO29" s="21">
        <f ca="1">IF(AN28=0,0,
IF(OR(AN28="",COUNTIF(AN28,"*保育無し*")),"",
IF(MOD(AN29-AN28,1)*24&gt;=8,1,
IF(MOD(AN29-AN28,1)*24&gt;=6,0.75,0))))</f>
        <v>0</v>
      </c>
      <c r="AP29" s="21">
        <f t="array" aca="1" ref="AP29" ca="1">IFERROR(IF(AO28&lt;&gt;0,INDEX(
INDIRECT("'シフト一覧（転載）'!"&amp;AO28&amp;":AK100"),1+1,
MATCH(1,INDEX((LEN(INDIRECT("'シフト一覧（転載）'!"&amp;AO28&amp;":AK100"))&gt;0)
*(INDIRECT("'シフト一覧（転載）'!"&amp;AO28&amp;":AK100")&lt;&gt;"休み"),1,0),0)),0),"")</f>
        <v>0</v>
      </c>
      <c r="AQ29" s="21">
        <f ca="1">IF(AP28=0,0,
IF(OR(AP28="",COUNTIF(AP28,"*保育無し*")),"",
IF(MOD(AP29-AP28,1)*24&gt;=8,1,
IF(MOD(AP29-AP28,1)*24&gt;=6,0.75,0))))</f>
        <v>0</v>
      </c>
      <c r="AR29" s="21">
        <f t="array" aca="1" ref="AR29" ca="1">IFERROR(IF(AQ28&lt;&gt;0,INDEX(
INDIRECT("'シフト一覧（転載）'!"&amp;AQ28&amp;":AK100"),1+1,
MATCH(1,INDEX((LEN(INDIRECT("'シフト一覧（転載）'!"&amp;AQ28&amp;":AK100"))&gt;0)
*(INDIRECT("'シフト一覧（転載）'!"&amp;AQ28&amp;":AK100")&lt;&gt;"休み"),1,0),0)),0),"")</f>
        <v>0</v>
      </c>
      <c r="AS29" s="21">
        <f ca="1">IF(AR28=0,0,
IF(OR(AR28="",COUNTIF(AR28,"*保育無し*")),"",
IF(MOD(AR29-AR28,1)*24&gt;=8,1,
IF(MOD(AR29-AR28,1)*24&gt;=6,0.75,0))))</f>
        <v>0</v>
      </c>
      <c r="AT29" s="21">
        <f t="array" aca="1" ref="AT29" ca="1">IFERROR(IF(AS28&lt;&gt;0,INDEX(
INDIRECT("'シフト一覧（転載）'!"&amp;AS28&amp;":AK100"),1+1,
MATCH(1,INDEX((LEN(INDIRECT("'シフト一覧（転載）'!"&amp;AS28&amp;":AK100"))&gt;0)
*(INDIRECT("'シフト一覧（転載）'!"&amp;AS28&amp;":AK100")&lt;&gt;"休み"),1,0),0)),0),"")</f>
        <v>0</v>
      </c>
      <c r="AU29" s="21">
        <f ca="1">IF(AT28=0,0,
IF(OR(AT28="",COUNTIF(AT28,"*保育無し*")),"",
IF(MOD(AT29-AT28,1)*24&gt;=8,1,
IF(MOD(AT29-AT28,1)*24&gt;=6,0.75,0))))</f>
        <v>0</v>
      </c>
      <c r="AV29" s="21">
        <f t="array" aca="1" ref="AV29" ca="1">IFERROR(IF(AU28&lt;&gt;0,INDEX(
INDIRECT("'シフト一覧（転載）'!"&amp;AU28&amp;":AK100"),1+1,
MATCH(1,INDEX((LEN(INDIRECT("'シフト一覧（転載）'!"&amp;AU28&amp;":AK100"))&gt;0)
*(INDIRECT("'シフト一覧（転載）'!"&amp;AU28&amp;":AK100")&lt;&gt;"休み"),1,0),0)),0),"")</f>
        <v>0</v>
      </c>
      <c r="AW29" s="21">
        <f ca="1">IF(AV28=0,0,
IF(OR(AV28="",COUNTIF(AV28,"*保育無し*")),"",
IF(MOD(AV29-AV28,1)*24&gt;=8,1,
IF(MOD(AV29-AV28,1)*24&gt;=6,0.75,0))))</f>
        <v>0</v>
      </c>
      <c r="AX29" s="21">
        <f t="array" aca="1" ref="AX29" ca="1">IFERROR(IF(AW28&lt;&gt;0,INDEX(
INDIRECT("'シフト一覧（転載）'!"&amp;AW28&amp;":AK100"),1+1,
MATCH(1,INDEX((LEN(INDIRECT("'シフト一覧（転載）'!"&amp;AW28&amp;":AK100"))&gt;0)
*(INDIRECT("'シフト一覧（転載）'!"&amp;AW28&amp;":AK100")&lt;&gt;"休み"),1,0),0)),0),"")</f>
        <v>0</v>
      </c>
      <c r="AY29" s="21">
        <f ca="1">IF(AX28=0,0,
IF(OR(AX28="",COUNTIF(AX28,"*保育無し*")),"",
IF(MOD(AX29-AX28,1)*24&gt;=8,1,
IF(MOD(AX29-AX28,1)*24&gt;=6,0.75,0))))</f>
        <v>0</v>
      </c>
      <c r="AZ29" s="21">
        <f t="array" aca="1" ref="AZ29" ca="1">IFERROR(IF(AY28&lt;&gt;0,INDEX(
INDIRECT("'シフト一覧（転載）'!"&amp;AY28&amp;":AK100"),1+1,
MATCH(1,INDEX((LEN(INDIRECT("'シフト一覧（転載）'!"&amp;AY28&amp;":AK100"))&gt;0)
*(INDIRECT("'シフト一覧（転載）'!"&amp;AY28&amp;":AK100")&lt;&gt;"休み"),1,0),0)),0),"")</f>
        <v>0</v>
      </c>
      <c r="BA29" s="21">
        <f ca="1">IF(AZ28=0,0,
IF(OR(AZ28="",COUNTIF(AZ28,"*保育無し*")),"",
IF(MOD(AZ29-AZ28,1)*24&gt;=8,1,
IF(MOD(AZ29-AZ28,1)*24&gt;=6,0.75,0))))</f>
        <v>0</v>
      </c>
      <c r="BB29" s="21">
        <f t="array" aca="1" ref="BB29" ca="1">IFERROR(IF(BA28&lt;&gt;0,INDEX(
INDIRECT("'シフト一覧（転載）'!"&amp;BA28&amp;":AK100"),1+1,
MATCH(1,INDEX((LEN(INDIRECT("'シフト一覧（転載）'!"&amp;BA28&amp;":AK100"))&gt;0)
*(INDIRECT("'シフト一覧（転載）'!"&amp;BA28&amp;":AK100")&lt;&gt;"休み"),1,0),0)),0),"")</f>
        <v>0</v>
      </c>
      <c r="BC29" s="21">
        <f ca="1">IF(BB28=0,0,
IF(OR(BB28="",COUNTIF(BB28,"*保育無し*")),"",
IF(MOD(BB29-BB28,1)*24&gt;=8,1,
IF(MOD(BB29-BB28,1)*24&gt;=6,0.75,0))))</f>
        <v>0</v>
      </c>
      <c r="BD29" s="21">
        <f t="array" aca="1" ref="BD29" ca="1">IFERROR(IF(BC28&lt;&gt;0,INDEX(
INDIRECT("'シフト一覧（転載）'!"&amp;BC28&amp;":AK100"),1+1,
MATCH(1,INDEX((LEN(INDIRECT("'シフト一覧（転載）'!"&amp;BC28&amp;":AK100"))&gt;0)
*(INDIRECT("'シフト一覧（転載）'!"&amp;BC28&amp;":AK100")&lt;&gt;"休み"),1,0),0)),0),"")</f>
        <v>0</v>
      </c>
      <c r="BE29" s="21">
        <f ca="1">IF(BD28=0,0,
IF(OR(BD28="",COUNTIF(BD28,"*保育無し*")),"",
IF(MOD(BD29-BD28,1)*24&gt;=8,1,
IF(MOD(BD29-BD28,1)*24&gt;=6,0.75,0))))</f>
        <v>0</v>
      </c>
      <c r="BF29" s="21">
        <f t="array" aca="1" ref="BF29" ca="1">IFERROR(IF(BE28&lt;&gt;0,INDEX(
INDIRECT("'シフト一覧（転載）'!"&amp;BE28&amp;":AK100"),1+1,
MATCH(1,INDEX((LEN(INDIRECT("'シフト一覧（転載）'!"&amp;BE28&amp;":AK100"))&gt;0)
*(INDIRECT("'シフト一覧（転載）'!"&amp;BE28&amp;":AK100")&lt;&gt;"休み"),1,0),0)),0),"")</f>
        <v>0</v>
      </c>
      <c r="BG29" s="21">
        <f ca="1">IF(BF28=0,0,
IF(OR(BF28="",COUNTIF(BF28,"*保育無し*")),"",
IF(MOD(BF29-BF28,1)*24&gt;=8,1,
IF(MOD(BF29-BF28,1)*24&gt;=6,0.75,0))))</f>
        <v>0</v>
      </c>
      <c r="BH29" s="21">
        <f t="array" aca="1" ref="BH29" ca="1">IFERROR(IF(BG28&lt;&gt;0,INDEX(
INDIRECT("'シフト一覧（転載）'!"&amp;BG28&amp;":AK100"),1+1,
MATCH(1,INDEX((LEN(INDIRECT("'シフト一覧（転載）'!"&amp;BG28&amp;":AK100"))&gt;0)
*(INDIRECT("'シフト一覧（転載）'!"&amp;BG28&amp;":AK100")&lt;&gt;"休み"),1,0),0)),0),"")</f>
        <v>0</v>
      </c>
      <c r="BI29" s="21">
        <f ca="1">IF(BH28=0,0,
IF(OR(BH28="",COUNTIF(BH28,"*保育無し*")),"",
IF(MOD(BH29-BH28,1)*24&gt;=8,1,
IF(MOD(BH29-BH28,1)*24&gt;=6,0.75,0))))</f>
        <v>0</v>
      </c>
      <c r="BJ29" s="21">
        <f t="array" aca="1" ref="BJ29" ca="1">IFERROR(IF(BI28&lt;&gt;0,INDEX(
INDIRECT("'シフト一覧（転載）'!"&amp;BI28&amp;":AK100"),1+1,
MATCH(1,INDEX((LEN(INDIRECT("'シフト一覧（転載）'!"&amp;BI28&amp;":AK100"))&gt;0)
*(INDIRECT("'シフト一覧（転載）'!"&amp;BI28&amp;":AK100")&lt;&gt;"休み"),1,0),0)),0),"")</f>
        <v>0</v>
      </c>
      <c r="BK29" s="21">
        <f ca="1">IF(BJ28=0,0,
IF(OR(BJ28="",COUNTIF(BJ28,"*保育無し*")),"",
IF(MOD(BJ29-BJ28,1)*24&gt;=8,1,
IF(MOD(BJ29-BJ28,1)*24&gt;=6,0.75,0))))</f>
        <v>0</v>
      </c>
      <c r="BL29" s="21">
        <f t="array" aca="1" ref="BL29" ca="1">IFERROR(IF(BK28&lt;&gt;0,INDEX(
INDIRECT("'シフト一覧（転載）'!"&amp;BK28&amp;":AK100"),1+1,
MATCH(1,INDEX((LEN(INDIRECT("'シフト一覧（転載）'!"&amp;BK28&amp;":AK100"))&gt;0)
*(INDIRECT("'シフト一覧（転載）'!"&amp;BK28&amp;":AK100")&lt;&gt;"休み"),1,0),0)),0),"")</f>
        <v>0</v>
      </c>
      <c r="BM29" s="21">
        <f ca="1">IF(BL28=0,0,
IF(OR(BL28="",COUNTIF(BL28,"*保育無し*")),"",
IF(MOD(BL29-BL28,1)*24&gt;=8,1,
IF(MOD(BL29-BL28,1)*24&gt;=6,0.75,0))))</f>
        <v>0</v>
      </c>
      <c r="BN29" s="21">
        <f t="array" aca="1" ref="BN29" ca="1">IFERROR(IF(BM28&lt;&gt;0,INDEX(
INDIRECT("'シフト一覧（転載）'!"&amp;BM28&amp;":AK100"),1+1,
MATCH(1,INDEX((LEN(INDIRECT("'シフト一覧（転載）'!"&amp;BM28&amp;":AK100"))&gt;0)
*(INDIRECT("'シフト一覧（転載）'!"&amp;BM28&amp;":AK100")&lt;&gt;"休み"),1,0),0)),0),"")</f>
        <v>0</v>
      </c>
      <c r="BO29" s="21">
        <f ca="1">IF(BN28=0,0,
IF(OR(BN28="",COUNTIF(BN28,"*保育無し*")),"",
IF(MOD(BN29-BN28,1)*24&gt;=8,1,
IF(MOD(BN29-BN28,1)*24&gt;=6,0.75,0))))</f>
        <v>0</v>
      </c>
      <c r="BP29" s="21">
        <f t="array" aca="1" ref="BP29" ca="1">IFERROR(IF(BO28&lt;&gt;0,INDEX(
INDIRECT("'シフト一覧（転載）'!"&amp;BO28&amp;":AK100"),1+1,
MATCH(1,INDEX((LEN(INDIRECT("'シフト一覧（転載）'!"&amp;BO28&amp;":AK100"))&gt;0)
*(INDIRECT("'シフト一覧（転載）'!"&amp;BO28&amp;":AK100")&lt;&gt;"休み"),1,0),0)),0),"")</f>
        <v>0</v>
      </c>
      <c r="BQ29" s="21">
        <f ca="1">IF(BP28=0,0,
IF(OR(BP28="",COUNTIF(BP28,"*保育無し*")),"",
IF(MOD(BP29-BP28,1)*24&gt;=8,1,
IF(MOD(BP29-BP28,1)*24&gt;=6,0.75,0))))</f>
        <v>0</v>
      </c>
      <c r="BR29" s="21">
        <f t="array" aca="1" ref="BR29" ca="1">IFERROR(IF(BQ28&lt;&gt;0,INDEX(
INDIRECT("'シフト一覧（転載）'!"&amp;BQ28&amp;":AK100"),1+1,
MATCH(1,INDEX((LEN(INDIRECT("'シフト一覧（転載）'!"&amp;BQ28&amp;":AK100"))&gt;0)
*(INDIRECT("'シフト一覧（転載）'!"&amp;BQ28&amp;":AK100")&lt;&gt;"休み"),1,0),0)),0),"")</f>
        <v>0</v>
      </c>
      <c r="BS29" s="21">
        <f ca="1">IF(BR28=0,0,
IF(OR(BR28="",COUNTIF(BR28,"*保育無し*")),"",
IF(MOD(BR29-BR28,1)*24&gt;=8,1,
IF(MOD(BR29-BR28,1)*24&gt;=6,0.75,0))))</f>
        <v>0</v>
      </c>
      <c r="BT29" s="21">
        <f t="array" aca="1" ref="BT29" ca="1">IFERROR(IF(BS28&lt;&gt;0,INDEX(
INDIRECT("'シフト一覧（転載）'!"&amp;BS28&amp;":AK100"),1+1,
MATCH(1,INDEX((LEN(INDIRECT("'シフト一覧（転載）'!"&amp;BS28&amp;":AK100"))&gt;0)
*(INDIRECT("'シフト一覧（転載）'!"&amp;BS28&amp;":AK100")&lt;&gt;"休み"),1,0),0)),0),"")</f>
        <v>0</v>
      </c>
      <c r="BU29" s="21">
        <f ca="1">IF(BT28=0,0,
IF(OR(BT28="",COUNTIF(BT28,"*保育無し*")),"",
IF(MOD(BT29-BT28,1)*24&gt;=8,1,
IF(MOD(BT29-BT28,1)*24&gt;=6,0.75,0))))</f>
        <v>0</v>
      </c>
      <c r="BV29" s="21">
        <f t="array" aca="1" ref="BV29" ca="1">IFERROR(IF(BU28&lt;&gt;0,INDEX(
INDIRECT("'シフト一覧（転載）'!"&amp;BU28&amp;":AK100"),1+1,
MATCH(1,INDEX((LEN(INDIRECT("'シフト一覧（転載）'!"&amp;BU28&amp;":AK100"))&gt;0)
*(INDIRECT("'シフト一覧（転載）'!"&amp;BU28&amp;":AK100")&lt;&gt;"休み"),1,0),0)),0),"")</f>
        <v>0</v>
      </c>
      <c r="BW29" s="21">
        <f ca="1">IF(BV28=0,0,
IF(OR(BV28="",COUNTIF(BV28,"*保育無し*")),"",
IF(MOD(BV29-BV28,1)*24&gt;=8,1,
IF(MOD(BV29-BV28,1)*24&gt;=6,0.75,0))))</f>
        <v>0</v>
      </c>
      <c r="BX29" s="21">
        <f t="array" aca="1" ref="BX29" ca="1">IFERROR(IF(BW28&lt;&gt;0,INDEX(
INDIRECT("'シフト一覧（転載）'!"&amp;BW28&amp;":AK100"),1+1,
MATCH(1,INDEX((LEN(INDIRECT("'シフト一覧（転載）'!"&amp;BW28&amp;":AK100"))&gt;0)
*(INDIRECT("'シフト一覧（転載）'!"&amp;BW28&amp;":AK100")&lt;&gt;"休み"),1,0),0)),0),"")</f>
        <v>0</v>
      </c>
      <c r="BY29" s="21">
        <f ca="1">IF(BX28=0,0,
IF(OR(BX28="",COUNTIF(BX28,"*保育無し*")),"",
IF(MOD(BX29-BX28,1)*24&gt;=8,1,
IF(MOD(BX29-BX28,1)*24&gt;=6,0.75,0))))</f>
        <v>0</v>
      </c>
    </row>
    <row r="30" spans="1:77" ht="19.8" customHeight="1" x14ac:dyDescent="0.2">
      <c r="A30" s="43">
        <f>IF(A29&lt;&gt;0,IF($B$9&gt;A29,A29+1,0),0)</f>
        <v>0</v>
      </c>
      <c r="B30" s="48" t="str" cm="1">
        <f t="array" aca="1" ref="B30" ca="1">IFERROR(_xlfn.TEXTJOIN("", TRUE, IF(ISERR(MID(INDIRECT("'Page_" &amp; A30 &amp; "'!C2"), ROW(INDIRECT("1:" &amp; LEN(INDIRECT("'Page_" &amp; A30 &amp; "'!C2")))), 1)*1), MID(INDIRECT("'Page_" &amp; A30 &amp; "'!C2"), ROW(INDIRECT("1:" &amp; LEN(INDIRECT("'Page_" &amp; A30 &amp; "'!C2")))), 1), "")),"")</f>
        <v/>
      </c>
      <c r="C30" s="49" t="str" cm="1">
        <f t="array" aca="1" ref="C30" ca="1">IFERROR(IF(INDIRECT("'Page_" &amp; A30 &amp; "'!E2")&lt;&gt;"",INDIRECT("'Page_" &amp; A30 &amp; "'!E2"),INDIRECT("'Page_" &amp; A30 &amp; "'!D2")),"")</f>
        <v/>
      </c>
      <c r="D30" s="58" t="str" cm="1">
        <f t="array" aca="1" ref="D30" ca="1">IFERROR(IF(INDIRECT("'Page_" &amp; A30 &amp; "'!Q3")&lt;&gt;"",INDIRECT("'Page_" &amp; A30 &amp; "'!Q3"),INDIRECT("'Page_" &amp; A30 &amp; "'!P3")),"")</f>
        <v/>
      </c>
      <c r="E30" s="39">
        <f t="shared" ca="1" si="2"/>
        <v>0</v>
      </c>
      <c r="F30" s="28" t="str">
        <f t="shared" ca="1" si="3"/>
        <v/>
      </c>
      <c r="G30" s="25" t="str">
        <f t="shared" ca="1" si="11"/>
        <v/>
      </c>
      <c r="H30" s="63" t="str" cm="1">
        <f t="array" aca="1" ref="H30" ca="1">IF(B30&lt;&gt;"",IFERROR(INDEX('シフト一覧（転載）'!$C$8:$C$100,
MATCH(1, (ISNUMBER(SEARCH(B30,'シフト一覧（転載）'!$A$8:$A$100)))
*(ISNUMBER(SEARCH($F$9,'シフト一覧（転載）'!$B$8:$B$100))), 0)),""),"")</f>
        <v/>
      </c>
      <c r="I30" s="54" t="str">
        <f t="shared" ca="1" si="12"/>
        <v/>
      </c>
      <c r="J30" s="25" t="str" cm="1">
        <f t="array" aca="1" ref="J30" ca="1">IF(B30&lt;&gt;"",IFERROR(SUM(INDIRECT("'Page_" &amp; A30 &amp; "'!K"&amp;MATCH("有休",INDIRECT("'Page_" &amp; A30 &amp; "'!K:K"),0)+2&amp;"")
+INDIRECT("'Page_" &amp; A30 &amp; "'!L"&amp;MATCH("特休",INDIRECT("'Page_" &amp; A30 &amp; "'!L:L"),0)+2&amp;""))*24,0),"")</f>
        <v/>
      </c>
      <c r="K30" s="59"/>
      <c r="M30" s="103" t="str" cm="1">
        <f t="array" aca="1" ref="M3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0" s="101" t="str">
        <f t="shared" ref="N30" ca="1" si="14">IF(M30&lt;&gt;"",VLOOKUP(M30,$B$12:$C$41,2,FALSE),"")</f>
        <v/>
      </c>
      <c r="O30" s="106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20">
        <f t="array" aca="1" ref="P30" ca="1">IFERROR(IF(M30&lt;&gt;"",INDEX('シフト一覧（転載）'!$F$8:$AK$100,
    MATCH(1,(ISNUMBER(SEARCH(M30,'シフト一覧（転載）'!$A$8:$A$100)))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MATCH(1,(ISNUMBER(SEARCH(M30,'シフト一覧（転載）'!$A$8:$A$100)))
                *(ISNUMBER(SEARCH($F$9,'シフト一覧（転載）'!$B$8:$B$100))),
                0),0),0)),0),$F$9&amp;"保育無し")</f>
        <v>0</v>
      </c>
      <c r="Q30" s="20">
        <f t="array" aca="1" ref="Q30" ca="1">IFERROR(IF(COUNTIF(P30,"*無*"),"",IF(M30&lt;&gt;"",ADDRESS(
    MATCH(1,(ISNUMBER(SEARCH(M30,'シフト一覧（転載）'!$A$8:$A$100)))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MATCH(1,(ISNUMBER(SEARCH(M30,'シフト一覧（転載）'!$A$8:$A$100)))
                *(ISNUMBER(SEARCH($F$9,'シフト一覧（転載）'!$B$8:$B$100))),0),0),0) + 6,4),0)),0)</f>
        <v>0</v>
      </c>
      <c r="R30" s="20" cm="1">
        <f t="array" aca="1" ref="R30" ca="1">IFERROR(IF(Q30&lt;&gt;"",IF(Q30&lt;&gt;0,INDEX(
INDIRECT("'シフト一覧（転載）'!"&amp;Q30&amp;":AK100"),1,
MATCH(1,INDEX((LEN(INDIRECT("'シフト一覧（転載）'!"&amp;Q30&amp;":AK100"))&gt;0)
*(INDIRECT("'シフト一覧（転載）'!"&amp;Q30&amp;":AK100")&lt;&gt;"休み"),1,0),0)),0),""),$F$9&amp;"保育無し")</f>
        <v>0</v>
      </c>
      <c r="S30" s="20">
        <f t="array" aca="1" ref="S30" ca="1">IFERROR(IF(Q30&lt;&gt;0,ADDRESS(ROW(INDIRECT(Q30)),
    COLUMN(INDIRECT(Q30)) - 1 +
    MATCH(1,INDEX((LEN(INDIRECT("'シフト一覧（転載）'!"&amp;Q30&amp;":AK100"))&gt;0)
            *(INDIRECT("'シフト一覧（転載）'!"&amp;Q30&amp;":AK100")&lt;&gt;"休み"),
            1,0),0)+1,4),0),"")</f>
        <v>0</v>
      </c>
      <c r="T30" s="20">
        <f t="array" aca="1" ref="T30" ca="1">IFERROR(IF(S30&lt;&gt;"",IF(S30&lt;&gt;0,INDEX(
INDIRECT("'シフト一覧（転載）'!"&amp;S30&amp;":AK100"),1,
MATCH(1,INDEX((LEN(INDIRECT("'シフト一覧（転載）'!"&amp;S30&amp;":AK100"))&gt;0)
*(INDIRECT("'シフト一覧（転載）'!"&amp;S30&amp;":AK100")&lt;&gt;"休み"),1,0),0)),0),""),$F$9&amp;"保育無し")</f>
        <v>0</v>
      </c>
      <c r="U30" s="20">
        <f t="array" aca="1" ref="U30" ca="1">IFERROR(IF(S30&lt;&gt;0,ADDRESS(ROW(INDIRECT(S30)),
    COLUMN(INDIRECT(S30)) - 1 +
    MATCH(1,INDEX((LEN(INDIRECT("'シフト一覧（転載）'!"&amp;S30&amp;":AK100"))&gt;0)
            *(INDIRECT("'シフト一覧（転載）'!"&amp;S30&amp;":AK100")&lt;&gt;"休み"),
            1,0),0)+1,4),0),"")</f>
        <v>0</v>
      </c>
      <c r="V30" s="20">
        <f t="array" aca="1" ref="V30" ca="1">IFERROR(IF(U30&lt;&gt;"",IF(U30&lt;&gt;0,INDEX(
INDIRECT("'シフト一覧（転載）'!"&amp;U30&amp;":AK100"),1,
MATCH(1,INDEX((LEN(INDIRECT("'シフト一覧（転載）'!"&amp;U30&amp;":AK100"))&gt;0)
*(INDIRECT("'シフト一覧（転載）'!"&amp;U30&amp;":AK100")&lt;&gt;"休み"),1,0),0)),0),""),$F$9&amp;"保育無し")</f>
        <v>0</v>
      </c>
      <c r="W30" s="20">
        <f t="array" aca="1" ref="W30" ca="1">IFERROR(IF(U30&lt;&gt;0,ADDRESS(ROW(INDIRECT(U30)),
    COLUMN(INDIRECT(U30)) - 1 +
    MATCH(1,INDEX((LEN(INDIRECT("'シフト一覧（転載）'!"&amp;U30&amp;":AK100"))&gt;0)
            *(INDIRECT("'シフト一覧（転載）'!"&amp;U30&amp;":AK100")&lt;&gt;"休み"),
            1,0),0)+1,4),0),"")</f>
        <v>0</v>
      </c>
      <c r="X30" s="20">
        <f t="array" aca="1" ref="X30" ca="1">IFERROR(IF(W30&lt;&gt;"",IF(W30&lt;&gt;0,INDEX(
INDIRECT("'シフト一覧（転載）'!"&amp;W30&amp;":AK100"),1,
MATCH(1,INDEX((LEN(INDIRECT("'シフト一覧（転載）'!"&amp;W30&amp;":AK100"))&gt;0)
*(INDIRECT("'シフト一覧（転載）'!"&amp;W30&amp;":AK100")&lt;&gt;"休み"),1,0),0)),0),""),$F$9&amp;"保育無し")</f>
        <v>0</v>
      </c>
      <c r="Y30" s="20">
        <f t="array" aca="1" ref="Y30" ca="1">IFERROR(IF(W30&lt;&gt;0,ADDRESS(ROW(INDIRECT(W30)),
    COLUMN(INDIRECT(W30)) - 1 +
    MATCH(1,INDEX((LEN(INDIRECT("'シフト一覧（転載）'!"&amp;W30&amp;":AK100"))&gt;0)
            *(INDIRECT("'シフト一覧（転載）'!"&amp;W30&amp;":AK100")&lt;&gt;"休み"),
            1,0),0)+1,4),0),"")</f>
        <v>0</v>
      </c>
      <c r="Z30" s="20">
        <f t="array" aca="1" ref="Z30" ca="1">IFERROR(IF(Y30&lt;&gt;"",IF(Y30&lt;&gt;0,INDEX(
INDIRECT("'シフト一覧（転載）'!"&amp;Y30&amp;":AK100"),1,
MATCH(1,INDEX((LEN(INDIRECT("'シフト一覧（転載）'!"&amp;Y30&amp;":AK100"))&gt;0)
*(INDIRECT("'シフト一覧（転載）'!"&amp;Y30&amp;":AK100")&lt;&gt;"休み"),1,0),0)),0),""),$F$9&amp;"保育無し")</f>
        <v>0</v>
      </c>
      <c r="AA30" s="20">
        <f t="array" aca="1" ref="AA30" ca="1">IFERROR(IF(Y30&lt;&gt;0,ADDRESS(ROW(INDIRECT(Y30)),
    COLUMN(INDIRECT(Y30)) - 1 +
    MATCH(1,INDEX((LEN(INDIRECT("'シフト一覧（転載）'!"&amp;Y30&amp;":AK100"))&gt;0)
            *(INDIRECT("'シフト一覧（転載）'!"&amp;Y30&amp;":AK100")&lt;&gt;"休み"),
            1,0),0)+1,4),0),"")</f>
        <v>0</v>
      </c>
      <c r="AB30" s="20">
        <f t="array" aca="1" ref="AB30" ca="1">IFERROR(IF(AA30&lt;&gt;"",IF(AA30&lt;&gt;0,INDEX(
INDIRECT("'シフト一覧（転載）'!"&amp;AA30&amp;":AK100"),1,
MATCH(1,INDEX((LEN(INDIRECT("'シフト一覧（転載）'!"&amp;AA30&amp;":AK100"))&gt;0)
*(INDIRECT("'シフト一覧（転載）'!"&amp;AA30&amp;":AK100")&lt;&gt;"休み"),1,0),0)),0),""),$F$9&amp;"保育無し")</f>
        <v>0</v>
      </c>
      <c r="AC30" s="20">
        <f t="array" aca="1" ref="AC30" ca="1">IFERROR(IF(AA30&lt;&gt;0,ADDRESS(ROW(INDIRECT(AA30)),
    COLUMN(INDIRECT(AA30)) - 1 +
    MATCH(1,INDEX((LEN(INDIRECT("'シフト一覧（転載）'!"&amp;AA30&amp;":AK100"))&gt;0)
            *(INDIRECT("'シフト一覧（転載）'!"&amp;AA30&amp;":AK100")&lt;&gt;"休み"),
            1,0),0)+1,4),0),"")</f>
        <v>0</v>
      </c>
      <c r="AD30" s="20">
        <f t="array" aca="1" ref="AD30" ca="1">IFERROR(IF(AC30&lt;&gt;"",IF(AC30&lt;&gt;0,INDEX(
INDIRECT("'シフト一覧（転載）'!"&amp;AC30&amp;":AK100"),1,
MATCH(1,INDEX((LEN(INDIRECT("'シフト一覧（転載）'!"&amp;AC30&amp;":AK100"))&gt;0)
*(INDIRECT("'シフト一覧（転載）'!"&amp;AC30&amp;":AK100")&lt;&gt;"休み"),1,0),0)),0),""),$F$9&amp;"保育無し")</f>
        <v>0</v>
      </c>
      <c r="AE30" s="20">
        <f t="array" aca="1" ref="AE30" ca="1">IFERROR(IF(AC30&lt;&gt;0,ADDRESS(ROW(INDIRECT(AC30)),
    COLUMN(INDIRECT(AC30)) - 1 +
    MATCH(1,INDEX((LEN(INDIRECT("'シフト一覧（転載）'!"&amp;AC30&amp;":AK100"))&gt;0)
            *(INDIRECT("'シフト一覧（転載）'!"&amp;AC30&amp;":AK100")&lt;&gt;"休み"),
            1,0),0)+1,4),0),"")</f>
        <v>0</v>
      </c>
      <c r="AF30" s="20">
        <f t="array" aca="1" ref="AF30" ca="1">IFERROR(IF(AE30&lt;&gt;"",IF(AE30&lt;&gt;0,INDEX(
INDIRECT("'シフト一覧（転載）'!"&amp;AE30&amp;":AK100"),1,
MATCH(1,INDEX((LEN(INDIRECT("'シフト一覧（転載）'!"&amp;AE30&amp;":AK100"))&gt;0)
*(INDIRECT("'シフト一覧（転載）'!"&amp;AE30&amp;":AK100")&lt;&gt;"休み"),1,0),0)),0),""),$F$9&amp;"保育無し")</f>
        <v>0</v>
      </c>
      <c r="AG30" s="20">
        <f t="array" aca="1" ref="AG30" ca="1">IFERROR(IF(AE30&lt;&gt;0,ADDRESS(ROW(INDIRECT(AE30)),
    COLUMN(INDIRECT(AE30)) - 1 +
    MATCH(1,INDEX((LEN(INDIRECT("'シフト一覧（転載）'!"&amp;AE30&amp;":AK100"))&gt;0)
            *(INDIRECT("'シフト一覧（転載）'!"&amp;AE30&amp;":AK100")&lt;&gt;"休み"),
            1,0),0)+1,4),0),"")</f>
        <v>0</v>
      </c>
      <c r="AH30" s="20">
        <f t="array" aca="1" ref="AH30" ca="1">IFERROR(IF(AG30&lt;&gt;"",IF(AG30&lt;&gt;0,INDEX(
INDIRECT("'シフト一覧（転載）'!"&amp;AG30&amp;":AK100"),1,
MATCH(1,INDEX((LEN(INDIRECT("'シフト一覧（転載）'!"&amp;AG30&amp;":AK100"))&gt;0)
*(INDIRECT("'シフト一覧（転載）'!"&amp;AG30&amp;":AK100")&lt;&gt;"休み"),1,0),0)),0),""),$F$9&amp;"保育無し")</f>
        <v>0</v>
      </c>
      <c r="AI30" s="20">
        <f t="array" aca="1" ref="AI30" ca="1">IFERROR(IF(AG30&lt;&gt;0,ADDRESS(ROW(INDIRECT(AG30)),
    COLUMN(INDIRECT(AG30)) - 1 +
    MATCH(1,INDEX((LEN(INDIRECT("'シフト一覧（転載）'!"&amp;AG30&amp;":AK100"))&gt;0)
            *(INDIRECT("'シフト一覧（転載）'!"&amp;AG30&amp;":AK100")&lt;&gt;"休み"),
            1,0),0)+1,4),0),"")</f>
        <v>0</v>
      </c>
      <c r="AJ30" s="20">
        <f t="array" aca="1" ref="AJ30" ca="1">IFERROR(IF(AI30&lt;&gt;"",IF(AI30&lt;&gt;0,INDEX(
INDIRECT("'シフト一覧（転載）'!"&amp;AI30&amp;":AK100"),1,
MATCH(1,INDEX((LEN(INDIRECT("'シフト一覧（転載）'!"&amp;AI30&amp;":AK100"))&gt;0)
*(INDIRECT("'シフト一覧（転載）'!"&amp;AI30&amp;":AK100")&lt;&gt;"休み"),1,0),0)),0),""),$F$9&amp;"保育無し")</f>
        <v>0</v>
      </c>
      <c r="AK30" s="20">
        <f t="array" aca="1" ref="AK30" ca="1">IFERROR(IF(AI30&lt;&gt;0,ADDRESS(ROW(INDIRECT(AI30)),
    COLUMN(INDIRECT(AI30)) - 1 +
    MATCH(1,INDEX((LEN(INDIRECT("'シフト一覧（転載）'!"&amp;AI30&amp;":AK100"))&gt;0)
            *(INDIRECT("'シフト一覧（転載）'!"&amp;AI30&amp;":AK100")&lt;&gt;"休み"),
            1,0),0)+1,4),0),"")</f>
        <v>0</v>
      </c>
      <c r="AL30" s="20">
        <f t="array" aca="1" ref="AL30" ca="1">IFERROR(IF(AK30&lt;&gt;"",IF(AK30&lt;&gt;0,INDEX(
INDIRECT("'シフト一覧（転載）'!"&amp;AK30&amp;":AK100"),1,
MATCH(1,INDEX((LEN(INDIRECT("'シフト一覧（転載）'!"&amp;AK30&amp;":AK100"))&gt;0)
*(INDIRECT("'シフト一覧（転載）'!"&amp;AK30&amp;":AK100")&lt;&gt;"休み"),1,0),0)),0),""),$F$9&amp;"保育無し")</f>
        <v>0</v>
      </c>
      <c r="AM30" s="20">
        <f t="array" aca="1" ref="AM30" ca="1">IFERROR(IF(AK30&lt;&gt;0,ADDRESS(ROW(INDIRECT(AK30)),
    COLUMN(INDIRECT(AK30)) - 1 +
    MATCH(1,INDEX((LEN(INDIRECT("'シフト一覧（転載）'!"&amp;AK30&amp;":AK100"))&gt;0)
            *(INDIRECT("'シフト一覧（転載）'!"&amp;AK30&amp;":AK100")&lt;&gt;"休み"),
            1,0),0)+1,4),0),"")</f>
        <v>0</v>
      </c>
      <c r="AN30" s="20">
        <f t="array" aca="1" ref="AN30" ca="1">IFERROR(IF(AM30&lt;&gt;"",IF(AM30&lt;&gt;0,INDEX(
INDIRECT("'シフト一覧（転載）'!"&amp;AM30&amp;":AK100"),1,
MATCH(1,INDEX((LEN(INDIRECT("'シフト一覧（転載）'!"&amp;AM30&amp;":AK100"))&gt;0)
*(INDIRECT("'シフト一覧（転載）'!"&amp;AM30&amp;":AK100")&lt;&gt;"休み"),1,0),0)),0),""),$F$9&amp;"保育無し")</f>
        <v>0</v>
      </c>
      <c r="AO30" s="20">
        <f t="array" aca="1" ref="AO30" ca="1">IFERROR(IF(AM30&lt;&gt;0,ADDRESS(ROW(INDIRECT(AM30)),
    COLUMN(INDIRECT(AM30)) - 1 +
    MATCH(1,INDEX((LEN(INDIRECT("'シフト一覧（転載）'!"&amp;AM30&amp;":AK100"))&gt;0)
            *(INDIRECT("'シフト一覧（転載）'!"&amp;AM30&amp;":AK100")&lt;&gt;"休み"),
            1,0),0)+1,4),0),"")</f>
        <v>0</v>
      </c>
      <c r="AP30" s="20">
        <f t="array" aca="1" ref="AP30" ca="1">IFERROR(IF(AO30&lt;&gt;"",IF(AO30&lt;&gt;0,INDEX(
INDIRECT("'シフト一覧（転載）'!"&amp;AO30&amp;":AK100"),1,
MATCH(1,INDEX((LEN(INDIRECT("'シフト一覧（転載）'!"&amp;AO30&amp;":AK100"))&gt;0)
*(INDIRECT("'シフト一覧（転載）'!"&amp;AO30&amp;":AK100")&lt;&gt;"休み"),1,0),0)),0),""),$F$9&amp;"保育無し")</f>
        <v>0</v>
      </c>
      <c r="AQ30" s="20">
        <f t="array" aca="1" ref="AQ30" ca="1">IFERROR(IF(AO30&lt;&gt;0,ADDRESS(ROW(INDIRECT(AO30)),
    COLUMN(INDIRECT(AO30)) - 1 +
    MATCH(1,INDEX((LEN(INDIRECT("'シフト一覧（転載）'!"&amp;AO30&amp;":AK100"))&gt;0)
            *(INDIRECT("'シフト一覧（転載）'!"&amp;AO30&amp;":AK100")&lt;&gt;"休み"),
            1,0),0)+1,4),0),"")</f>
        <v>0</v>
      </c>
      <c r="AR30" s="20">
        <f t="array" aca="1" ref="AR30" ca="1">IFERROR(IF(AQ30&lt;&gt;"",IF(AQ30&lt;&gt;0,INDEX(
INDIRECT("'シフト一覧（転載）'!"&amp;AQ30&amp;":AK100"),1,
MATCH(1,INDEX((LEN(INDIRECT("'シフト一覧（転載）'!"&amp;AQ30&amp;":AK100"))&gt;0)
*(INDIRECT("'シフト一覧（転載）'!"&amp;AQ30&amp;":AK100")&lt;&gt;"休み"),1,0),0)),0),""),$F$9&amp;"保育無し")</f>
        <v>0</v>
      </c>
      <c r="AS30" s="20">
        <f t="array" aca="1" ref="AS30" ca="1">IFERROR(IF(AQ30&lt;&gt;0,ADDRESS(ROW(INDIRECT(AQ30)),
    COLUMN(INDIRECT(AQ30)) - 1 +
    MATCH(1,INDEX((LEN(INDIRECT("'シフト一覧（転載）'!"&amp;AQ30&amp;":AK100"))&gt;0)
            *(INDIRECT("'シフト一覧（転載）'!"&amp;AQ30&amp;":AK100")&lt;&gt;"休み"),
            1,0),0)+1,4),0),"")</f>
        <v>0</v>
      </c>
      <c r="AT30" s="20">
        <f t="array" aca="1" ref="AT30" ca="1">IFERROR(IF(AS30&lt;&gt;"",IF(AS30&lt;&gt;0,INDEX(
INDIRECT("'シフト一覧（転載）'!"&amp;AS30&amp;":AK100"),1,
MATCH(1,INDEX((LEN(INDIRECT("'シフト一覧（転載）'!"&amp;AS30&amp;":AK100"))&gt;0)
*(INDIRECT("'シフト一覧（転載）'!"&amp;AS30&amp;":AK100")&lt;&gt;"休み"),1,0),0)),0),""),$F$9&amp;"保育無し")</f>
        <v>0</v>
      </c>
      <c r="AU30" s="20">
        <f t="array" aca="1" ref="AU30" ca="1">IFERROR(IF(AS30&lt;&gt;0,ADDRESS(ROW(INDIRECT(AS30)),
    COLUMN(INDIRECT(AS30)) - 1 +
    MATCH(1,INDEX((LEN(INDIRECT("'シフト一覧（転載）'!"&amp;AS30&amp;":AK100"))&gt;0)
            *(INDIRECT("'シフト一覧（転載）'!"&amp;AS30&amp;":AK100")&lt;&gt;"休み"),
            1,0),0)+1,4),0),"")</f>
        <v>0</v>
      </c>
      <c r="AV30" s="20">
        <f t="array" aca="1" ref="AV30" ca="1">IFERROR(IF(AU30&lt;&gt;"",IF(AU30&lt;&gt;0,INDEX(
INDIRECT("'シフト一覧（転載）'!"&amp;AU30&amp;":AK100"),1,
MATCH(1,INDEX((LEN(INDIRECT("'シフト一覧（転載）'!"&amp;AU30&amp;":AK100"))&gt;0)
*(INDIRECT("'シフト一覧（転載）'!"&amp;AU30&amp;":AK100")&lt;&gt;"休み"),1,0),0)),0),""),$F$9&amp;"保育無し")</f>
        <v>0</v>
      </c>
      <c r="AW30" s="20">
        <f t="array" aca="1" ref="AW30" ca="1">IFERROR(IF(AU30&lt;&gt;0,ADDRESS(ROW(INDIRECT(AU30)),
    COLUMN(INDIRECT(AU30)) - 1 +
    MATCH(1,INDEX((LEN(INDIRECT("'シフト一覧（転載）'!"&amp;AU30&amp;":AK100"))&gt;0)
            *(INDIRECT("'シフト一覧（転載）'!"&amp;AU30&amp;":AK100")&lt;&gt;"休み"),
            1,0),0)+1,4),0),"")</f>
        <v>0</v>
      </c>
      <c r="AX30" s="20">
        <f t="array" aca="1" ref="AX30" ca="1">IFERROR(IF(AW30&lt;&gt;"",IF(AW30&lt;&gt;0,INDEX(
INDIRECT("'シフト一覧（転載）'!"&amp;AW30&amp;":AK100"),1,
MATCH(1,INDEX((LEN(INDIRECT("'シフト一覧（転載）'!"&amp;AW30&amp;":AK100"))&gt;0)
*(INDIRECT("'シフト一覧（転載）'!"&amp;AW30&amp;":AK100")&lt;&gt;"休み"),1,0),0)),0),""),$F$9&amp;"保育無し")</f>
        <v>0</v>
      </c>
      <c r="AY30" s="20">
        <f t="array" aca="1" ref="AY30" ca="1">IFERROR(IF(AW30&lt;&gt;0,ADDRESS(ROW(INDIRECT(AW30)),
    COLUMN(INDIRECT(AW30)) - 1 +
    MATCH(1,INDEX((LEN(INDIRECT("'シフト一覧（転載）'!"&amp;AW30&amp;":AK100"))&gt;0)
            *(INDIRECT("'シフト一覧（転載）'!"&amp;AW30&amp;":AK100")&lt;&gt;"休み"),
            1,0),0)+1,4),0),"")</f>
        <v>0</v>
      </c>
      <c r="AZ30" s="20">
        <f t="array" aca="1" ref="AZ30" ca="1">IFERROR(IF(AY30&lt;&gt;"",IF(AY30&lt;&gt;0,INDEX(
INDIRECT("'シフト一覧（転載）'!"&amp;AY30&amp;":AK100"),1,
MATCH(1,INDEX((LEN(INDIRECT("'シフト一覧（転載）'!"&amp;AY30&amp;":AK100"))&gt;0)
*(INDIRECT("'シフト一覧（転載）'!"&amp;AY30&amp;":AK100")&lt;&gt;"休み"),1,0),0)),0),""),$F$9&amp;"保育無し")</f>
        <v>0</v>
      </c>
      <c r="BA30" s="20">
        <f t="array" aca="1" ref="BA30" ca="1">IFERROR(IF(AY30&lt;&gt;0,ADDRESS(ROW(INDIRECT(AY30)),
    COLUMN(INDIRECT(AY30)) - 1 +
    MATCH(1,INDEX((LEN(INDIRECT("'シフト一覧（転載）'!"&amp;AY30&amp;":AK100"))&gt;0)
            *(INDIRECT("'シフト一覧（転載）'!"&amp;AY30&amp;":AK100")&lt;&gt;"休み"),
            1,0),0)+1,4),0),"")</f>
        <v>0</v>
      </c>
      <c r="BB30" s="20">
        <f t="array" aca="1" ref="BB30" ca="1">IFERROR(IF(BA30&lt;&gt;"",IF(BA30&lt;&gt;0,INDEX(
INDIRECT("'シフト一覧（転載）'!"&amp;BA30&amp;":AK100"),1,
MATCH(1,INDEX((LEN(INDIRECT("'シフト一覧（転載）'!"&amp;BA30&amp;":AK100"))&gt;0)
*(INDIRECT("'シフト一覧（転載）'!"&amp;BA30&amp;":AK100")&lt;&gt;"休み"),1,0),0)),0),""),$F$9&amp;"保育無し")</f>
        <v>0</v>
      </c>
      <c r="BC30" s="20">
        <f t="array" aca="1" ref="BC30" ca="1">IFERROR(IF(BA30&lt;&gt;0,ADDRESS(ROW(INDIRECT(BA30)),
    COLUMN(INDIRECT(BA30)) - 1 +
    MATCH(1,INDEX((LEN(INDIRECT("'シフト一覧（転載）'!"&amp;BA30&amp;":AK100"))&gt;0)
            *(INDIRECT("'シフト一覧（転載）'!"&amp;BA30&amp;":AK100")&lt;&gt;"休み"),
            1,0),0)+1,4),0),"")</f>
        <v>0</v>
      </c>
      <c r="BD30" s="20">
        <f t="array" aca="1" ref="BD30" ca="1">IFERROR(IF(BC30&lt;&gt;"",IF(BC30&lt;&gt;0,INDEX(
INDIRECT("'シフト一覧（転載）'!"&amp;BC30&amp;":AK100"),1,
MATCH(1,INDEX((LEN(INDIRECT("'シフト一覧（転載）'!"&amp;BC30&amp;":AK100"))&gt;0)
*(INDIRECT("'シフト一覧（転載）'!"&amp;BC30&amp;":AK100")&lt;&gt;"休み"),1,0),0)),0),""),$F$9&amp;"保育無し")</f>
        <v>0</v>
      </c>
      <c r="BE30" s="20">
        <f t="array" aca="1" ref="BE30" ca="1">IFERROR(IF(BC30&lt;&gt;0,ADDRESS(ROW(INDIRECT(BC30)),
    COLUMN(INDIRECT(BC30)) - 1 +
    MATCH(1,INDEX((LEN(INDIRECT("'シフト一覧（転載）'!"&amp;BC30&amp;":AK100"))&gt;0)
            *(INDIRECT("'シフト一覧（転載）'!"&amp;BC30&amp;":AK100")&lt;&gt;"休み"),
            1,0),0)+1,4),0),"")</f>
        <v>0</v>
      </c>
      <c r="BF30" s="20">
        <f t="array" aca="1" ref="BF30" ca="1">IFERROR(IF(BE30&lt;&gt;"",IF(BE30&lt;&gt;0,INDEX(
INDIRECT("'シフト一覧（転載）'!"&amp;BE30&amp;":AK100"),1,
MATCH(1,INDEX((LEN(INDIRECT("'シフト一覧（転載）'!"&amp;BE30&amp;":AK100"))&gt;0)
*(INDIRECT("'シフト一覧（転載）'!"&amp;BE30&amp;":AK100")&lt;&gt;"休み"),1,0),0)),0),""),$F$9&amp;"保育無し")</f>
        <v>0</v>
      </c>
      <c r="BG30" s="20">
        <f t="array" aca="1" ref="BG30" ca="1">IFERROR(IF(BE30&lt;&gt;0,ADDRESS(ROW(INDIRECT(BE30)),
    COLUMN(INDIRECT(BE30)) - 1 +
    MATCH(1,INDEX((LEN(INDIRECT("'シフト一覧（転載）'!"&amp;BE30&amp;":AK100"))&gt;0)
            *(INDIRECT("'シフト一覧（転載）'!"&amp;BE30&amp;":AK100")&lt;&gt;"休み"),
            1,0),0)+1,4),0),"")</f>
        <v>0</v>
      </c>
      <c r="BH30" s="20">
        <f t="array" aca="1" ref="BH30" ca="1">IFERROR(IF(BG30&lt;&gt;"",IF(BG30&lt;&gt;0,INDEX(
INDIRECT("'シフト一覧（転載）'!"&amp;BG30&amp;":AK100"),1,
MATCH(1,INDEX((LEN(INDIRECT("'シフト一覧（転載）'!"&amp;BG30&amp;":AK100"))&gt;0)
*(INDIRECT("'シフト一覧（転載）'!"&amp;BG30&amp;":AK100")&lt;&gt;"休み"),1,0),0)),0),""),$F$9&amp;"保育無し")</f>
        <v>0</v>
      </c>
      <c r="BI30" s="20">
        <f t="array" aca="1" ref="BI30" ca="1">IFERROR(IF(BG30&lt;&gt;0,ADDRESS(ROW(INDIRECT(BG30)),
    COLUMN(INDIRECT(BG30)) - 1 +
    MATCH(1,INDEX((LEN(INDIRECT("'シフト一覧（転載）'!"&amp;BG30&amp;":AK100"))&gt;0)
            *(INDIRECT("'シフト一覧（転載）'!"&amp;BG30&amp;":AK100")&lt;&gt;"休み"),
            1,0),0)+1,4),0),"")</f>
        <v>0</v>
      </c>
      <c r="BJ30" s="20">
        <f t="array" aca="1" ref="BJ30" ca="1">IFERROR(IF(BI30&lt;&gt;"",IF(BI30&lt;&gt;0,INDEX(
INDIRECT("'シフト一覧（転載）'!"&amp;BI30&amp;":AK100"),1,
MATCH(1,INDEX((LEN(INDIRECT("'シフト一覧（転載）'!"&amp;BI30&amp;":AK100"))&gt;0)
*(INDIRECT("'シフト一覧（転載）'!"&amp;BI30&amp;":AK100")&lt;&gt;"休み"),1,0),0)),0),""),$F$9&amp;"保育無し")</f>
        <v>0</v>
      </c>
      <c r="BK30" s="20">
        <f t="array" aca="1" ref="BK30" ca="1">IFERROR(IF(BI30&lt;&gt;0,ADDRESS(ROW(INDIRECT(BI30)),
    COLUMN(INDIRECT(BI30)) - 1 +
    MATCH(1,INDEX((LEN(INDIRECT("'シフト一覧（転載）'!"&amp;BI30&amp;":AK100"))&gt;0)
            *(INDIRECT("'シフト一覧（転載）'!"&amp;BI30&amp;":AK100")&lt;&gt;"休み"),
            1,0),0)+1,4),0),"")</f>
        <v>0</v>
      </c>
      <c r="BL30" s="20">
        <f t="array" aca="1" ref="BL30" ca="1">IFERROR(IF(BK30&lt;&gt;"",IF(BK30&lt;&gt;0,INDEX(
INDIRECT("'シフト一覧（転載）'!"&amp;BK30&amp;":AK100"),1,
MATCH(1,INDEX((LEN(INDIRECT("'シフト一覧（転載）'!"&amp;BK30&amp;":AK100"))&gt;0)
*(INDIRECT("'シフト一覧（転載）'!"&amp;BK30&amp;":AK100")&lt;&gt;"休み"),1,0),0)),0),""),$F$9&amp;"保育無し")</f>
        <v>0</v>
      </c>
      <c r="BM30" s="20">
        <f t="array" aca="1" ref="BM30" ca="1">IFERROR(IF(BK30&lt;&gt;0,ADDRESS(ROW(INDIRECT(BK30)),
    COLUMN(INDIRECT(BK30)) - 1 +
    MATCH(1,INDEX((LEN(INDIRECT("'シフト一覧（転載）'!"&amp;BK30&amp;":AK100"))&gt;0)
            *(INDIRECT("'シフト一覧（転載）'!"&amp;BK30&amp;":AK100")&lt;&gt;"休み"),
            1,0),0)+1,4),0),"")</f>
        <v>0</v>
      </c>
      <c r="BN30" s="20">
        <f t="array" aca="1" ref="BN30" ca="1">IFERROR(IF(BM30&lt;&gt;"",IF(BM30&lt;&gt;0,INDEX(
INDIRECT("'シフト一覧（転載）'!"&amp;BM30&amp;":AK100"),1,
MATCH(1,INDEX((LEN(INDIRECT("'シフト一覧（転載）'!"&amp;BM30&amp;":AK100"))&gt;0)
*(INDIRECT("'シフト一覧（転載）'!"&amp;BM30&amp;":AK100")&lt;&gt;"休み"),1,0),0)),0),""),$F$9&amp;"保育無し")</f>
        <v>0</v>
      </c>
      <c r="BO30" s="20">
        <f t="array" aca="1" ref="BO30" ca="1">IFERROR(IF(BM30&lt;&gt;0,ADDRESS(ROW(INDIRECT(BM30)),
    COLUMN(INDIRECT(BM30)) - 1 +
    MATCH(1,INDEX((LEN(INDIRECT("'シフト一覧（転載）'!"&amp;BM30&amp;":AK100"))&gt;0)
            *(INDIRECT("'シフト一覧（転載）'!"&amp;BM30&amp;":AK100")&lt;&gt;"休み"),
            1,0),0)+1,4),0),"")</f>
        <v>0</v>
      </c>
      <c r="BP30" s="20">
        <f t="array" aca="1" ref="BP30" ca="1">IFERROR(IF(BO30&lt;&gt;"",IF(BO30&lt;&gt;0,INDEX(
INDIRECT("'シフト一覧（転載）'!"&amp;BO30&amp;":AK100"),1,
MATCH(1,INDEX((LEN(INDIRECT("'シフト一覧（転載）'!"&amp;BO30&amp;":AK100"))&gt;0)
*(INDIRECT("'シフト一覧（転載）'!"&amp;BO30&amp;":AK100")&lt;&gt;"休み"),1,0),0)),0),""),$F$9&amp;"保育無し")</f>
        <v>0</v>
      </c>
      <c r="BQ30" s="20">
        <f t="array" aca="1" ref="BQ30" ca="1">IFERROR(IF(BO30&lt;&gt;0,ADDRESS(ROW(INDIRECT(BO30)),
    COLUMN(INDIRECT(BO30)) - 1 +
    MATCH(1,INDEX((LEN(INDIRECT("'シフト一覧（転載）'!"&amp;BO30&amp;":AK100"))&gt;0)
            *(INDIRECT("'シフト一覧（転載）'!"&amp;BO30&amp;":AK100")&lt;&gt;"休み"),
            1,0),0)+1,4),0),"")</f>
        <v>0</v>
      </c>
      <c r="BR30" s="20">
        <f t="array" aca="1" ref="BR30" ca="1">IFERROR(IF(BQ30&lt;&gt;"",IF(BQ30&lt;&gt;0,INDEX(
INDIRECT("'シフト一覧（転載）'!"&amp;BQ30&amp;":AK100"),1,
MATCH(1,INDEX((LEN(INDIRECT("'シフト一覧（転載）'!"&amp;BQ30&amp;":AK100"))&gt;0)
*(INDIRECT("'シフト一覧（転載）'!"&amp;BQ30&amp;":AK100")&lt;&gt;"休み"),1,0),0)),0),""),$F$9&amp;"保育無し")</f>
        <v>0</v>
      </c>
      <c r="BS30" s="20">
        <f t="array" aca="1" ref="BS30" ca="1">IFERROR(IF(BQ30&lt;&gt;0,ADDRESS(ROW(INDIRECT(BQ30)),
    COLUMN(INDIRECT(BQ30)) - 1 +
    MATCH(1,INDEX((LEN(INDIRECT("'シフト一覧（転載）'!"&amp;BQ30&amp;":AK100"))&gt;0)
            *(INDIRECT("'シフト一覧（転載）'!"&amp;BQ30&amp;":AK100")&lt;&gt;"休み"),
            1,0),0)+1,4),0),"")</f>
        <v>0</v>
      </c>
      <c r="BT30" s="20">
        <f t="array" aca="1" ref="BT30" ca="1">IFERROR(IF(BS30&lt;&gt;"",IF(BS30&lt;&gt;0,INDEX(
INDIRECT("'シフト一覧（転載）'!"&amp;BS30&amp;":AK100"),1,
MATCH(1,INDEX((LEN(INDIRECT("'シフト一覧（転載）'!"&amp;BS30&amp;":AK100"))&gt;0)
*(INDIRECT("'シフト一覧（転載）'!"&amp;BS30&amp;":AK100")&lt;&gt;"休み"),1,0),0)),0),""),$F$9&amp;"保育無し")</f>
        <v>0</v>
      </c>
      <c r="BU30" s="20">
        <f t="array" aca="1" ref="BU30" ca="1">IFERROR(IF(BS30&lt;&gt;0,ADDRESS(ROW(INDIRECT(BS30)),
    COLUMN(INDIRECT(BS30)) - 1 +
    MATCH(1,INDEX((LEN(INDIRECT("'シフト一覧（転載）'!"&amp;BS30&amp;":AK100"))&gt;0)
            *(INDIRECT("'シフト一覧（転載）'!"&amp;BS30&amp;":AK100")&lt;&gt;"休み"),
            1,0),0)+1,4),0),"")</f>
        <v>0</v>
      </c>
      <c r="BV30" s="20">
        <f t="array" aca="1" ref="BV30" ca="1">IFERROR(IF(BU30&lt;&gt;"",IF(BU30&lt;&gt;0,INDEX(
INDIRECT("'シフト一覧（転載）'!"&amp;BU30&amp;":AK100"),1,
MATCH(1,INDEX((LEN(INDIRECT("'シフト一覧（転載）'!"&amp;BU30&amp;":AK100"))&gt;0)
*(INDIRECT("'シフト一覧（転載）'!"&amp;BU30&amp;":AK100")&lt;&gt;"休み"),1,0),0)),0),""),$F$9&amp;"保育無し")</f>
        <v>0</v>
      </c>
      <c r="BW30" s="20">
        <f t="array" aca="1" ref="BW30" ca="1">IFERROR(IF(BU30&lt;&gt;0,ADDRESS(ROW(INDIRECT(BU30)),
    COLUMN(INDIRECT(BU30)) - 1 +
    MATCH(1,INDEX((LEN(INDIRECT("'シフト一覧（転載）'!"&amp;BU30&amp;":AK100"))&gt;0)
            *(INDIRECT("'シフト一覧（転載）'!"&amp;BU30&amp;":AK100")&lt;&gt;"休み"),
            1,0),0)+1,4),0),"")</f>
        <v>0</v>
      </c>
      <c r="BX30" s="20">
        <f t="array" aca="1" ref="BX30" ca="1">IFERROR(IF(BW30&lt;&gt;"",IF(BW30&lt;&gt;0,INDEX(
INDIRECT("'シフト一覧（転載）'!"&amp;BW30&amp;":AK100"),1,
MATCH(1,INDEX((LEN(INDIRECT("'シフト一覧（転載）'!"&amp;BW30&amp;":AK100"))&gt;0)
*(INDIRECT("'シフト一覧（転載）'!"&amp;BW30&amp;":AK100")&lt;&gt;"休み"),1,0),0)),0),""),$F$9&amp;"保育無し")</f>
        <v>0</v>
      </c>
      <c r="BY30" s="20">
        <f t="array" aca="1" ref="BY30" ca="1">IFERROR(IF(BW30&lt;&gt;0,ADDRESS(ROW(INDIRECT(BW30)),
    COLUMN(INDIRECT(BW30)) - 1 +
    MATCH(1,INDEX((LEN(INDIRECT("'シフト一覧（転載）'!"&amp;BW30&amp;":AK100"))&gt;0)
            *(INDIRECT("'シフト一覧（転載）'!"&amp;BW30&amp;":AK100")&lt;&gt;"休み"),
            1,0),0)+1,4),0),"")</f>
        <v>0</v>
      </c>
    </row>
    <row r="31" spans="1:77" ht="19.8" customHeight="1" x14ac:dyDescent="0.2">
      <c r="A31" s="43">
        <f>IF(A30&lt;&gt;0,IF($B$9&gt;A30,A30+1,0),0)</f>
        <v>0</v>
      </c>
      <c r="B31" s="48" t="str" cm="1">
        <f t="array" aca="1" ref="B31" ca="1">IFERROR(_xlfn.TEXTJOIN("", TRUE, IF(ISERR(MID(INDIRECT("'Page_" &amp; A31 &amp; "'!C2"), ROW(INDIRECT("1:" &amp; LEN(INDIRECT("'Page_" &amp; A31 &amp; "'!C2")))), 1)*1), MID(INDIRECT("'Page_" &amp; A31 &amp; "'!C2"), ROW(INDIRECT("1:" &amp; LEN(INDIRECT("'Page_" &amp; A31 &amp; "'!C2")))), 1), "")),"")</f>
        <v/>
      </c>
      <c r="C31" s="49" t="str" cm="1">
        <f t="array" aca="1" ref="C31" ca="1">IFERROR(IF(INDIRECT("'Page_" &amp; A31 &amp; "'!E2")&lt;&gt;"",INDIRECT("'Page_" &amp; A31 &amp; "'!E2"),INDIRECT("'Page_" &amp; A31 &amp; "'!D2")),"")</f>
        <v/>
      </c>
      <c r="D31" s="58" t="str" cm="1">
        <f t="array" aca="1" ref="D31" ca="1">IFERROR(IF(INDIRECT("'Page_" &amp; A31 &amp; "'!Q3")&lt;&gt;"",INDIRECT("'Page_" &amp; A31 &amp; "'!Q3"),INDIRECT("'Page_" &amp; A31 &amp; "'!P3")),"")</f>
        <v/>
      </c>
      <c r="E31" s="39">
        <f t="shared" ca="1" si="2"/>
        <v>0</v>
      </c>
      <c r="F31" s="28" t="str">
        <f t="shared" ca="1" si="3"/>
        <v/>
      </c>
      <c r="G31" s="25" t="str">
        <f t="shared" ca="1" si="11"/>
        <v/>
      </c>
      <c r="H31" s="63" t="str" cm="1">
        <f t="array" aca="1" ref="H31" ca="1">IF(B31&lt;&gt;"",IFERROR(INDEX('シフト一覧（転載）'!$C$8:$C$100,
MATCH(1, (ISNUMBER(SEARCH(B31,'シフト一覧（転載）'!$A$8:$A$100)))
*(ISNUMBER(SEARCH($F$9,'シフト一覧（転載）'!$B$8:$B$100))), 0)),""),"")</f>
        <v/>
      </c>
      <c r="I31" s="54" t="str">
        <f t="shared" ca="1" si="12"/>
        <v/>
      </c>
      <c r="J31" s="25" t="str" cm="1">
        <f t="array" aca="1" ref="J31" ca="1">IF(B31&lt;&gt;"",IFERROR(SUM(INDIRECT("'Page_" &amp; A31 &amp; "'!K"&amp;MATCH("有休",INDIRECT("'Page_" &amp; A31 &amp; "'!K:K"),0)+2&amp;"")
+INDIRECT("'Page_" &amp; A31 &amp; "'!L"&amp;MATCH("特休",INDIRECT("'Page_" &amp; A31 &amp; "'!L:L"),0)+2&amp;""))*24,0),"")</f>
        <v/>
      </c>
      <c r="K31" s="59"/>
      <c r="M31" s="104"/>
      <c r="N31" s="102"/>
      <c r="O31" s="107"/>
      <c r="P31" s="21">
        <f t="array" aca="1" ref="P31" ca="1">IFERROR(IF(M30&lt;&gt;"",INDEX('シフト一覧（転載）'!$F$8:$AK$100,
    MATCH(1,(ISNUMBER(SEARCH(M30,'シフト一覧（転載）'!$A$8:$A$100)))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MATCH(1,(ISNUMBER(SEARCH(M30,'シフト一覧（転載）'!$A$8:$A$100)))
                *(ISNUMBER(SEARCH($F$9,'シフト一覧（転載）'!$B$8:$B$100))),
                0),0),0)),0),"")</f>
        <v>0</v>
      </c>
      <c r="Q31" s="21">
        <f ca="1">IF(P30=0,0,
IF(OR(P30="",COUNTIF(P30,"*保育無し*")),"",
IF(MOD(P31-P30,1)*24&gt;=8,1,
IF(MOD(P31-P30,1)*24&gt;=6,0.75,0))))</f>
        <v>0</v>
      </c>
      <c r="R31" s="21">
        <f t="array" aca="1" ref="R31" ca="1">IFERROR(IF(Q30&lt;&gt;0,INDEX(
INDIRECT("'シフト一覧（転載）'!"&amp;Q30&amp;":AK100"),1+1,
MATCH(1,INDEX((LEN(INDIRECT("'シフト一覧（転載）'!"&amp;Q30&amp;":AK100"))&gt;0)
*(INDIRECT("'シフト一覧（転載）'!"&amp;Q30&amp;":AK100")&lt;&gt;"休み"),1,0),0)),0),"")</f>
        <v>0</v>
      </c>
      <c r="S31" s="21">
        <f ca="1">IF(R30=0,0,
IF(OR(R30="",COUNTIF(R30,"*保育無し*")),"",
IF(MOD(R31-R30,1)*24&gt;=8,1,
IF(MOD(R31-R30,1)*24&gt;=6,0.75,0))))</f>
        <v>0</v>
      </c>
      <c r="T31" s="21">
        <f t="array" aca="1" ref="T31" ca="1">IFERROR(IF(S30&lt;&gt;0,INDEX(
INDIRECT("'シフト一覧（転載）'!"&amp;S30&amp;":AK100"),1+1,
MATCH(1,INDEX((LEN(INDIRECT("'シフト一覧（転載）'!"&amp;S30&amp;":AK100"))&gt;0)
*(INDIRECT("'シフト一覧（転載）'!"&amp;S30&amp;":AK100")&lt;&gt;"休み"),1,0),0)),0),"")</f>
        <v>0</v>
      </c>
      <c r="U31" s="21">
        <f ca="1">IF(T30=0,0,
IF(OR(T30="",COUNTIF(T30,"*保育無し*")),"",
IF(MOD(T31-T30,1)*24&gt;=8,1,
IF(MOD(T31-T30,1)*24&gt;=6,0.75,0))))</f>
        <v>0</v>
      </c>
      <c r="V31" s="21">
        <f t="array" aca="1" ref="V31" ca="1">IFERROR(IF(U30&lt;&gt;0,INDEX(
INDIRECT("'シフト一覧（転載）'!"&amp;U30&amp;":AK100"),1+1,
MATCH(1,INDEX((LEN(INDIRECT("'シフト一覧（転載）'!"&amp;U30&amp;":AK100"))&gt;0)
*(INDIRECT("'シフト一覧（転載）'!"&amp;U30&amp;":AK100")&lt;&gt;"休み"),1,0),0)),0),"")</f>
        <v>0</v>
      </c>
      <c r="W31" s="21">
        <f ca="1">IF(V30=0,0,
IF(OR(V30="",COUNTIF(V30,"*保育無し*")),"",
IF(MOD(V31-V30,1)*24&gt;=8,1,
IF(MOD(V31-V30,1)*24&gt;=6,0.75,0))))</f>
        <v>0</v>
      </c>
      <c r="X31" s="21">
        <f t="array" aca="1" ref="X31" ca="1">IFERROR(IF(W30&lt;&gt;0,INDEX(
INDIRECT("'シフト一覧（転載）'!"&amp;W30&amp;":AK100"),1+1,
MATCH(1,INDEX((LEN(INDIRECT("'シフト一覧（転載）'!"&amp;W30&amp;":AK100"))&gt;0)
*(INDIRECT("'シフト一覧（転載）'!"&amp;W30&amp;":AK100")&lt;&gt;"休み"),1,0),0)),0),"")</f>
        <v>0</v>
      </c>
      <c r="Y31" s="21">
        <f ca="1">IF(X30=0,0,
IF(OR(X30="",COUNTIF(X30,"*保育無し*")),"",
IF(MOD(X31-X30,1)*24&gt;=8,1,
IF(MOD(X31-X30,1)*24&gt;=6,0.75,0))))</f>
        <v>0</v>
      </c>
      <c r="Z31" s="21">
        <f t="array" aca="1" ref="Z31" ca="1">IFERROR(IF(Y30&lt;&gt;0,INDEX(
INDIRECT("'シフト一覧（転載）'!"&amp;Y30&amp;":AK100"),1+1,
MATCH(1,INDEX((LEN(INDIRECT("'シフト一覧（転載）'!"&amp;Y30&amp;":AK100"))&gt;0)
*(INDIRECT("'シフト一覧（転載）'!"&amp;Y30&amp;":AK100")&lt;&gt;"休み"),1,0),0)),0),"")</f>
        <v>0</v>
      </c>
      <c r="AA31" s="21">
        <f ca="1">IF(Z30=0,0,
IF(OR(Z30="",COUNTIF(Z30,"*保育無し*")),"",
IF(MOD(Z31-Z30,1)*24&gt;=8,1,
IF(MOD(Z31-Z30,1)*24&gt;=6,0.75,0))))</f>
        <v>0</v>
      </c>
      <c r="AB31" s="21">
        <f t="array" aca="1" ref="AB31" ca="1">IFERROR(IF(AA30&lt;&gt;0,INDEX(
INDIRECT("'シフト一覧（転載）'!"&amp;AA30&amp;":AK100"),1+1,
MATCH(1,INDEX((LEN(INDIRECT("'シフト一覧（転載）'!"&amp;AA30&amp;":AK100"))&gt;0)
*(INDIRECT("'シフト一覧（転載）'!"&amp;AA30&amp;":AK100")&lt;&gt;"休み"),1,0),0)),0),"")</f>
        <v>0</v>
      </c>
      <c r="AC31" s="21">
        <f ca="1">IF(AB30=0,0,
IF(OR(AB30="",COUNTIF(AB30,"*保育無し*")),"",
IF(MOD(AB31-AB30,1)*24&gt;=8,1,
IF(MOD(AB31-AB30,1)*24&gt;=6,0.75,0))))</f>
        <v>0</v>
      </c>
      <c r="AD31" s="21">
        <f t="array" aca="1" ref="AD31" ca="1">IFERROR(IF(AC30&lt;&gt;0,INDEX(
INDIRECT("'シフト一覧（転載）'!"&amp;AC30&amp;":AK100"),1+1,
MATCH(1,INDEX((LEN(INDIRECT("'シフト一覧（転載）'!"&amp;AC30&amp;":AK100"))&gt;0)
*(INDIRECT("'シフト一覧（転載）'!"&amp;AC30&amp;":AK100")&lt;&gt;"休み"),1,0),0)),0),"")</f>
        <v>0</v>
      </c>
      <c r="AE31" s="21">
        <f ca="1">IF(AD30=0,0,
IF(OR(AD30="",COUNTIF(AD30,"*保育無し*")),"",
IF(MOD(AD31-AD30,1)*24&gt;=8,1,
IF(MOD(AD31-AD30,1)*24&gt;=6,0.75,0))))</f>
        <v>0</v>
      </c>
      <c r="AF31" s="21">
        <f t="array" aca="1" ref="AF31" ca="1">IFERROR(IF(AE30&lt;&gt;0,INDEX(
INDIRECT("'シフト一覧（転載）'!"&amp;AE30&amp;":AK100"),1+1,
MATCH(1,INDEX((LEN(INDIRECT("'シフト一覧（転載）'!"&amp;AE30&amp;":AK100"))&gt;0)
*(INDIRECT("'シフト一覧（転載）'!"&amp;AE30&amp;":AK100")&lt;&gt;"休み"),1,0),0)),0),"")</f>
        <v>0</v>
      </c>
      <c r="AG31" s="21">
        <f ca="1">IF(AF30=0,0,
IF(OR(AF30="",COUNTIF(AF30,"*保育無し*")),"",
IF(MOD(AF31-AF30,1)*24&gt;=8,1,
IF(MOD(AF31-AF30,1)*24&gt;=6,0.75,0))))</f>
        <v>0</v>
      </c>
      <c r="AH31" s="21">
        <f t="array" aca="1" ref="AH31" ca="1">IFERROR(IF(AG30&lt;&gt;0,INDEX(
INDIRECT("'シフト一覧（転載）'!"&amp;AG30&amp;":AK100"),1+1,
MATCH(1,INDEX((LEN(INDIRECT("'シフト一覧（転載）'!"&amp;AG30&amp;":AK100"))&gt;0)
*(INDIRECT("'シフト一覧（転載）'!"&amp;AG30&amp;":AK100")&lt;&gt;"休み"),1,0),0)),0),"")</f>
        <v>0</v>
      </c>
      <c r="AI31" s="21">
        <f ca="1">IF(AH30=0,0,
IF(OR(AH30="",COUNTIF(AH30,"*保育無し*")),"",
IF(MOD(AH31-AH30,1)*24&gt;=8,1,
IF(MOD(AH31-AH30,1)*24&gt;=6,0.75,0))))</f>
        <v>0</v>
      </c>
      <c r="AJ31" s="21">
        <f t="array" aca="1" ref="AJ31" ca="1">IFERROR(IF(AI30&lt;&gt;0,INDEX(
INDIRECT("'シフト一覧（転載）'!"&amp;AI30&amp;":AK100"),1+1,
MATCH(1,INDEX((LEN(INDIRECT("'シフト一覧（転載）'!"&amp;AI30&amp;":AK100"))&gt;0)
*(INDIRECT("'シフト一覧（転載）'!"&amp;AI30&amp;":AK100")&lt;&gt;"休み"),1,0),0)),0),"")</f>
        <v>0</v>
      </c>
      <c r="AK31" s="21">
        <f ca="1">IF(AJ30=0,0,
IF(OR(AJ30="",COUNTIF(AJ30,"*保育無し*")),"",
IF(MOD(AJ31-AJ30,1)*24&gt;=8,1,
IF(MOD(AJ31-AJ30,1)*24&gt;=6,0.75,0))))</f>
        <v>0</v>
      </c>
      <c r="AL31" s="21">
        <f t="array" aca="1" ref="AL31" ca="1">IFERROR(IF(AK30&lt;&gt;0,INDEX(
INDIRECT("'シフト一覧（転載）'!"&amp;AK30&amp;":AK100"),1+1,
MATCH(1,INDEX((LEN(INDIRECT("'シフト一覧（転載）'!"&amp;AK30&amp;":AK100"))&gt;0)
*(INDIRECT("'シフト一覧（転載）'!"&amp;AK30&amp;":AK100")&lt;&gt;"休み"),1,0),0)),0),"")</f>
        <v>0</v>
      </c>
      <c r="AM31" s="21">
        <f ca="1">IF(AL30=0,0,
IF(OR(AL30="",COUNTIF(AL30,"*保育無し*")),"",
IF(MOD(AL31-AL30,1)*24&gt;=8,1,
IF(MOD(AL31-AL30,1)*24&gt;=6,0.75,0))))</f>
        <v>0</v>
      </c>
      <c r="AN31" s="21">
        <f t="array" aca="1" ref="AN31" ca="1">IFERROR(IF(AM30&lt;&gt;0,INDEX(
INDIRECT("'シフト一覧（転載）'!"&amp;AM30&amp;":AK100"),1+1,
MATCH(1,INDEX((LEN(INDIRECT("'シフト一覧（転載）'!"&amp;AM30&amp;":AK100"))&gt;0)
*(INDIRECT("'シフト一覧（転載）'!"&amp;AM30&amp;":AK100")&lt;&gt;"休み"),1,0),0)),0),"")</f>
        <v>0</v>
      </c>
      <c r="AO31" s="21">
        <f ca="1">IF(AN30=0,0,
IF(OR(AN30="",COUNTIF(AN30,"*保育無し*")),"",
IF(MOD(AN31-AN30,1)*24&gt;=8,1,
IF(MOD(AN31-AN30,1)*24&gt;=6,0.75,0))))</f>
        <v>0</v>
      </c>
      <c r="AP31" s="21">
        <f t="array" aca="1" ref="AP31" ca="1">IFERROR(IF(AO30&lt;&gt;0,INDEX(
INDIRECT("'シフト一覧（転載）'!"&amp;AO30&amp;":AK100"),1+1,
MATCH(1,INDEX((LEN(INDIRECT("'シフト一覧（転載）'!"&amp;AO30&amp;":AK100"))&gt;0)
*(INDIRECT("'シフト一覧（転載）'!"&amp;AO30&amp;":AK100")&lt;&gt;"休み"),1,0),0)),0),"")</f>
        <v>0</v>
      </c>
      <c r="AQ31" s="21">
        <f ca="1">IF(AP30=0,0,
IF(OR(AP30="",COUNTIF(AP30,"*保育無し*")),"",
IF(MOD(AP31-AP30,1)*24&gt;=8,1,
IF(MOD(AP31-AP30,1)*24&gt;=6,0.75,0))))</f>
        <v>0</v>
      </c>
      <c r="AR31" s="21">
        <f t="array" aca="1" ref="AR31" ca="1">IFERROR(IF(AQ30&lt;&gt;0,INDEX(
INDIRECT("'シフト一覧（転載）'!"&amp;AQ30&amp;":AK100"),1+1,
MATCH(1,INDEX((LEN(INDIRECT("'シフト一覧（転載）'!"&amp;AQ30&amp;":AK100"))&gt;0)
*(INDIRECT("'シフト一覧（転載）'!"&amp;AQ30&amp;":AK100")&lt;&gt;"休み"),1,0),0)),0),"")</f>
        <v>0</v>
      </c>
      <c r="AS31" s="21">
        <f ca="1">IF(AR30=0,0,
IF(OR(AR30="",COUNTIF(AR30,"*保育無し*")),"",
IF(MOD(AR31-AR30,1)*24&gt;=8,1,
IF(MOD(AR31-AR30,1)*24&gt;=6,0.75,0))))</f>
        <v>0</v>
      </c>
      <c r="AT31" s="21">
        <f t="array" aca="1" ref="AT31" ca="1">IFERROR(IF(AS30&lt;&gt;0,INDEX(
INDIRECT("'シフト一覧（転載）'!"&amp;AS30&amp;":AK100"),1+1,
MATCH(1,INDEX((LEN(INDIRECT("'シフト一覧（転載）'!"&amp;AS30&amp;":AK100"))&gt;0)
*(INDIRECT("'シフト一覧（転載）'!"&amp;AS30&amp;":AK100")&lt;&gt;"休み"),1,0),0)),0),"")</f>
        <v>0</v>
      </c>
      <c r="AU31" s="21">
        <f ca="1">IF(AT30=0,0,
IF(OR(AT30="",COUNTIF(AT30,"*保育無し*")),"",
IF(MOD(AT31-AT30,1)*24&gt;=8,1,
IF(MOD(AT31-AT30,1)*24&gt;=6,0.75,0))))</f>
        <v>0</v>
      </c>
      <c r="AV31" s="21">
        <f t="array" aca="1" ref="AV31" ca="1">IFERROR(IF(AU30&lt;&gt;0,INDEX(
INDIRECT("'シフト一覧（転載）'!"&amp;AU30&amp;":AK100"),1+1,
MATCH(1,INDEX((LEN(INDIRECT("'シフト一覧（転載）'!"&amp;AU30&amp;":AK100"))&gt;0)
*(INDIRECT("'シフト一覧（転載）'!"&amp;AU30&amp;":AK100")&lt;&gt;"休み"),1,0),0)),0),"")</f>
        <v>0</v>
      </c>
      <c r="AW31" s="21">
        <f ca="1">IF(AV30=0,0,
IF(OR(AV30="",COUNTIF(AV30,"*保育無し*")),"",
IF(MOD(AV31-AV30,1)*24&gt;=8,1,
IF(MOD(AV31-AV30,1)*24&gt;=6,0.75,0))))</f>
        <v>0</v>
      </c>
      <c r="AX31" s="21">
        <f t="array" aca="1" ref="AX31" ca="1">IFERROR(IF(AW30&lt;&gt;0,INDEX(
INDIRECT("'シフト一覧（転載）'!"&amp;AW30&amp;":AK100"),1+1,
MATCH(1,INDEX((LEN(INDIRECT("'シフト一覧（転載）'!"&amp;AW30&amp;":AK100"))&gt;0)
*(INDIRECT("'シフト一覧（転載）'!"&amp;AW30&amp;":AK100")&lt;&gt;"休み"),1,0),0)),0),"")</f>
        <v>0</v>
      </c>
      <c r="AY31" s="21">
        <f ca="1">IF(AX30=0,0,
IF(OR(AX30="",COUNTIF(AX30,"*保育無し*")),"",
IF(MOD(AX31-AX30,1)*24&gt;=8,1,
IF(MOD(AX31-AX30,1)*24&gt;=6,0.75,0))))</f>
        <v>0</v>
      </c>
      <c r="AZ31" s="21">
        <f t="array" aca="1" ref="AZ31" ca="1">IFERROR(IF(AY30&lt;&gt;0,INDEX(
INDIRECT("'シフト一覧（転載）'!"&amp;AY30&amp;":AK100"),1+1,
MATCH(1,INDEX((LEN(INDIRECT("'シフト一覧（転載）'!"&amp;AY30&amp;":AK100"))&gt;0)
*(INDIRECT("'シフト一覧（転載）'!"&amp;AY30&amp;":AK100")&lt;&gt;"休み"),1,0),0)),0),"")</f>
        <v>0</v>
      </c>
      <c r="BA31" s="21">
        <f ca="1">IF(AZ30=0,0,
IF(OR(AZ30="",COUNTIF(AZ30,"*保育無し*")),"",
IF(MOD(AZ31-AZ30,1)*24&gt;=8,1,
IF(MOD(AZ31-AZ30,1)*24&gt;=6,0.75,0))))</f>
        <v>0</v>
      </c>
      <c r="BB31" s="21">
        <f t="array" aca="1" ref="BB31" ca="1">IFERROR(IF(BA30&lt;&gt;0,INDEX(
INDIRECT("'シフト一覧（転載）'!"&amp;BA30&amp;":AK100"),1+1,
MATCH(1,INDEX((LEN(INDIRECT("'シフト一覧（転載）'!"&amp;BA30&amp;":AK100"))&gt;0)
*(INDIRECT("'シフト一覧（転載）'!"&amp;BA30&amp;":AK100")&lt;&gt;"休み"),1,0),0)),0),"")</f>
        <v>0</v>
      </c>
      <c r="BC31" s="21">
        <f ca="1">IF(BB30=0,0,
IF(OR(BB30="",COUNTIF(BB30,"*保育無し*")),"",
IF(MOD(BB31-BB30,1)*24&gt;=8,1,
IF(MOD(BB31-BB30,1)*24&gt;=6,0.75,0))))</f>
        <v>0</v>
      </c>
      <c r="BD31" s="21">
        <f t="array" aca="1" ref="BD31" ca="1">IFERROR(IF(BC30&lt;&gt;0,INDEX(
INDIRECT("'シフト一覧（転載）'!"&amp;BC30&amp;":AK100"),1+1,
MATCH(1,INDEX((LEN(INDIRECT("'シフト一覧（転載）'!"&amp;BC30&amp;":AK100"))&gt;0)
*(INDIRECT("'シフト一覧（転載）'!"&amp;BC30&amp;":AK100")&lt;&gt;"休み"),1,0),0)),0),"")</f>
        <v>0</v>
      </c>
      <c r="BE31" s="21">
        <f ca="1">IF(BD30=0,0,
IF(OR(BD30="",COUNTIF(BD30,"*保育無し*")),"",
IF(MOD(BD31-BD30,1)*24&gt;=8,1,
IF(MOD(BD31-BD30,1)*24&gt;=6,0.75,0))))</f>
        <v>0</v>
      </c>
      <c r="BF31" s="21">
        <f t="array" aca="1" ref="BF31" ca="1">IFERROR(IF(BE30&lt;&gt;0,INDEX(
INDIRECT("'シフト一覧（転載）'!"&amp;BE30&amp;":AK100"),1+1,
MATCH(1,INDEX((LEN(INDIRECT("'シフト一覧（転載）'!"&amp;BE30&amp;":AK100"))&gt;0)
*(INDIRECT("'シフト一覧（転載）'!"&amp;BE30&amp;":AK100")&lt;&gt;"休み"),1,0),0)),0),"")</f>
        <v>0</v>
      </c>
      <c r="BG31" s="21">
        <f ca="1">IF(BF30=0,0,
IF(OR(BF30="",COUNTIF(BF30,"*保育無し*")),"",
IF(MOD(BF31-BF30,1)*24&gt;=8,1,
IF(MOD(BF31-BF30,1)*24&gt;=6,0.75,0))))</f>
        <v>0</v>
      </c>
      <c r="BH31" s="21">
        <f t="array" aca="1" ref="BH31" ca="1">IFERROR(IF(BG30&lt;&gt;0,INDEX(
INDIRECT("'シフト一覧（転載）'!"&amp;BG30&amp;":AK100"),1+1,
MATCH(1,INDEX((LEN(INDIRECT("'シフト一覧（転載）'!"&amp;BG30&amp;":AK100"))&gt;0)
*(INDIRECT("'シフト一覧（転載）'!"&amp;BG30&amp;":AK100")&lt;&gt;"休み"),1,0),0)),0),"")</f>
        <v>0</v>
      </c>
      <c r="BI31" s="21">
        <f ca="1">IF(BH30=0,0,
IF(OR(BH30="",COUNTIF(BH30,"*保育無し*")),"",
IF(MOD(BH31-BH30,1)*24&gt;=8,1,
IF(MOD(BH31-BH30,1)*24&gt;=6,0.75,0))))</f>
        <v>0</v>
      </c>
      <c r="BJ31" s="21">
        <f t="array" aca="1" ref="BJ31" ca="1">IFERROR(IF(BI30&lt;&gt;0,INDEX(
INDIRECT("'シフト一覧（転載）'!"&amp;BI30&amp;":AK100"),1+1,
MATCH(1,INDEX((LEN(INDIRECT("'シフト一覧（転載）'!"&amp;BI30&amp;":AK100"))&gt;0)
*(INDIRECT("'シフト一覧（転載）'!"&amp;BI30&amp;":AK100")&lt;&gt;"休み"),1,0),0)),0),"")</f>
        <v>0</v>
      </c>
      <c r="BK31" s="21">
        <f ca="1">IF(BJ30=0,0,
IF(OR(BJ30="",COUNTIF(BJ30,"*保育無し*")),"",
IF(MOD(BJ31-BJ30,1)*24&gt;=8,1,
IF(MOD(BJ31-BJ30,1)*24&gt;=6,0.75,0))))</f>
        <v>0</v>
      </c>
      <c r="BL31" s="21">
        <f t="array" aca="1" ref="BL31" ca="1">IFERROR(IF(BK30&lt;&gt;0,INDEX(
INDIRECT("'シフト一覧（転載）'!"&amp;BK30&amp;":AK100"),1+1,
MATCH(1,INDEX((LEN(INDIRECT("'シフト一覧（転載）'!"&amp;BK30&amp;":AK100"))&gt;0)
*(INDIRECT("'シフト一覧（転載）'!"&amp;BK30&amp;":AK100")&lt;&gt;"休み"),1,0),0)),0),"")</f>
        <v>0</v>
      </c>
      <c r="BM31" s="21">
        <f ca="1">IF(BL30=0,0,
IF(OR(BL30="",COUNTIF(BL30,"*保育無し*")),"",
IF(MOD(BL31-BL30,1)*24&gt;=8,1,
IF(MOD(BL31-BL30,1)*24&gt;=6,0.75,0))))</f>
        <v>0</v>
      </c>
      <c r="BN31" s="21">
        <f t="array" aca="1" ref="BN31" ca="1">IFERROR(IF(BM30&lt;&gt;0,INDEX(
INDIRECT("'シフト一覧（転載）'!"&amp;BM30&amp;":AK100"),1+1,
MATCH(1,INDEX((LEN(INDIRECT("'シフト一覧（転載）'!"&amp;BM30&amp;":AK100"))&gt;0)
*(INDIRECT("'シフト一覧（転載）'!"&amp;BM30&amp;":AK100")&lt;&gt;"休み"),1,0),0)),0),"")</f>
        <v>0</v>
      </c>
      <c r="BO31" s="21">
        <f ca="1">IF(BN30=0,0,
IF(OR(BN30="",COUNTIF(BN30,"*保育無し*")),"",
IF(MOD(BN31-BN30,1)*24&gt;=8,1,
IF(MOD(BN31-BN30,1)*24&gt;=6,0.75,0))))</f>
        <v>0</v>
      </c>
      <c r="BP31" s="21">
        <f t="array" aca="1" ref="BP31" ca="1">IFERROR(IF(BO30&lt;&gt;0,INDEX(
INDIRECT("'シフト一覧（転載）'!"&amp;BO30&amp;":AK100"),1+1,
MATCH(1,INDEX((LEN(INDIRECT("'シフト一覧（転載）'!"&amp;BO30&amp;":AK100"))&gt;0)
*(INDIRECT("'シフト一覧（転載）'!"&amp;BO30&amp;":AK100")&lt;&gt;"休み"),1,0),0)),0),"")</f>
        <v>0</v>
      </c>
      <c r="BQ31" s="21">
        <f ca="1">IF(BP30=0,0,
IF(OR(BP30="",COUNTIF(BP30,"*保育無し*")),"",
IF(MOD(BP31-BP30,1)*24&gt;=8,1,
IF(MOD(BP31-BP30,1)*24&gt;=6,0.75,0))))</f>
        <v>0</v>
      </c>
      <c r="BR31" s="21">
        <f t="array" aca="1" ref="BR31" ca="1">IFERROR(IF(BQ30&lt;&gt;0,INDEX(
INDIRECT("'シフト一覧（転載）'!"&amp;BQ30&amp;":AK100"),1+1,
MATCH(1,INDEX((LEN(INDIRECT("'シフト一覧（転載）'!"&amp;BQ30&amp;":AK100"))&gt;0)
*(INDIRECT("'シフト一覧（転載）'!"&amp;BQ30&amp;":AK100")&lt;&gt;"休み"),1,0),0)),0),"")</f>
        <v>0</v>
      </c>
      <c r="BS31" s="21">
        <f ca="1">IF(BR30=0,0,
IF(OR(BR30="",COUNTIF(BR30,"*保育無し*")),"",
IF(MOD(BR31-BR30,1)*24&gt;=8,1,
IF(MOD(BR31-BR30,1)*24&gt;=6,0.75,0))))</f>
        <v>0</v>
      </c>
      <c r="BT31" s="21">
        <f t="array" aca="1" ref="BT31" ca="1">IFERROR(IF(BS30&lt;&gt;0,INDEX(
INDIRECT("'シフト一覧（転載）'!"&amp;BS30&amp;":AK100"),1+1,
MATCH(1,INDEX((LEN(INDIRECT("'シフト一覧（転載）'!"&amp;BS30&amp;":AK100"))&gt;0)
*(INDIRECT("'シフト一覧（転載）'!"&amp;BS30&amp;":AK100")&lt;&gt;"休み"),1,0),0)),0),"")</f>
        <v>0</v>
      </c>
      <c r="BU31" s="21">
        <f ca="1">IF(BT30=0,0,
IF(OR(BT30="",COUNTIF(BT30,"*保育無し*")),"",
IF(MOD(BT31-BT30,1)*24&gt;=8,1,
IF(MOD(BT31-BT30,1)*24&gt;=6,0.75,0))))</f>
        <v>0</v>
      </c>
      <c r="BV31" s="21">
        <f t="array" aca="1" ref="BV31" ca="1">IFERROR(IF(BU30&lt;&gt;0,INDEX(
INDIRECT("'シフト一覧（転載）'!"&amp;BU30&amp;":AK100"),1+1,
MATCH(1,INDEX((LEN(INDIRECT("'シフト一覧（転載）'!"&amp;BU30&amp;":AK100"))&gt;0)
*(INDIRECT("'シフト一覧（転載）'!"&amp;BU30&amp;":AK100")&lt;&gt;"休み"),1,0),0)),0),"")</f>
        <v>0</v>
      </c>
      <c r="BW31" s="21">
        <f ca="1">IF(BV30=0,0,
IF(OR(BV30="",COUNTIF(BV30,"*保育無し*")),"",
IF(MOD(BV31-BV30,1)*24&gt;=8,1,
IF(MOD(BV31-BV30,1)*24&gt;=6,0.75,0))))</f>
        <v>0</v>
      </c>
      <c r="BX31" s="21">
        <f t="array" aca="1" ref="BX31" ca="1">IFERROR(IF(BW30&lt;&gt;0,INDEX(
INDIRECT("'シフト一覧（転載）'!"&amp;BW30&amp;":AK100"),1+1,
MATCH(1,INDEX((LEN(INDIRECT("'シフト一覧（転載）'!"&amp;BW30&amp;":AK100"))&gt;0)
*(INDIRECT("'シフト一覧（転載）'!"&amp;BW30&amp;":AK100")&lt;&gt;"休み"),1,0),0)),0),"")</f>
        <v>0</v>
      </c>
      <c r="BY31" s="21">
        <f ca="1">IF(BX30=0,0,
IF(OR(BX30="",COUNTIF(BX30,"*保育無し*")),"",
IF(MOD(BX31-BX30,1)*24&gt;=8,1,
IF(MOD(BX31-BX30,1)*24&gt;=6,0.75,0))))</f>
        <v>0</v>
      </c>
    </row>
    <row r="32" spans="1:77" ht="19.8" customHeight="1" x14ac:dyDescent="0.2">
      <c r="A32" s="43">
        <f>IF(A31&lt;&gt;0,IF($B$9&gt;A31,A31+1,0),0)</f>
        <v>0</v>
      </c>
      <c r="B32" s="48" t="str" cm="1">
        <f t="array" aca="1" ref="B32" ca="1">IFERROR(_xlfn.TEXTJOIN("", TRUE, IF(ISERR(MID(INDIRECT("'Page_" &amp; A32 &amp; "'!C2"), ROW(INDIRECT("1:" &amp; LEN(INDIRECT("'Page_" &amp; A32 &amp; "'!C2")))), 1)*1), MID(INDIRECT("'Page_" &amp; A32 &amp; "'!C2"), ROW(INDIRECT("1:" &amp; LEN(INDIRECT("'Page_" &amp; A32 &amp; "'!C2")))), 1), "")),"")</f>
        <v/>
      </c>
      <c r="C32" s="49" t="str" cm="1">
        <f t="array" aca="1" ref="C32" ca="1">IFERROR(IF(INDIRECT("'Page_" &amp; A32 &amp; "'!E2")&lt;&gt;"",INDIRECT("'Page_" &amp; A32 &amp; "'!E2"),INDIRECT("'Page_" &amp; A32 &amp; "'!D2")),"")</f>
        <v/>
      </c>
      <c r="D32" s="58" t="str" cm="1">
        <f t="array" aca="1" ref="D32" ca="1">IFERROR(IF(INDIRECT("'Page_" &amp; A32 &amp; "'!Q3")&lt;&gt;"",INDIRECT("'Page_" &amp; A32 &amp; "'!Q3"),INDIRECT("'Page_" &amp; A32 &amp; "'!P3")),"")</f>
        <v/>
      </c>
      <c r="E32" s="39">
        <f t="shared" ca="1" si="2"/>
        <v>0</v>
      </c>
      <c r="F32" s="28" t="str">
        <f t="shared" ca="1" si="3"/>
        <v/>
      </c>
      <c r="G32" s="25" t="str">
        <f t="shared" ca="1" si="11"/>
        <v/>
      </c>
      <c r="H32" s="63" t="str" cm="1">
        <f t="array" aca="1" ref="H32" ca="1">IF(B32&lt;&gt;"",IFERROR(INDEX('シフト一覧（転載）'!$C$8:$C$100,
MATCH(1, (ISNUMBER(SEARCH(B32,'シフト一覧（転載）'!$A$8:$A$100)))
*(ISNUMBER(SEARCH($F$9,'シフト一覧（転載）'!$B$8:$B$100))), 0)),""),"")</f>
        <v/>
      </c>
      <c r="I32" s="54" t="str">
        <f t="shared" ca="1" si="12"/>
        <v/>
      </c>
      <c r="J32" s="25" t="str" cm="1">
        <f t="array" aca="1" ref="J32" ca="1">IF(B32&lt;&gt;"",IFERROR(SUM(INDIRECT("'Page_" &amp; A32 &amp; "'!K"&amp;MATCH("有休",INDIRECT("'Page_" &amp; A32 &amp; "'!K:K"),0)+2&amp;"")
+INDIRECT("'Page_" &amp; A32 &amp; "'!L"&amp;MATCH("特休",INDIRECT("'Page_" &amp; A32 &amp; "'!L:L"),0)+2&amp;""))*24,0),"")</f>
        <v/>
      </c>
      <c r="K32" s="59"/>
      <c r="M32" s="103" t="str" cm="1">
        <f t="array" aca="1" ref="M3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2" s="101" t="str">
        <f t="shared" ref="N32" ca="1" si="15">IF(M32&lt;&gt;"",VLOOKUP(M32,$B$12:$C$41,2,FALSE),"")</f>
        <v/>
      </c>
      <c r="O32" s="106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20">
        <f t="array" aca="1" ref="P32" ca="1">IFERROR(IF(M32&lt;&gt;"",INDEX('シフト一覧（転載）'!$F$8:$AK$100,
    MATCH(1,(ISNUMBER(SEARCH(M32,'シフト一覧（転載）'!$A$8:$A$100)))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MATCH(1,(ISNUMBER(SEARCH(M32,'シフト一覧（転載）'!$A$8:$A$100)))
                *(ISNUMBER(SEARCH($F$9,'シフト一覧（転載）'!$B$8:$B$100))),
                0),0),0)),0),$F$9&amp;"保育無し")</f>
        <v>0</v>
      </c>
      <c r="Q32" s="20">
        <f t="array" aca="1" ref="Q32" ca="1">IFERROR(IF(COUNTIF(P32,"*無*"),"",IF(M32&lt;&gt;"",ADDRESS(
    MATCH(1,(ISNUMBER(SEARCH(M32,'シフト一覧（転載）'!$A$8:$A$100)))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MATCH(1,(ISNUMBER(SEARCH(M32,'シフト一覧（転載）'!$A$8:$A$100)))
                *(ISNUMBER(SEARCH($F$9,'シフト一覧（転載）'!$B$8:$B$100))),0),0),0) + 6,4),0)),0)</f>
        <v>0</v>
      </c>
      <c r="R32" s="20">
        <f t="array" aca="1" ref="R32" ca="1">IFERROR(IF(Q32&lt;&gt;"",IF(Q32&lt;&gt;0,INDEX(
INDIRECT("'シフト一覧（転載）'!"&amp;Q32&amp;":AK100"),1,
MATCH(1,INDEX((LEN(INDIRECT("'シフト一覧（転載）'!"&amp;Q32&amp;":AK100"))&gt;0)
*(INDIRECT("'シフト一覧（転載）'!"&amp;Q32&amp;":AK100")&lt;&gt;"休み"),1,0),0)),0),""),$F$9&amp;"保育無し")</f>
        <v>0</v>
      </c>
      <c r="S32" s="20">
        <f t="array" aca="1" ref="S32" ca="1">IFERROR(IF(Q32&lt;&gt;0,ADDRESS(ROW(INDIRECT(Q32)),
    COLUMN(INDIRECT(Q32)) - 1 +
    MATCH(1,INDEX((LEN(INDIRECT("'シフト一覧（転載）'!"&amp;Q32&amp;":AK100"))&gt;0)
            *(INDIRECT("'シフト一覧（転載）'!"&amp;Q32&amp;":AK100")&lt;&gt;"休み"),
            1,0),0)+1,4),0),"")</f>
        <v>0</v>
      </c>
      <c r="T32" s="20">
        <f t="array" aca="1" ref="T32" ca="1">IFERROR(IF(S32&lt;&gt;"",IF(S32&lt;&gt;0,INDEX(
INDIRECT("'シフト一覧（転載）'!"&amp;S32&amp;":AK100"),1,
MATCH(1,INDEX((LEN(INDIRECT("'シフト一覧（転載）'!"&amp;S32&amp;":AK100"))&gt;0)
*(INDIRECT("'シフト一覧（転載）'!"&amp;S32&amp;":AK100")&lt;&gt;"休み"),1,0),0)),0),""),$F$9&amp;"保育無し")</f>
        <v>0</v>
      </c>
      <c r="U32" s="20">
        <f t="array" aca="1" ref="U32" ca="1">IFERROR(IF(S32&lt;&gt;0,ADDRESS(ROW(INDIRECT(S32)),
    COLUMN(INDIRECT(S32)) - 1 +
    MATCH(1,INDEX((LEN(INDIRECT("'シフト一覧（転載）'!"&amp;S32&amp;":AK100"))&gt;0)
            *(INDIRECT("'シフト一覧（転載）'!"&amp;S32&amp;":AK100")&lt;&gt;"休み"),
            1,0),0)+1,4),0),"")</f>
        <v>0</v>
      </c>
      <c r="V32" s="20">
        <f t="array" aca="1" ref="V32" ca="1">IFERROR(IF(U32&lt;&gt;"",IF(U32&lt;&gt;0,INDEX(
INDIRECT("'シフト一覧（転載）'!"&amp;U32&amp;":AK100"),1,
MATCH(1,INDEX((LEN(INDIRECT("'シフト一覧（転載）'!"&amp;U32&amp;":AK100"))&gt;0)
*(INDIRECT("'シフト一覧（転載）'!"&amp;U32&amp;":AK100")&lt;&gt;"休み"),1,0),0)),0),""),$F$9&amp;"保育無し")</f>
        <v>0</v>
      </c>
      <c r="W32" s="20">
        <f t="array" aca="1" ref="W32" ca="1">IFERROR(IF(U32&lt;&gt;0,ADDRESS(ROW(INDIRECT(U32)),
    COLUMN(INDIRECT(U32)) - 1 +
    MATCH(1,INDEX((LEN(INDIRECT("'シフト一覧（転載）'!"&amp;U32&amp;":AK100"))&gt;0)
            *(INDIRECT("'シフト一覧（転載）'!"&amp;U32&amp;":AK100")&lt;&gt;"休み"),
            1,0),0)+1,4),0),"")</f>
        <v>0</v>
      </c>
      <c r="X32" s="20">
        <f t="array" aca="1" ref="X32" ca="1">IFERROR(IF(W32&lt;&gt;"",IF(W32&lt;&gt;0,INDEX(
INDIRECT("'シフト一覧（転載）'!"&amp;W32&amp;":AK100"),1,
MATCH(1,INDEX((LEN(INDIRECT("'シフト一覧（転載）'!"&amp;W32&amp;":AK100"))&gt;0)
*(INDIRECT("'シフト一覧（転載）'!"&amp;W32&amp;":AK100")&lt;&gt;"休み"),1,0),0)),0),""),$F$9&amp;"保育無し")</f>
        <v>0</v>
      </c>
      <c r="Y32" s="20">
        <f t="array" aca="1" ref="Y32" ca="1">IFERROR(IF(W32&lt;&gt;0,ADDRESS(ROW(INDIRECT(W32)),
    COLUMN(INDIRECT(W32)) - 1 +
    MATCH(1,INDEX((LEN(INDIRECT("'シフト一覧（転載）'!"&amp;W32&amp;":AK100"))&gt;0)
            *(INDIRECT("'シフト一覧（転載）'!"&amp;W32&amp;":AK100")&lt;&gt;"休み"),
            1,0),0)+1,4),0),"")</f>
        <v>0</v>
      </c>
      <c r="Z32" s="20">
        <f t="array" aca="1" ref="Z32" ca="1">IFERROR(IF(Y32&lt;&gt;"",IF(Y32&lt;&gt;0,INDEX(
INDIRECT("'シフト一覧（転載）'!"&amp;Y32&amp;":AK100"),1,
MATCH(1,INDEX((LEN(INDIRECT("'シフト一覧（転載）'!"&amp;Y32&amp;":AK100"))&gt;0)
*(INDIRECT("'シフト一覧（転載）'!"&amp;Y32&amp;":AK100")&lt;&gt;"休み"),1,0),0)),0),""),$F$9&amp;"保育無し")</f>
        <v>0</v>
      </c>
      <c r="AA32" s="20">
        <f t="array" aca="1" ref="AA32" ca="1">IFERROR(IF(Y32&lt;&gt;0,ADDRESS(ROW(INDIRECT(Y32)),
    COLUMN(INDIRECT(Y32)) - 1 +
    MATCH(1,INDEX((LEN(INDIRECT("'シフト一覧（転載）'!"&amp;Y32&amp;":AK100"))&gt;0)
            *(INDIRECT("'シフト一覧（転載）'!"&amp;Y32&amp;":AK100")&lt;&gt;"休み"),
            1,0),0)+1,4),0),"")</f>
        <v>0</v>
      </c>
      <c r="AB32" s="20">
        <f t="array" aca="1" ref="AB32" ca="1">IFERROR(IF(AA32&lt;&gt;"",IF(AA32&lt;&gt;0,INDEX(
INDIRECT("'シフト一覧（転載）'!"&amp;AA32&amp;":AK100"),1,
MATCH(1,INDEX((LEN(INDIRECT("'シフト一覧（転載）'!"&amp;AA32&amp;":AK100"))&gt;0)
*(INDIRECT("'シフト一覧（転載）'!"&amp;AA32&amp;":AK100")&lt;&gt;"休み"),1,0),0)),0),""),$F$9&amp;"保育無し")</f>
        <v>0</v>
      </c>
      <c r="AC32" s="20">
        <f t="array" aca="1" ref="AC32" ca="1">IFERROR(IF(AA32&lt;&gt;0,ADDRESS(ROW(INDIRECT(AA32)),
    COLUMN(INDIRECT(AA32)) - 1 +
    MATCH(1,INDEX((LEN(INDIRECT("'シフト一覧（転載）'!"&amp;AA32&amp;":AK100"))&gt;0)
            *(INDIRECT("'シフト一覧（転載）'!"&amp;AA32&amp;":AK100")&lt;&gt;"休み"),
            1,0),0)+1,4),0),"")</f>
        <v>0</v>
      </c>
      <c r="AD32" s="20">
        <f t="array" aca="1" ref="AD32" ca="1">IFERROR(IF(AC32&lt;&gt;"",IF(AC32&lt;&gt;0,INDEX(
INDIRECT("'シフト一覧（転載）'!"&amp;AC32&amp;":AK100"),1,
MATCH(1,INDEX((LEN(INDIRECT("'シフト一覧（転載）'!"&amp;AC32&amp;":AK100"))&gt;0)
*(INDIRECT("'シフト一覧（転載）'!"&amp;AC32&amp;":AK100")&lt;&gt;"休み"),1,0),0)),0),""),$F$9&amp;"保育無し")</f>
        <v>0</v>
      </c>
      <c r="AE32" s="20">
        <f t="array" aca="1" ref="AE32" ca="1">IFERROR(IF(AC32&lt;&gt;0,ADDRESS(ROW(INDIRECT(AC32)),
    COLUMN(INDIRECT(AC32)) - 1 +
    MATCH(1,INDEX((LEN(INDIRECT("'シフト一覧（転載）'!"&amp;AC32&amp;":AK100"))&gt;0)
            *(INDIRECT("'シフト一覧（転載）'!"&amp;AC32&amp;":AK100")&lt;&gt;"休み"),
            1,0),0)+1,4),0),"")</f>
        <v>0</v>
      </c>
      <c r="AF32" s="20">
        <f t="array" aca="1" ref="AF32" ca="1">IFERROR(IF(AE32&lt;&gt;"",IF(AE32&lt;&gt;0,INDEX(
INDIRECT("'シフト一覧（転載）'!"&amp;AE32&amp;":AK100"),1,
MATCH(1,INDEX((LEN(INDIRECT("'シフト一覧（転載）'!"&amp;AE32&amp;":AK100"))&gt;0)
*(INDIRECT("'シフト一覧（転載）'!"&amp;AE32&amp;":AK100")&lt;&gt;"休み"),1,0),0)),0),""),$F$9&amp;"保育無し")</f>
        <v>0</v>
      </c>
      <c r="AG32" s="20">
        <f t="array" aca="1" ref="AG32" ca="1">IFERROR(IF(AE32&lt;&gt;0,ADDRESS(ROW(INDIRECT(AE32)),
    COLUMN(INDIRECT(AE32)) - 1 +
    MATCH(1,INDEX((LEN(INDIRECT("'シフト一覧（転載）'!"&amp;AE32&amp;":AK100"))&gt;0)
            *(INDIRECT("'シフト一覧（転載）'!"&amp;AE32&amp;":AK100")&lt;&gt;"休み"),
            1,0),0)+1,4),0),"")</f>
        <v>0</v>
      </c>
      <c r="AH32" s="20">
        <f t="array" aca="1" ref="AH32" ca="1">IFERROR(IF(AG32&lt;&gt;"",IF(AG32&lt;&gt;0,INDEX(
INDIRECT("'シフト一覧（転載）'!"&amp;AG32&amp;":AK100"),1,
MATCH(1,INDEX((LEN(INDIRECT("'シフト一覧（転載）'!"&amp;AG32&amp;":AK100"))&gt;0)
*(INDIRECT("'シフト一覧（転載）'!"&amp;AG32&amp;":AK100")&lt;&gt;"休み"),1,0),0)),0),""),$F$9&amp;"保育無し")</f>
        <v>0</v>
      </c>
      <c r="AI32" s="20">
        <f t="array" aca="1" ref="AI32" ca="1">IFERROR(IF(AG32&lt;&gt;0,ADDRESS(ROW(INDIRECT(AG32)),
    COLUMN(INDIRECT(AG32)) - 1 +
    MATCH(1,INDEX((LEN(INDIRECT("'シフト一覧（転載）'!"&amp;AG32&amp;":AK100"))&gt;0)
            *(INDIRECT("'シフト一覧（転載）'!"&amp;AG32&amp;":AK100")&lt;&gt;"休み"),
            1,0),0)+1,4),0),"")</f>
        <v>0</v>
      </c>
      <c r="AJ32" s="20">
        <f t="array" aca="1" ref="AJ32" ca="1">IFERROR(IF(AI32&lt;&gt;"",IF(AI32&lt;&gt;0,INDEX(
INDIRECT("'シフト一覧（転載）'!"&amp;AI32&amp;":AK100"),1,
MATCH(1,INDEX((LEN(INDIRECT("'シフト一覧（転載）'!"&amp;AI32&amp;":AK100"))&gt;0)
*(INDIRECT("'シフト一覧（転載）'!"&amp;AI32&amp;":AK100")&lt;&gt;"休み"),1,0),0)),0),""),$F$9&amp;"保育無し")</f>
        <v>0</v>
      </c>
      <c r="AK32" s="20">
        <f t="array" aca="1" ref="AK32" ca="1">IFERROR(IF(AI32&lt;&gt;0,ADDRESS(ROW(INDIRECT(AI32)),
    COLUMN(INDIRECT(AI32)) - 1 +
    MATCH(1,INDEX((LEN(INDIRECT("'シフト一覧（転載）'!"&amp;AI32&amp;":AK100"))&gt;0)
            *(INDIRECT("'シフト一覧（転載）'!"&amp;AI32&amp;":AK100")&lt;&gt;"休み"),
            1,0),0)+1,4),0),"")</f>
        <v>0</v>
      </c>
      <c r="AL32" s="20">
        <f t="array" aca="1" ref="AL32" ca="1">IFERROR(IF(AK32&lt;&gt;"",IF(AK32&lt;&gt;0,INDEX(
INDIRECT("'シフト一覧（転載）'!"&amp;AK32&amp;":AK100"),1,
MATCH(1,INDEX((LEN(INDIRECT("'シフト一覧（転載）'!"&amp;AK32&amp;":AK100"))&gt;0)
*(INDIRECT("'シフト一覧（転載）'!"&amp;AK32&amp;":AK100")&lt;&gt;"休み"),1,0),0)),0),""),$F$9&amp;"保育無し")</f>
        <v>0</v>
      </c>
      <c r="AM32" s="20">
        <f t="array" aca="1" ref="AM32" ca="1">IFERROR(IF(AK32&lt;&gt;0,ADDRESS(ROW(INDIRECT(AK32)),
    COLUMN(INDIRECT(AK32)) - 1 +
    MATCH(1,INDEX((LEN(INDIRECT("'シフト一覧（転載）'!"&amp;AK32&amp;":AK100"))&gt;0)
            *(INDIRECT("'シフト一覧（転載）'!"&amp;AK32&amp;":AK100")&lt;&gt;"休み"),
            1,0),0)+1,4),0),"")</f>
        <v>0</v>
      </c>
      <c r="AN32" s="20">
        <f t="array" aca="1" ref="AN32" ca="1">IFERROR(IF(AM32&lt;&gt;"",IF(AM32&lt;&gt;0,INDEX(
INDIRECT("'シフト一覧（転載）'!"&amp;AM32&amp;":AK100"),1,
MATCH(1,INDEX((LEN(INDIRECT("'シフト一覧（転載）'!"&amp;AM32&amp;":AK100"))&gt;0)
*(INDIRECT("'シフト一覧（転載）'!"&amp;AM32&amp;":AK100")&lt;&gt;"休み"),1,0),0)),0),""),$F$9&amp;"保育無し")</f>
        <v>0</v>
      </c>
      <c r="AO32" s="20">
        <f t="array" aca="1" ref="AO32" ca="1">IFERROR(IF(AM32&lt;&gt;0,ADDRESS(ROW(INDIRECT(AM32)),
    COLUMN(INDIRECT(AM32)) - 1 +
    MATCH(1,INDEX((LEN(INDIRECT("'シフト一覧（転載）'!"&amp;AM32&amp;":AK100"))&gt;0)
            *(INDIRECT("'シフト一覧（転載）'!"&amp;AM32&amp;":AK100")&lt;&gt;"休み"),
            1,0),0)+1,4),0),"")</f>
        <v>0</v>
      </c>
      <c r="AP32" s="20">
        <f t="array" aca="1" ref="AP32" ca="1">IFERROR(IF(AO32&lt;&gt;"",IF(AO32&lt;&gt;0,INDEX(
INDIRECT("'シフト一覧（転載）'!"&amp;AO32&amp;":AK100"),1,
MATCH(1,INDEX((LEN(INDIRECT("'シフト一覧（転載）'!"&amp;AO32&amp;":AK100"))&gt;0)
*(INDIRECT("'シフト一覧（転載）'!"&amp;AO32&amp;":AK100")&lt;&gt;"休み"),1,0),0)),0),""),$F$9&amp;"保育無し")</f>
        <v>0</v>
      </c>
      <c r="AQ32" s="20">
        <f t="array" aca="1" ref="AQ32" ca="1">IFERROR(IF(AO32&lt;&gt;0,ADDRESS(ROW(INDIRECT(AO32)),
    COLUMN(INDIRECT(AO32)) - 1 +
    MATCH(1,INDEX((LEN(INDIRECT("'シフト一覧（転載）'!"&amp;AO32&amp;":AK100"))&gt;0)
            *(INDIRECT("'シフト一覧（転載）'!"&amp;AO32&amp;":AK100")&lt;&gt;"休み"),
            1,0),0)+1,4),0),"")</f>
        <v>0</v>
      </c>
      <c r="AR32" s="20">
        <f t="array" aca="1" ref="AR32" ca="1">IFERROR(IF(AQ32&lt;&gt;"",IF(AQ32&lt;&gt;0,INDEX(
INDIRECT("'シフト一覧（転載）'!"&amp;AQ32&amp;":AK100"),1,
MATCH(1,INDEX((LEN(INDIRECT("'シフト一覧（転載）'!"&amp;AQ32&amp;":AK100"))&gt;0)
*(INDIRECT("'シフト一覧（転載）'!"&amp;AQ32&amp;":AK100")&lt;&gt;"休み"),1,0),0)),0),""),$F$9&amp;"保育無し")</f>
        <v>0</v>
      </c>
      <c r="AS32" s="20">
        <f t="array" aca="1" ref="AS32" ca="1">IFERROR(IF(AQ32&lt;&gt;0,ADDRESS(ROW(INDIRECT(AQ32)),
    COLUMN(INDIRECT(AQ32)) - 1 +
    MATCH(1,INDEX((LEN(INDIRECT("'シフト一覧（転載）'!"&amp;AQ32&amp;":AK100"))&gt;0)
            *(INDIRECT("'シフト一覧（転載）'!"&amp;AQ32&amp;":AK100")&lt;&gt;"休み"),
            1,0),0)+1,4),0),"")</f>
        <v>0</v>
      </c>
      <c r="AT32" s="20">
        <f t="array" aca="1" ref="AT32" ca="1">IFERROR(IF(AS32&lt;&gt;"",IF(AS32&lt;&gt;0,INDEX(
INDIRECT("'シフト一覧（転載）'!"&amp;AS32&amp;":AK100"),1,
MATCH(1,INDEX((LEN(INDIRECT("'シフト一覧（転載）'!"&amp;AS32&amp;":AK100"))&gt;0)
*(INDIRECT("'シフト一覧（転載）'!"&amp;AS32&amp;":AK100")&lt;&gt;"休み"),1,0),0)),0),""),$F$9&amp;"保育無し")</f>
        <v>0</v>
      </c>
      <c r="AU32" s="20">
        <f t="array" aca="1" ref="AU32" ca="1">IFERROR(IF(AS32&lt;&gt;0,ADDRESS(ROW(INDIRECT(AS32)),
    COLUMN(INDIRECT(AS32)) - 1 +
    MATCH(1,INDEX((LEN(INDIRECT("'シフト一覧（転載）'!"&amp;AS32&amp;":AK100"))&gt;0)
            *(INDIRECT("'シフト一覧（転載）'!"&amp;AS32&amp;":AK100")&lt;&gt;"休み"),
            1,0),0)+1,4),0),"")</f>
        <v>0</v>
      </c>
      <c r="AV32" s="20">
        <f t="array" aca="1" ref="AV32" ca="1">IFERROR(IF(AU32&lt;&gt;"",IF(AU32&lt;&gt;0,INDEX(
INDIRECT("'シフト一覧（転載）'!"&amp;AU32&amp;":AK100"),1,
MATCH(1,INDEX((LEN(INDIRECT("'シフト一覧（転載）'!"&amp;AU32&amp;":AK100"))&gt;0)
*(INDIRECT("'シフト一覧（転載）'!"&amp;AU32&amp;":AK100")&lt;&gt;"休み"),1,0),0)),0),""),$F$9&amp;"保育無し")</f>
        <v>0</v>
      </c>
      <c r="AW32" s="20">
        <f t="array" aca="1" ref="AW32" ca="1">IFERROR(IF(AU32&lt;&gt;0,ADDRESS(ROW(INDIRECT(AU32)),
    COLUMN(INDIRECT(AU32)) - 1 +
    MATCH(1,INDEX((LEN(INDIRECT("'シフト一覧（転載）'!"&amp;AU32&amp;":AK100"))&gt;0)
            *(INDIRECT("'シフト一覧（転載）'!"&amp;AU32&amp;":AK100")&lt;&gt;"休み"),
            1,0),0)+1,4),0),"")</f>
        <v>0</v>
      </c>
      <c r="AX32" s="20">
        <f t="array" aca="1" ref="AX32" ca="1">IFERROR(IF(AW32&lt;&gt;"",IF(AW32&lt;&gt;0,INDEX(
INDIRECT("'シフト一覧（転載）'!"&amp;AW32&amp;":AK100"),1,
MATCH(1,INDEX((LEN(INDIRECT("'シフト一覧（転載）'!"&amp;AW32&amp;":AK100"))&gt;0)
*(INDIRECT("'シフト一覧（転載）'!"&amp;AW32&amp;":AK100")&lt;&gt;"休み"),1,0),0)),0),""),$F$9&amp;"保育無し")</f>
        <v>0</v>
      </c>
      <c r="AY32" s="20">
        <f t="array" aca="1" ref="AY32" ca="1">IFERROR(IF(AW32&lt;&gt;0,ADDRESS(ROW(INDIRECT(AW32)),
    COLUMN(INDIRECT(AW32)) - 1 +
    MATCH(1,INDEX((LEN(INDIRECT("'シフト一覧（転載）'!"&amp;AW32&amp;":AK100"))&gt;0)
            *(INDIRECT("'シフト一覧（転載）'!"&amp;AW32&amp;":AK100")&lt;&gt;"休み"),
            1,0),0)+1,4),0),"")</f>
        <v>0</v>
      </c>
      <c r="AZ32" s="20">
        <f t="array" aca="1" ref="AZ32" ca="1">IFERROR(IF(AY32&lt;&gt;"",IF(AY32&lt;&gt;0,INDEX(
INDIRECT("'シフト一覧（転載）'!"&amp;AY32&amp;":AK100"),1,
MATCH(1,INDEX((LEN(INDIRECT("'シフト一覧（転載）'!"&amp;AY32&amp;":AK100"))&gt;0)
*(INDIRECT("'シフト一覧（転載）'!"&amp;AY32&amp;":AK100")&lt;&gt;"休み"),1,0),0)),0),""),$F$9&amp;"保育無し")</f>
        <v>0</v>
      </c>
      <c r="BA32" s="20">
        <f t="array" aca="1" ref="BA32" ca="1">IFERROR(IF(AY32&lt;&gt;0,ADDRESS(ROW(INDIRECT(AY32)),
    COLUMN(INDIRECT(AY32)) - 1 +
    MATCH(1,INDEX((LEN(INDIRECT("'シフト一覧（転載）'!"&amp;AY32&amp;":AK100"))&gt;0)
            *(INDIRECT("'シフト一覧（転載）'!"&amp;AY32&amp;":AK100")&lt;&gt;"休み"),
            1,0),0)+1,4),0),"")</f>
        <v>0</v>
      </c>
      <c r="BB32" s="20">
        <f t="array" aca="1" ref="BB32" ca="1">IFERROR(IF(BA32&lt;&gt;"",IF(BA32&lt;&gt;0,INDEX(
INDIRECT("'シフト一覧（転載）'!"&amp;BA32&amp;":AK100"),1,
MATCH(1,INDEX((LEN(INDIRECT("'シフト一覧（転載）'!"&amp;BA32&amp;":AK100"))&gt;0)
*(INDIRECT("'シフト一覧（転載）'!"&amp;BA32&amp;":AK100")&lt;&gt;"休み"),1,0),0)),0),""),$F$9&amp;"保育無し")</f>
        <v>0</v>
      </c>
      <c r="BC32" s="20">
        <f t="array" aca="1" ref="BC32" ca="1">IFERROR(IF(BA32&lt;&gt;0,ADDRESS(ROW(INDIRECT(BA32)),
    COLUMN(INDIRECT(BA32)) - 1 +
    MATCH(1,INDEX((LEN(INDIRECT("'シフト一覧（転載）'!"&amp;BA32&amp;":AK100"))&gt;0)
            *(INDIRECT("'シフト一覧（転載）'!"&amp;BA32&amp;":AK100")&lt;&gt;"休み"),
            1,0),0)+1,4),0),"")</f>
        <v>0</v>
      </c>
      <c r="BD32" s="20">
        <f t="array" aca="1" ref="BD32" ca="1">IFERROR(IF(BC32&lt;&gt;"",IF(BC32&lt;&gt;0,INDEX(
INDIRECT("'シフト一覧（転載）'!"&amp;BC32&amp;":AK100"),1,
MATCH(1,INDEX((LEN(INDIRECT("'シフト一覧（転載）'!"&amp;BC32&amp;":AK100"))&gt;0)
*(INDIRECT("'シフト一覧（転載）'!"&amp;BC32&amp;":AK100")&lt;&gt;"休み"),1,0),0)),0),""),$F$9&amp;"保育無し")</f>
        <v>0</v>
      </c>
      <c r="BE32" s="20">
        <f t="array" aca="1" ref="BE32" ca="1">IFERROR(IF(BC32&lt;&gt;0,ADDRESS(ROW(INDIRECT(BC32)),
    COLUMN(INDIRECT(BC32)) - 1 +
    MATCH(1,INDEX((LEN(INDIRECT("'シフト一覧（転載）'!"&amp;BC32&amp;":AK100"))&gt;0)
            *(INDIRECT("'シフト一覧（転載）'!"&amp;BC32&amp;":AK100")&lt;&gt;"休み"),
            1,0),0)+1,4),0),"")</f>
        <v>0</v>
      </c>
      <c r="BF32" s="20">
        <f t="array" aca="1" ref="BF32" ca="1">IFERROR(IF(BE32&lt;&gt;"",IF(BE32&lt;&gt;0,INDEX(
INDIRECT("'シフト一覧（転載）'!"&amp;BE32&amp;":AK100"),1,
MATCH(1,INDEX((LEN(INDIRECT("'シフト一覧（転載）'!"&amp;BE32&amp;":AK100"))&gt;0)
*(INDIRECT("'シフト一覧（転載）'!"&amp;BE32&amp;":AK100")&lt;&gt;"休み"),1,0),0)),0),""),$F$9&amp;"保育無し")</f>
        <v>0</v>
      </c>
      <c r="BG32" s="20">
        <f t="array" aca="1" ref="BG32" ca="1">IFERROR(IF(BE32&lt;&gt;0,ADDRESS(ROW(INDIRECT(BE32)),
    COLUMN(INDIRECT(BE32)) - 1 +
    MATCH(1,INDEX((LEN(INDIRECT("'シフト一覧（転載）'!"&amp;BE32&amp;":AK100"))&gt;0)
            *(INDIRECT("'シフト一覧（転載）'!"&amp;BE32&amp;":AK100")&lt;&gt;"休み"),
            1,0),0)+1,4),0),"")</f>
        <v>0</v>
      </c>
      <c r="BH32" s="20">
        <f t="array" aca="1" ref="BH32" ca="1">IFERROR(IF(BG32&lt;&gt;"",IF(BG32&lt;&gt;0,INDEX(
INDIRECT("'シフト一覧（転載）'!"&amp;BG32&amp;":AK100"),1,
MATCH(1,INDEX((LEN(INDIRECT("'シフト一覧（転載）'!"&amp;BG32&amp;":AK100"))&gt;0)
*(INDIRECT("'シフト一覧（転載）'!"&amp;BG32&amp;":AK100")&lt;&gt;"休み"),1,0),0)),0),""),$F$9&amp;"保育無し")</f>
        <v>0</v>
      </c>
      <c r="BI32" s="20">
        <f t="array" aca="1" ref="BI32" ca="1">IFERROR(IF(BG32&lt;&gt;0,ADDRESS(ROW(INDIRECT(BG32)),
    COLUMN(INDIRECT(BG32)) - 1 +
    MATCH(1,INDEX((LEN(INDIRECT("'シフト一覧（転載）'!"&amp;BG32&amp;":AK100"))&gt;0)
            *(INDIRECT("'シフト一覧（転載）'!"&amp;BG32&amp;":AK100")&lt;&gt;"休み"),
            1,0),0)+1,4),0),"")</f>
        <v>0</v>
      </c>
      <c r="BJ32" s="20">
        <f t="array" aca="1" ref="BJ32" ca="1">IFERROR(IF(BI32&lt;&gt;"",IF(BI32&lt;&gt;0,INDEX(
INDIRECT("'シフト一覧（転載）'!"&amp;BI32&amp;":AK100"),1,
MATCH(1,INDEX((LEN(INDIRECT("'シフト一覧（転載）'!"&amp;BI32&amp;":AK100"))&gt;0)
*(INDIRECT("'シフト一覧（転載）'!"&amp;BI32&amp;":AK100")&lt;&gt;"休み"),1,0),0)),0),""),$F$9&amp;"保育無し")</f>
        <v>0</v>
      </c>
      <c r="BK32" s="20">
        <f t="array" aca="1" ref="BK32" ca="1">IFERROR(IF(BI32&lt;&gt;0,ADDRESS(ROW(INDIRECT(BI32)),
    COLUMN(INDIRECT(BI32)) - 1 +
    MATCH(1,INDEX((LEN(INDIRECT("'シフト一覧（転載）'!"&amp;BI32&amp;":AK100"))&gt;0)
            *(INDIRECT("'シフト一覧（転載）'!"&amp;BI32&amp;":AK100")&lt;&gt;"休み"),
            1,0),0)+1,4),0),"")</f>
        <v>0</v>
      </c>
      <c r="BL32" s="20">
        <f t="array" aca="1" ref="BL32" ca="1">IFERROR(IF(BK32&lt;&gt;"",IF(BK32&lt;&gt;0,INDEX(
INDIRECT("'シフト一覧（転載）'!"&amp;BK32&amp;":AK100"),1,
MATCH(1,INDEX((LEN(INDIRECT("'シフト一覧（転載）'!"&amp;BK32&amp;":AK100"))&gt;0)
*(INDIRECT("'シフト一覧（転載）'!"&amp;BK32&amp;":AK100")&lt;&gt;"休み"),1,0),0)),0),""),$F$9&amp;"保育無し")</f>
        <v>0</v>
      </c>
      <c r="BM32" s="20">
        <f t="array" aca="1" ref="BM32" ca="1">IFERROR(IF(BK32&lt;&gt;0,ADDRESS(ROW(INDIRECT(BK32)),
    COLUMN(INDIRECT(BK32)) - 1 +
    MATCH(1,INDEX((LEN(INDIRECT("'シフト一覧（転載）'!"&amp;BK32&amp;":AK100"))&gt;0)
            *(INDIRECT("'シフト一覧（転載）'!"&amp;BK32&amp;":AK100")&lt;&gt;"休み"),
            1,0),0)+1,4),0),"")</f>
        <v>0</v>
      </c>
      <c r="BN32" s="20">
        <f t="array" aca="1" ref="BN32" ca="1">IFERROR(IF(BM32&lt;&gt;"",IF(BM32&lt;&gt;0,INDEX(
INDIRECT("'シフト一覧（転載）'!"&amp;BM32&amp;":AK100"),1,
MATCH(1,INDEX((LEN(INDIRECT("'シフト一覧（転載）'!"&amp;BM32&amp;":AK100"))&gt;0)
*(INDIRECT("'シフト一覧（転載）'!"&amp;BM32&amp;":AK100")&lt;&gt;"休み"),1,0),0)),0),""),$F$9&amp;"保育無し")</f>
        <v>0</v>
      </c>
      <c r="BO32" s="20">
        <f t="array" aca="1" ref="BO32" ca="1">IFERROR(IF(BM32&lt;&gt;0,ADDRESS(ROW(INDIRECT(BM32)),
    COLUMN(INDIRECT(BM32)) - 1 +
    MATCH(1,INDEX((LEN(INDIRECT("'シフト一覧（転載）'!"&amp;BM32&amp;":AK100"))&gt;0)
            *(INDIRECT("'シフト一覧（転載）'!"&amp;BM32&amp;":AK100")&lt;&gt;"休み"),
            1,0),0)+1,4),0),"")</f>
        <v>0</v>
      </c>
      <c r="BP32" s="20">
        <f t="array" aca="1" ref="BP32" ca="1">IFERROR(IF(BO32&lt;&gt;"",IF(BO32&lt;&gt;0,INDEX(
INDIRECT("'シフト一覧（転載）'!"&amp;BO32&amp;":AK100"),1,
MATCH(1,INDEX((LEN(INDIRECT("'シフト一覧（転載）'!"&amp;BO32&amp;":AK100"))&gt;0)
*(INDIRECT("'シフト一覧（転載）'!"&amp;BO32&amp;":AK100")&lt;&gt;"休み"),1,0),0)),0),""),$F$9&amp;"保育無し")</f>
        <v>0</v>
      </c>
      <c r="BQ32" s="20">
        <f t="array" aca="1" ref="BQ32" ca="1">IFERROR(IF(BO32&lt;&gt;0,ADDRESS(ROW(INDIRECT(BO32)),
    COLUMN(INDIRECT(BO32)) - 1 +
    MATCH(1,INDEX((LEN(INDIRECT("'シフト一覧（転載）'!"&amp;BO32&amp;":AK100"))&gt;0)
            *(INDIRECT("'シフト一覧（転載）'!"&amp;BO32&amp;":AK100")&lt;&gt;"休み"),
            1,0),0)+1,4),0),"")</f>
        <v>0</v>
      </c>
      <c r="BR32" s="20">
        <f t="array" aca="1" ref="BR32" ca="1">IFERROR(IF(BQ32&lt;&gt;"",IF(BQ32&lt;&gt;0,INDEX(
INDIRECT("'シフト一覧（転載）'!"&amp;BQ32&amp;":AK100"),1,
MATCH(1,INDEX((LEN(INDIRECT("'シフト一覧（転載）'!"&amp;BQ32&amp;":AK100"))&gt;0)
*(INDIRECT("'シフト一覧（転載）'!"&amp;BQ32&amp;":AK100")&lt;&gt;"休み"),1,0),0)),0),""),$F$9&amp;"保育無し")</f>
        <v>0</v>
      </c>
      <c r="BS32" s="20">
        <f t="array" aca="1" ref="BS32" ca="1">IFERROR(IF(BQ32&lt;&gt;0,ADDRESS(ROW(INDIRECT(BQ32)),
    COLUMN(INDIRECT(BQ32)) - 1 +
    MATCH(1,INDEX((LEN(INDIRECT("'シフト一覧（転載）'!"&amp;BQ32&amp;":AK100"))&gt;0)
            *(INDIRECT("'シフト一覧（転載）'!"&amp;BQ32&amp;":AK100")&lt;&gt;"休み"),
            1,0),0)+1,4),0),"")</f>
        <v>0</v>
      </c>
      <c r="BT32" s="20">
        <f t="array" aca="1" ref="BT32" ca="1">IFERROR(IF(BS32&lt;&gt;"",IF(BS32&lt;&gt;0,INDEX(
INDIRECT("'シフト一覧（転載）'!"&amp;BS32&amp;":AK100"),1,
MATCH(1,INDEX((LEN(INDIRECT("'シフト一覧（転載）'!"&amp;BS32&amp;":AK100"))&gt;0)
*(INDIRECT("'シフト一覧（転載）'!"&amp;BS32&amp;":AK100")&lt;&gt;"休み"),1,0),0)),0),""),$F$9&amp;"保育無し")</f>
        <v>0</v>
      </c>
      <c r="BU32" s="20">
        <f t="array" aca="1" ref="BU32" ca="1">IFERROR(IF(BS32&lt;&gt;0,ADDRESS(ROW(INDIRECT(BS32)),
    COLUMN(INDIRECT(BS32)) - 1 +
    MATCH(1,INDEX((LEN(INDIRECT("'シフト一覧（転載）'!"&amp;BS32&amp;":AK100"))&gt;0)
            *(INDIRECT("'シフト一覧（転載）'!"&amp;BS32&amp;":AK100")&lt;&gt;"休み"),
            1,0),0)+1,4),0),"")</f>
        <v>0</v>
      </c>
      <c r="BV32" s="20">
        <f t="array" aca="1" ref="BV32" ca="1">IFERROR(IF(BU32&lt;&gt;"",IF(BU32&lt;&gt;0,INDEX(
INDIRECT("'シフト一覧（転載）'!"&amp;BU32&amp;":AK100"),1,
MATCH(1,INDEX((LEN(INDIRECT("'シフト一覧（転載）'!"&amp;BU32&amp;":AK100"))&gt;0)
*(INDIRECT("'シフト一覧（転載）'!"&amp;BU32&amp;":AK100")&lt;&gt;"休み"),1,0),0)),0),""),$F$9&amp;"保育無し")</f>
        <v>0</v>
      </c>
      <c r="BW32" s="20">
        <f t="array" aca="1" ref="BW32" ca="1">IFERROR(IF(BU32&lt;&gt;0,ADDRESS(ROW(INDIRECT(BU32)),
    COLUMN(INDIRECT(BU32)) - 1 +
    MATCH(1,INDEX((LEN(INDIRECT("'シフト一覧（転載）'!"&amp;BU32&amp;":AK100"))&gt;0)
            *(INDIRECT("'シフト一覧（転載）'!"&amp;BU32&amp;":AK100")&lt;&gt;"休み"),
            1,0),0)+1,4),0),"")</f>
        <v>0</v>
      </c>
      <c r="BX32" s="20">
        <f t="array" aca="1" ref="BX32" ca="1">IFERROR(IF(BW32&lt;&gt;"",IF(BW32&lt;&gt;0,INDEX(
INDIRECT("'シフト一覧（転載）'!"&amp;BW32&amp;":AK100"),1,
MATCH(1,INDEX((LEN(INDIRECT("'シフト一覧（転載）'!"&amp;BW32&amp;":AK100"))&gt;0)
*(INDIRECT("'シフト一覧（転載）'!"&amp;BW32&amp;":AK100")&lt;&gt;"休み"),1,0),0)),0),""),$F$9&amp;"保育無し")</f>
        <v>0</v>
      </c>
      <c r="BY32" s="20">
        <f t="array" aca="1" ref="BY32" ca="1">IFERROR(IF(BW32&lt;&gt;0,ADDRESS(ROW(INDIRECT(BW32)),
    COLUMN(INDIRECT(BW32)) - 1 +
    MATCH(1,INDEX((LEN(INDIRECT("'シフト一覧（転載）'!"&amp;BW32&amp;":AK100"))&gt;0)
            *(INDIRECT("'シフト一覧（転載）'!"&amp;BW32&amp;":AK100")&lt;&gt;"休み"),
            1,0),0)+1,4),0),"")</f>
        <v>0</v>
      </c>
    </row>
    <row r="33" spans="1:77" ht="19.8" customHeight="1" x14ac:dyDescent="0.2">
      <c r="A33" s="43">
        <f>IF(A32&lt;&gt;0,IF($B$9&gt;A32,A32+1,0),0)</f>
        <v>0</v>
      </c>
      <c r="B33" s="48" t="str" cm="1">
        <f t="array" aca="1" ref="B33" ca="1">IFERROR(_xlfn.TEXTJOIN("", TRUE, IF(ISERR(MID(INDIRECT("'Page_" &amp; A33 &amp; "'!C2"), ROW(INDIRECT("1:" &amp; LEN(INDIRECT("'Page_" &amp; A33 &amp; "'!C2")))), 1)*1), MID(INDIRECT("'Page_" &amp; A33 &amp; "'!C2"), ROW(INDIRECT("1:" &amp; LEN(INDIRECT("'Page_" &amp; A33 &amp; "'!C2")))), 1), "")),"")</f>
        <v/>
      </c>
      <c r="C33" s="49" t="str" cm="1">
        <f t="array" aca="1" ref="C33" ca="1">IFERROR(IF(INDIRECT("'Page_" &amp; A33 &amp; "'!E2")&lt;&gt;"",INDIRECT("'Page_" &amp; A33 &amp; "'!E2"),INDIRECT("'Page_" &amp; A33 &amp; "'!D2")),"")</f>
        <v/>
      </c>
      <c r="D33" s="58" t="str" cm="1">
        <f t="array" aca="1" ref="D33" ca="1">IFERROR(IF(INDIRECT("'Page_" &amp; A33 &amp; "'!Q3")&lt;&gt;"",INDIRECT("'Page_" &amp; A33 &amp; "'!Q3"),INDIRECT("'Page_" &amp; A33 &amp; "'!P3")),"")</f>
        <v/>
      </c>
      <c r="E33" s="39">
        <f t="shared" ca="1" si="2"/>
        <v>0</v>
      </c>
      <c r="F33" s="28" t="str">
        <f t="shared" ca="1" si="3"/>
        <v/>
      </c>
      <c r="G33" s="25" t="str">
        <f t="shared" ca="1" si="11"/>
        <v/>
      </c>
      <c r="H33" s="63" t="str" cm="1">
        <f t="array" aca="1" ref="H33" ca="1">IF(B33&lt;&gt;"",IFERROR(INDEX('シフト一覧（転載）'!$C$8:$C$100,
MATCH(1, (ISNUMBER(SEARCH(B33,'シフト一覧（転載）'!$A$8:$A$100)))
*(ISNUMBER(SEARCH($F$9,'シフト一覧（転載）'!$B$8:$B$100))), 0)),""),"")</f>
        <v/>
      </c>
      <c r="I33" s="54" t="str">
        <f t="shared" ca="1" si="12"/>
        <v/>
      </c>
      <c r="J33" s="25" t="str" cm="1">
        <f t="array" aca="1" ref="J33" ca="1">IF(B33&lt;&gt;"",IFERROR(SUM(INDIRECT("'Page_" &amp; A33 &amp; "'!K"&amp;MATCH("有休",INDIRECT("'Page_" &amp; A33 &amp; "'!K:K"),0)+2&amp;"")
+INDIRECT("'Page_" &amp; A33 &amp; "'!L"&amp;MATCH("特休",INDIRECT("'Page_" &amp; A33 &amp; "'!L:L"),0)+2&amp;""))*24,0),"")</f>
        <v/>
      </c>
      <c r="K33" s="59"/>
      <c r="M33" s="104"/>
      <c r="N33" s="102"/>
      <c r="O33" s="107"/>
      <c r="P33" s="21">
        <f t="array" aca="1" ref="P33" ca="1">IFERROR(IF(M32&lt;&gt;"",INDEX('シフト一覧（転載）'!$F$8:$AK$100,
    MATCH(1,(ISNUMBER(SEARCH(M32,'シフト一覧（転載）'!$A$8:$A$100)))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MATCH(1,(ISNUMBER(SEARCH(M32,'シフト一覧（転載）'!$A$8:$A$100)))
                *(ISNUMBER(SEARCH($F$9,'シフト一覧（転載）'!$B$8:$B$100))),
                0),0),0)),0),"")</f>
        <v>0</v>
      </c>
      <c r="Q33" s="21">
        <f ca="1">IF(P32=0,0,
IF(OR(P32="",COUNTIF(P32,"*保育無し*")),"",
IF(MOD(P33-P32,1)*24&gt;=8,1,
IF(MOD(P33-P32,1)*24&gt;=6,0.75,0))))</f>
        <v>0</v>
      </c>
      <c r="R33" s="21">
        <f t="array" aca="1" ref="R33" ca="1">IFERROR(IF(Q32&lt;&gt;0,INDEX(
INDIRECT("'シフト一覧（転載）'!"&amp;Q32&amp;":AK100"),1+1,
MATCH(1,INDEX((LEN(INDIRECT("'シフト一覧（転載）'!"&amp;Q32&amp;":AK100"))&gt;0)
*(INDIRECT("'シフト一覧（転載）'!"&amp;Q32&amp;":AK100")&lt;&gt;"休み"),1,0),0)),0),"")</f>
        <v>0</v>
      </c>
      <c r="S33" s="21">
        <f ca="1">IF(R32=0,0,
IF(OR(R32="",COUNTIF(R32,"*保育無し*")),"",
IF(MOD(R33-R32,1)*24&gt;=8,1,
IF(MOD(R33-R32,1)*24&gt;=6,0.75,0))))</f>
        <v>0</v>
      </c>
      <c r="T33" s="21">
        <f t="array" aca="1" ref="T33" ca="1">IFERROR(IF(S32&lt;&gt;0,INDEX(
INDIRECT("'シフト一覧（転載）'!"&amp;S32&amp;":AK100"),1+1,
MATCH(1,INDEX((LEN(INDIRECT("'シフト一覧（転載）'!"&amp;S32&amp;":AK100"))&gt;0)
*(INDIRECT("'シフト一覧（転載）'!"&amp;S32&amp;":AK100")&lt;&gt;"休み"),1,0),0)),0),"")</f>
        <v>0</v>
      </c>
      <c r="U33" s="21">
        <f ca="1">IF(T32=0,0,
IF(OR(T32="",COUNTIF(T32,"*保育無し*")),"",
IF(MOD(T33-T32,1)*24&gt;=8,1,
IF(MOD(T33-T32,1)*24&gt;=6,0.75,0))))</f>
        <v>0</v>
      </c>
      <c r="V33" s="21">
        <f t="array" aca="1" ref="V33" ca="1">IFERROR(IF(U32&lt;&gt;0,INDEX(
INDIRECT("'シフト一覧（転載）'!"&amp;U32&amp;":AK100"),1+1,
MATCH(1,INDEX((LEN(INDIRECT("'シフト一覧（転載）'!"&amp;U32&amp;":AK100"))&gt;0)
*(INDIRECT("'シフト一覧（転載）'!"&amp;U32&amp;":AK100")&lt;&gt;"休み"),1,0),0)),0),"")</f>
        <v>0</v>
      </c>
      <c r="W33" s="21">
        <f ca="1">IF(V32=0,0,
IF(OR(V32="",COUNTIF(V32,"*保育無し*")),"",
IF(MOD(V33-V32,1)*24&gt;=8,1,
IF(MOD(V33-V32,1)*24&gt;=6,0.75,0))))</f>
        <v>0</v>
      </c>
      <c r="X33" s="21">
        <f t="array" aca="1" ref="X33" ca="1">IFERROR(IF(W32&lt;&gt;0,INDEX(
INDIRECT("'シフト一覧（転載）'!"&amp;W32&amp;":AK100"),1+1,
MATCH(1,INDEX((LEN(INDIRECT("'シフト一覧（転載）'!"&amp;W32&amp;":AK100"))&gt;0)
*(INDIRECT("'シフト一覧（転載）'!"&amp;W32&amp;":AK100")&lt;&gt;"休み"),1,0),0)),0),"")</f>
        <v>0</v>
      </c>
      <c r="Y33" s="21">
        <f ca="1">IF(X32=0,0,
IF(OR(X32="",COUNTIF(X32,"*保育無し*")),"",
IF(MOD(X33-X32,1)*24&gt;=8,1,
IF(MOD(X33-X32,1)*24&gt;=6,0.75,0))))</f>
        <v>0</v>
      </c>
      <c r="Z33" s="21">
        <f t="array" aca="1" ref="Z33" ca="1">IFERROR(IF(Y32&lt;&gt;0,INDEX(
INDIRECT("'シフト一覧（転載）'!"&amp;Y32&amp;":AK100"),1+1,
MATCH(1,INDEX((LEN(INDIRECT("'シフト一覧（転載）'!"&amp;Y32&amp;":AK100"))&gt;0)
*(INDIRECT("'シフト一覧（転載）'!"&amp;Y32&amp;":AK100")&lt;&gt;"休み"),1,0),0)),0),"")</f>
        <v>0</v>
      </c>
      <c r="AA33" s="21">
        <f ca="1">IF(Z32=0,0,
IF(OR(Z32="",COUNTIF(Z32,"*保育無し*")),"",
IF(MOD(Z33-Z32,1)*24&gt;=8,1,
IF(MOD(Z33-Z32,1)*24&gt;=6,0.75,0))))</f>
        <v>0</v>
      </c>
      <c r="AB33" s="21">
        <f t="array" aca="1" ref="AB33" ca="1">IFERROR(IF(AA32&lt;&gt;0,INDEX(
INDIRECT("'シフト一覧（転載）'!"&amp;AA32&amp;":AK100"),1+1,
MATCH(1,INDEX((LEN(INDIRECT("'シフト一覧（転載）'!"&amp;AA32&amp;":AK100"))&gt;0)
*(INDIRECT("'シフト一覧（転載）'!"&amp;AA32&amp;":AK100")&lt;&gt;"休み"),1,0),0)),0),"")</f>
        <v>0</v>
      </c>
      <c r="AC33" s="21">
        <f ca="1">IF(AB32=0,0,
IF(OR(AB32="",COUNTIF(AB32,"*保育無し*")),"",
IF(MOD(AB33-AB32,1)*24&gt;=8,1,
IF(MOD(AB33-AB32,1)*24&gt;=6,0.75,0))))</f>
        <v>0</v>
      </c>
      <c r="AD33" s="21">
        <f t="array" aca="1" ref="AD33" ca="1">IFERROR(IF(AC32&lt;&gt;0,INDEX(
INDIRECT("'シフト一覧（転載）'!"&amp;AC32&amp;":AK100"),1+1,
MATCH(1,INDEX((LEN(INDIRECT("'シフト一覧（転載）'!"&amp;AC32&amp;":AK100"))&gt;0)
*(INDIRECT("'シフト一覧（転載）'!"&amp;AC32&amp;":AK100")&lt;&gt;"休み"),1,0),0)),0),"")</f>
        <v>0</v>
      </c>
      <c r="AE33" s="21">
        <f ca="1">IF(AD32=0,0,
IF(OR(AD32="",COUNTIF(AD32,"*保育無し*")),"",
IF(MOD(AD33-AD32,1)*24&gt;=8,1,
IF(MOD(AD33-AD32,1)*24&gt;=6,0.75,0))))</f>
        <v>0</v>
      </c>
      <c r="AF33" s="21">
        <f t="array" aca="1" ref="AF33" ca="1">IFERROR(IF(AE32&lt;&gt;0,INDEX(
INDIRECT("'シフト一覧（転載）'!"&amp;AE32&amp;":AK100"),1+1,
MATCH(1,INDEX((LEN(INDIRECT("'シフト一覧（転載）'!"&amp;AE32&amp;":AK100"))&gt;0)
*(INDIRECT("'シフト一覧（転載）'!"&amp;AE32&amp;":AK100")&lt;&gt;"休み"),1,0),0)),0),"")</f>
        <v>0</v>
      </c>
      <c r="AG33" s="21">
        <f ca="1">IF(AF32=0,0,
IF(OR(AF32="",COUNTIF(AF32,"*保育無し*")),"",
IF(MOD(AF33-AF32,1)*24&gt;=8,1,
IF(MOD(AF33-AF32,1)*24&gt;=6,0.75,0))))</f>
        <v>0</v>
      </c>
      <c r="AH33" s="21">
        <f t="array" aca="1" ref="AH33" ca="1">IFERROR(IF(AG32&lt;&gt;0,INDEX(
INDIRECT("'シフト一覧（転載）'!"&amp;AG32&amp;":AK100"),1+1,
MATCH(1,INDEX((LEN(INDIRECT("'シフト一覧（転載）'!"&amp;AG32&amp;":AK100"))&gt;0)
*(INDIRECT("'シフト一覧（転載）'!"&amp;AG32&amp;":AK100")&lt;&gt;"休み"),1,0),0)),0),"")</f>
        <v>0</v>
      </c>
      <c r="AI33" s="21">
        <f ca="1">IF(AH32=0,0,
IF(OR(AH32="",COUNTIF(AH32,"*保育無し*")),"",
IF(MOD(AH33-AH32,1)*24&gt;=8,1,
IF(MOD(AH33-AH32,1)*24&gt;=6,0.75,0))))</f>
        <v>0</v>
      </c>
      <c r="AJ33" s="21">
        <f t="array" aca="1" ref="AJ33" ca="1">IFERROR(IF(AI32&lt;&gt;0,INDEX(
INDIRECT("'シフト一覧（転載）'!"&amp;AI32&amp;":AK100"),1+1,
MATCH(1,INDEX((LEN(INDIRECT("'シフト一覧（転載）'!"&amp;AI32&amp;":AK100"))&gt;0)
*(INDIRECT("'シフト一覧（転載）'!"&amp;AI32&amp;":AK100")&lt;&gt;"休み"),1,0),0)),0),"")</f>
        <v>0</v>
      </c>
      <c r="AK33" s="21">
        <f ca="1">IF(AJ32=0,0,
IF(OR(AJ32="",COUNTIF(AJ32,"*保育無し*")),"",
IF(MOD(AJ33-AJ32,1)*24&gt;=8,1,
IF(MOD(AJ33-AJ32,1)*24&gt;=6,0.75,0))))</f>
        <v>0</v>
      </c>
      <c r="AL33" s="21">
        <f t="array" aca="1" ref="AL33" ca="1">IFERROR(IF(AK32&lt;&gt;0,INDEX(
INDIRECT("'シフト一覧（転載）'!"&amp;AK32&amp;":AK100"),1+1,
MATCH(1,INDEX((LEN(INDIRECT("'シフト一覧（転載）'!"&amp;AK32&amp;":AK100"))&gt;0)
*(INDIRECT("'シフト一覧（転載）'!"&amp;AK32&amp;":AK100")&lt;&gt;"休み"),1,0),0)),0),"")</f>
        <v>0</v>
      </c>
      <c r="AM33" s="21">
        <f ca="1">IF(AL32=0,0,
IF(OR(AL32="",COUNTIF(AL32,"*保育無し*")),"",
IF(MOD(AL33-AL32,1)*24&gt;=8,1,
IF(MOD(AL33-AL32,1)*24&gt;=6,0.75,0))))</f>
        <v>0</v>
      </c>
      <c r="AN33" s="21">
        <f t="array" aca="1" ref="AN33" ca="1">IFERROR(IF(AM32&lt;&gt;0,INDEX(
INDIRECT("'シフト一覧（転載）'!"&amp;AM32&amp;":AK100"),1+1,
MATCH(1,INDEX((LEN(INDIRECT("'シフト一覧（転載）'!"&amp;AM32&amp;":AK100"))&gt;0)
*(INDIRECT("'シフト一覧（転載）'!"&amp;AM32&amp;":AK100")&lt;&gt;"休み"),1,0),0)),0),"")</f>
        <v>0</v>
      </c>
      <c r="AO33" s="21">
        <f ca="1">IF(AN32=0,0,
IF(OR(AN32="",COUNTIF(AN32,"*保育無し*")),"",
IF(MOD(AN33-AN32,1)*24&gt;=8,1,
IF(MOD(AN33-AN32,1)*24&gt;=6,0.75,0))))</f>
        <v>0</v>
      </c>
      <c r="AP33" s="21">
        <f t="array" aca="1" ref="AP33" ca="1">IFERROR(IF(AO32&lt;&gt;0,INDEX(
INDIRECT("'シフト一覧（転載）'!"&amp;AO32&amp;":AK100"),1+1,
MATCH(1,INDEX((LEN(INDIRECT("'シフト一覧（転載）'!"&amp;AO32&amp;":AK100"))&gt;0)
*(INDIRECT("'シフト一覧（転載）'!"&amp;AO32&amp;":AK100")&lt;&gt;"休み"),1,0),0)),0),"")</f>
        <v>0</v>
      </c>
      <c r="AQ33" s="21">
        <f ca="1">IF(AP32=0,0,
IF(OR(AP32="",COUNTIF(AP32,"*保育無し*")),"",
IF(MOD(AP33-AP32,1)*24&gt;=8,1,
IF(MOD(AP33-AP32,1)*24&gt;=6,0.75,0))))</f>
        <v>0</v>
      </c>
      <c r="AR33" s="21">
        <f t="array" aca="1" ref="AR33" ca="1">IFERROR(IF(AQ32&lt;&gt;0,INDEX(
INDIRECT("'シフト一覧（転載）'!"&amp;AQ32&amp;":AK100"),1+1,
MATCH(1,INDEX((LEN(INDIRECT("'シフト一覧（転載）'!"&amp;AQ32&amp;":AK100"))&gt;0)
*(INDIRECT("'シフト一覧（転載）'!"&amp;AQ32&amp;":AK100")&lt;&gt;"休み"),1,0),0)),0),"")</f>
        <v>0</v>
      </c>
      <c r="AS33" s="21">
        <f ca="1">IF(AR32=0,0,
IF(OR(AR32="",COUNTIF(AR32,"*保育無し*")),"",
IF(MOD(AR33-AR32,1)*24&gt;=8,1,
IF(MOD(AR33-AR32,1)*24&gt;=6,0.75,0))))</f>
        <v>0</v>
      </c>
      <c r="AT33" s="21">
        <f t="array" aca="1" ref="AT33" ca="1">IFERROR(IF(AS32&lt;&gt;0,INDEX(
INDIRECT("'シフト一覧（転載）'!"&amp;AS32&amp;":AK100"),1+1,
MATCH(1,INDEX((LEN(INDIRECT("'シフト一覧（転載）'!"&amp;AS32&amp;":AK100"))&gt;0)
*(INDIRECT("'シフト一覧（転載）'!"&amp;AS32&amp;":AK100")&lt;&gt;"休み"),1,0),0)),0),"")</f>
        <v>0</v>
      </c>
      <c r="AU33" s="21">
        <f ca="1">IF(AT32=0,0,
IF(OR(AT32="",COUNTIF(AT32,"*保育無し*")),"",
IF(MOD(AT33-AT32,1)*24&gt;=8,1,
IF(MOD(AT33-AT32,1)*24&gt;=6,0.75,0))))</f>
        <v>0</v>
      </c>
      <c r="AV33" s="21">
        <f t="array" aca="1" ref="AV33" ca="1">IFERROR(IF(AU32&lt;&gt;0,INDEX(
INDIRECT("'シフト一覧（転載）'!"&amp;AU32&amp;":AK100"),1+1,
MATCH(1,INDEX((LEN(INDIRECT("'シフト一覧（転載）'!"&amp;AU32&amp;":AK100"))&gt;0)
*(INDIRECT("'シフト一覧（転載）'!"&amp;AU32&amp;":AK100")&lt;&gt;"休み"),1,0),0)),0),"")</f>
        <v>0</v>
      </c>
      <c r="AW33" s="21">
        <f ca="1">IF(AV32=0,0,
IF(OR(AV32="",COUNTIF(AV32,"*保育無し*")),"",
IF(MOD(AV33-AV32,1)*24&gt;=8,1,
IF(MOD(AV33-AV32,1)*24&gt;=6,0.75,0))))</f>
        <v>0</v>
      </c>
      <c r="AX33" s="21">
        <f t="array" aca="1" ref="AX33" ca="1">IFERROR(IF(AW32&lt;&gt;0,INDEX(
INDIRECT("'シフト一覧（転載）'!"&amp;AW32&amp;":AK100"),1+1,
MATCH(1,INDEX((LEN(INDIRECT("'シフト一覧（転載）'!"&amp;AW32&amp;":AK100"))&gt;0)
*(INDIRECT("'シフト一覧（転載）'!"&amp;AW32&amp;":AK100")&lt;&gt;"休み"),1,0),0)),0),"")</f>
        <v>0</v>
      </c>
      <c r="AY33" s="21">
        <f ca="1">IF(AX32=0,0,
IF(OR(AX32="",COUNTIF(AX32,"*保育無し*")),"",
IF(MOD(AX33-AX32,1)*24&gt;=8,1,
IF(MOD(AX33-AX32,1)*24&gt;=6,0.75,0))))</f>
        <v>0</v>
      </c>
      <c r="AZ33" s="21">
        <f t="array" aca="1" ref="AZ33" ca="1">IFERROR(IF(AY32&lt;&gt;0,INDEX(
INDIRECT("'シフト一覧（転載）'!"&amp;AY32&amp;":AK100"),1+1,
MATCH(1,INDEX((LEN(INDIRECT("'シフト一覧（転載）'!"&amp;AY32&amp;":AK100"))&gt;0)
*(INDIRECT("'シフト一覧（転載）'!"&amp;AY32&amp;":AK100")&lt;&gt;"休み"),1,0),0)),0),"")</f>
        <v>0</v>
      </c>
      <c r="BA33" s="21">
        <f ca="1">IF(AZ32=0,0,
IF(OR(AZ32="",COUNTIF(AZ32,"*保育無し*")),"",
IF(MOD(AZ33-AZ32,1)*24&gt;=8,1,
IF(MOD(AZ33-AZ32,1)*24&gt;=6,0.75,0))))</f>
        <v>0</v>
      </c>
      <c r="BB33" s="21">
        <f t="array" aca="1" ref="BB33" ca="1">IFERROR(IF(BA32&lt;&gt;0,INDEX(
INDIRECT("'シフト一覧（転載）'!"&amp;BA32&amp;":AK100"),1+1,
MATCH(1,INDEX((LEN(INDIRECT("'シフト一覧（転載）'!"&amp;BA32&amp;":AK100"))&gt;0)
*(INDIRECT("'シフト一覧（転載）'!"&amp;BA32&amp;":AK100")&lt;&gt;"休み"),1,0),0)),0),"")</f>
        <v>0</v>
      </c>
      <c r="BC33" s="21">
        <f ca="1">IF(BB32=0,0,
IF(OR(BB32="",COUNTIF(BB32,"*保育無し*")),"",
IF(MOD(BB33-BB32,1)*24&gt;=8,1,
IF(MOD(BB33-BB32,1)*24&gt;=6,0.75,0))))</f>
        <v>0</v>
      </c>
      <c r="BD33" s="21">
        <f t="array" aca="1" ref="BD33" ca="1">IFERROR(IF(BC32&lt;&gt;0,INDEX(
INDIRECT("'シフト一覧（転載）'!"&amp;BC32&amp;":AK100"),1+1,
MATCH(1,INDEX((LEN(INDIRECT("'シフト一覧（転載）'!"&amp;BC32&amp;":AK100"))&gt;0)
*(INDIRECT("'シフト一覧（転載）'!"&amp;BC32&amp;":AK100")&lt;&gt;"休み"),1,0),0)),0),"")</f>
        <v>0</v>
      </c>
      <c r="BE33" s="21">
        <f ca="1">IF(BD32=0,0,
IF(OR(BD32="",COUNTIF(BD32,"*保育無し*")),"",
IF(MOD(BD33-BD32,1)*24&gt;=8,1,
IF(MOD(BD33-BD32,1)*24&gt;=6,0.75,0))))</f>
        <v>0</v>
      </c>
      <c r="BF33" s="21">
        <f t="array" aca="1" ref="BF33" ca="1">IFERROR(IF(BE32&lt;&gt;0,INDEX(
INDIRECT("'シフト一覧（転載）'!"&amp;BE32&amp;":AK100"),1+1,
MATCH(1,INDEX((LEN(INDIRECT("'シフト一覧（転載）'!"&amp;BE32&amp;":AK100"))&gt;0)
*(INDIRECT("'シフト一覧（転載）'!"&amp;BE32&amp;":AK100")&lt;&gt;"休み"),1,0),0)),0),"")</f>
        <v>0</v>
      </c>
      <c r="BG33" s="21">
        <f ca="1">IF(BF32=0,0,
IF(OR(BF32="",COUNTIF(BF32,"*保育無し*")),"",
IF(MOD(BF33-BF32,1)*24&gt;=8,1,
IF(MOD(BF33-BF32,1)*24&gt;=6,0.75,0))))</f>
        <v>0</v>
      </c>
      <c r="BH33" s="21">
        <f t="array" aca="1" ref="BH33" ca="1">IFERROR(IF(BG32&lt;&gt;0,INDEX(
INDIRECT("'シフト一覧（転載）'!"&amp;BG32&amp;":AK100"),1+1,
MATCH(1,INDEX((LEN(INDIRECT("'シフト一覧（転載）'!"&amp;BG32&amp;":AK100"))&gt;0)
*(INDIRECT("'シフト一覧（転載）'!"&amp;BG32&amp;":AK100")&lt;&gt;"休み"),1,0),0)),0),"")</f>
        <v>0</v>
      </c>
      <c r="BI33" s="21">
        <f ca="1">IF(BH32=0,0,
IF(OR(BH32="",COUNTIF(BH32,"*保育無し*")),"",
IF(MOD(BH33-BH32,1)*24&gt;=8,1,
IF(MOD(BH33-BH32,1)*24&gt;=6,0.75,0))))</f>
        <v>0</v>
      </c>
      <c r="BJ33" s="21">
        <f t="array" aca="1" ref="BJ33" ca="1">IFERROR(IF(BI32&lt;&gt;0,INDEX(
INDIRECT("'シフト一覧（転載）'!"&amp;BI32&amp;":AK100"),1+1,
MATCH(1,INDEX((LEN(INDIRECT("'シフト一覧（転載）'!"&amp;BI32&amp;":AK100"))&gt;0)
*(INDIRECT("'シフト一覧（転載）'!"&amp;BI32&amp;":AK100")&lt;&gt;"休み"),1,0),0)),0),"")</f>
        <v>0</v>
      </c>
      <c r="BK33" s="21">
        <f ca="1">IF(BJ32=0,0,
IF(OR(BJ32="",COUNTIF(BJ32,"*保育無し*")),"",
IF(MOD(BJ33-BJ32,1)*24&gt;=8,1,
IF(MOD(BJ33-BJ32,1)*24&gt;=6,0.75,0))))</f>
        <v>0</v>
      </c>
      <c r="BL33" s="21">
        <f t="array" aca="1" ref="BL33" ca="1">IFERROR(IF(BK32&lt;&gt;0,INDEX(
INDIRECT("'シフト一覧（転載）'!"&amp;BK32&amp;":AK100"),1+1,
MATCH(1,INDEX((LEN(INDIRECT("'シフト一覧（転載）'!"&amp;BK32&amp;":AK100"))&gt;0)
*(INDIRECT("'シフト一覧（転載）'!"&amp;BK32&amp;":AK100")&lt;&gt;"休み"),1,0),0)),0),"")</f>
        <v>0</v>
      </c>
      <c r="BM33" s="21">
        <f ca="1">IF(BL32=0,0,
IF(OR(BL32="",COUNTIF(BL32,"*保育無し*")),"",
IF(MOD(BL33-BL32,1)*24&gt;=8,1,
IF(MOD(BL33-BL32,1)*24&gt;=6,0.75,0))))</f>
        <v>0</v>
      </c>
      <c r="BN33" s="21">
        <f t="array" aca="1" ref="BN33" ca="1">IFERROR(IF(BM32&lt;&gt;0,INDEX(
INDIRECT("'シフト一覧（転載）'!"&amp;BM32&amp;":AK100"),1+1,
MATCH(1,INDEX((LEN(INDIRECT("'シフト一覧（転載）'!"&amp;BM32&amp;":AK100"))&gt;0)
*(INDIRECT("'シフト一覧（転載）'!"&amp;BM32&amp;":AK100")&lt;&gt;"休み"),1,0),0)),0),"")</f>
        <v>0</v>
      </c>
      <c r="BO33" s="21">
        <f ca="1">IF(BN32=0,0,
IF(OR(BN32="",COUNTIF(BN32,"*保育無し*")),"",
IF(MOD(BN33-BN32,1)*24&gt;=8,1,
IF(MOD(BN33-BN32,1)*24&gt;=6,0.75,0))))</f>
        <v>0</v>
      </c>
      <c r="BP33" s="21">
        <f t="array" aca="1" ref="BP33" ca="1">IFERROR(IF(BO32&lt;&gt;0,INDEX(
INDIRECT("'シフト一覧（転載）'!"&amp;BO32&amp;":AK100"),1+1,
MATCH(1,INDEX((LEN(INDIRECT("'シフト一覧（転載）'!"&amp;BO32&amp;":AK100"))&gt;0)
*(INDIRECT("'シフト一覧（転載）'!"&amp;BO32&amp;":AK100")&lt;&gt;"休み"),1,0),0)),0),"")</f>
        <v>0</v>
      </c>
      <c r="BQ33" s="21">
        <f ca="1">IF(BP32=0,0,
IF(OR(BP32="",COUNTIF(BP32,"*保育無し*")),"",
IF(MOD(BP33-BP32,1)*24&gt;=8,1,
IF(MOD(BP33-BP32,1)*24&gt;=6,0.75,0))))</f>
        <v>0</v>
      </c>
      <c r="BR33" s="21">
        <f t="array" aca="1" ref="BR33" ca="1">IFERROR(IF(BQ32&lt;&gt;0,INDEX(
INDIRECT("'シフト一覧（転載）'!"&amp;BQ32&amp;":AK100"),1+1,
MATCH(1,INDEX((LEN(INDIRECT("'シフト一覧（転載）'!"&amp;BQ32&amp;":AK100"))&gt;0)
*(INDIRECT("'シフト一覧（転載）'!"&amp;BQ32&amp;":AK100")&lt;&gt;"休み"),1,0),0)),0),"")</f>
        <v>0</v>
      </c>
      <c r="BS33" s="21">
        <f ca="1">IF(BR32=0,0,
IF(OR(BR32="",COUNTIF(BR32,"*保育無し*")),"",
IF(MOD(BR33-BR32,1)*24&gt;=8,1,
IF(MOD(BR33-BR32,1)*24&gt;=6,0.75,0))))</f>
        <v>0</v>
      </c>
      <c r="BT33" s="21">
        <f t="array" aca="1" ref="BT33" ca="1">IFERROR(IF(BS32&lt;&gt;0,INDEX(
INDIRECT("'シフト一覧（転載）'!"&amp;BS32&amp;":AK100"),1+1,
MATCH(1,INDEX((LEN(INDIRECT("'シフト一覧（転載）'!"&amp;BS32&amp;":AK100"))&gt;0)
*(INDIRECT("'シフト一覧（転載）'!"&amp;BS32&amp;":AK100")&lt;&gt;"休み"),1,0),0)),0),"")</f>
        <v>0</v>
      </c>
      <c r="BU33" s="21">
        <f ca="1">IF(BT32=0,0,
IF(OR(BT32="",COUNTIF(BT32,"*保育無し*")),"",
IF(MOD(BT33-BT32,1)*24&gt;=8,1,
IF(MOD(BT33-BT32,1)*24&gt;=6,0.75,0))))</f>
        <v>0</v>
      </c>
      <c r="BV33" s="21">
        <f t="array" aca="1" ref="BV33" ca="1">IFERROR(IF(BU32&lt;&gt;0,INDEX(
INDIRECT("'シフト一覧（転載）'!"&amp;BU32&amp;":AK100"),1+1,
MATCH(1,INDEX((LEN(INDIRECT("'シフト一覧（転載）'!"&amp;BU32&amp;":AK100"))&gt;0)
*(INDIRECT("'シフト一覧（転載）'!"&amp;BU32&amp;":AK100")&lt;&gt;"休み"),1,0),0)),0),"")</f>
        <v>0</v>
      </c>
      <c r="BW33" s="21">
        <f ca="1">IF(BV32=0,0,
IF(OR(BV32="",COUNTIF(BV32,"*保育無し*")),"",
IF(MOD(BV33-BV32,1)*24&gt;=8,1,
IF(MOD(BV33-BV32,1)*24&gt;=6,0.75,0))))</f>
        <v>0</v>
      </c>
      <c r="BX33" s="21">
        <f t="array" aca="1" ref="BX33" ca="1">IFERROR(IF(BW32&lt;&gt;0,INDEX(
INDIRECT("'シフト一覧（転載）'!"&amp;BW32&amp;":AK100"),1+1,
MATCH(1,INDEX((LEN(INDIRECT("'シフト一覧（転載）'!"&amp;BW32&amp;":AK100"))&gt;0)
*(INDIRECT("'シフト一覧（転載）'!"&amp;BW32&amp;":AK100")&lt;&gt;"休み"),1,0),0)),0),"")</f>
        <v>0</v>
      </c>
      <c r="BY33" s="21">
        <f ca="1">IF(BX32=0,0,
IF(OR(BX32="",COUNTIF(BX32,"*保育無し*")),"",
IF(MOD(BX33-BX32,1)*24&gt;=8,1,
IF(MOD(BX33-BX32,1)*24&gt;=6,0.75,0))))</f>
        <v>0</v>
      </c>
    </row>
    <row r="34" spans="1:77" ht="19.8" customHeight="1" x14ac:dyDescent="0.2">
      <c r="A34" s="43">
        <f>IF(A33&lt;&gt;0,IF($B$9&gt;A33,A33+1,0),0)</f>
        <v>0</v>
      </c>
      <c r="B34" s="48" t="str" cm="1">
        <f t="array" aca="1" ref="B34" ca="1">IFERROR(_xlfn.TEXTJOIN("", TRUE, IF(ISERR(MID(INDIRECT("'Page_" &amp; A34 &amp; "'!C2"), ROW(INDIRECT("1:" &amp; LEN(INDIRECT("'Page_" &amp; A34 &amp; "'!C2")))), 1)*1), MID(INDIRECT("'Page_" &amp; A34 &amp; "'!C2"), ROW(INDIRECT("1:" &amp; LEN(INDIRECT("'Page_" &amp; A34 &amp; "'!C2")))), 1), "")),"")</f>
        <v/>
      </c>
      <c r="C34" s="49" t="str" cm="1">
        <f t="array" aca="1" ref="C34" ca="1">IFERROR(IF(INDIRECT("'Page_" &amp; A34 &amp; "'!E2")&lt;&gt;"",INDIRECT("'Page_" &amp; A34 &amp; "'!E2"),INDIRECT("'Page_" &amp; A34 &amp; "'!D2")),"")</f>
        <v/>
      </c>
      <c r="D34" s="58" t="str" cm="1">
        <f t="array" aca="1" ref="D34" ca="1">IFERROR(IF(INDIRECT("'Page_" &amp; A34 &amp; "'!Q3")&lt;&gt;"",INDIRECT("'Page_" &amp; A34 &amp; "'!Q3"),INDIRECT("'Page_" &amp; A34 &amp; "'!P3")),"")</f>
        <v/>
      </c>
      <c r="E34" s="39">
        <f t="shared" ca="1" si="2"/>
        <v>0</v>
      </c>
      <c r="F34" s="28" t="str">
        <f t="shared" ca="1" si="3"/>
        <v/>
      </c>
      <c r="G34" s="25" t="str">
        <f t="shared" ca="1" si="11"/>
        <v/>
      </c>
      <c r="H34" s="63" t="str" cm="1">
        <f t="array" aca="1" ref="H34" ca="1">IF(B34&lt;&gt;"",IFERROR(INDEX('シフト一覧（転載）'!$C$8:$C$100,
MATCH(1, (ISNUMBER(SEARCH(B34,'シフト一覧（転載）'!$A$8:$A$100)))
*(ISNUMBER(SEARCH($F$9,'シフト一覧（転載）'!$B$8:$B$100))), 0)),""),"")</f>
        <v/>
      </c>
      <c r="I34" s="54" t="str">
        <f t="shared" ca="1" si="12"/>
        <v/>
      </c>
      <c r="J34" s="25" t="str" cm="1">
        <f t="array" aca="1" ref="J34" ca="1">IF(B34&lt;&gt;"",IFERROR(SUM(INDIRECT("'Page_" &amp; A34 &amp; "'!K"&amp;MATCH("有休",INDIRECT("'Page_" &amp; A34 &amp; "'!K:K"),0)+2&amp;"")
+INDIRECT("'Page_" &amp; A34 &amp; "'!L"&amp;MATCH("特休",INDIRECT("'Page_" &amp; A34 &amp; "'!L:L"),0)+2&amp;""))*24,0),"")</f>
        <v/>
      </c>
      <c r="K34" s="59"/>
      <c r="M34" s="103" t="str" cm="1">
        <f t="array" aca="1" ref="M3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4" s="101" t="str">
        <f t="shared" ref="N34" ca="1" si="16">IF(M34&lt;&gt;"",VLOOKUP(M34,$B$12:$C$41,2,FALSE),"")</f>
        <v/>
      </c>
      <c r="O34" s="106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20">
        <f t="array" aca="1" ref="P34" ca="1">IFERROR(IF(M34&lt;&gt;"",INDEX('シフト一覧（転載）'!$F$8:$AK$100,
    MATCH(1,(ISNUMBER(SEARCH(M34,'シフト一覧（転載）'!$A$8:$A$100)))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MATCH(1,(ISNUMBER(SEARCH(M34,'シフト一覧（転載）'!$A$8:$A$100)))
                *(ISNUMBER(SEARCH($F$9,'シフト一覧（転載）'!$B$8:$B$100))),
                0),0),0)),0),$F$9&amp;"保育無し")</f>
        <v>0</v>
      </c>
      <c r="Q34" s="20">
        <f t="array" aca="1" ref="Q34" ca="1">IFERROR(IF(COUNTIF(P34,"*無*"),"",IF(M34&lt;&gt;"",ADDRESS(
    MATCH(1,(ISNUMBER(SEARCH(M34,'シフト一覧（転載）'!$A$8:$A$100)))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MATCH(1,(ISNUMBER(SEARCH(M34,'シフト一覧（転載）'!$A$8:$A$100)))
                *(ISNUMBER(SEARCH($F$9,'シフト一覧（転載）'!$B$8:$B$100))),0),0),0) + 6,4),0)),0)</f>
        <v>0</v>
      </c>
      <c r="R34" s="20">
        <f t="array" aca="1" ref="R34" ca="1">IFERROR(IF(Q34&lt;&gt;"",IF(Q34&lt;&gt;0,INDEX(
INDIRECT("'シフト一覧（転載）'!"&amp;Q34&amp;":AK100"),1,
MATCH(1,INDEX((LEN(INDIRECT("'シフト一覧（転載）'!"&amp;Q34&amp;":AK100"))&gt;0)
*(INDIRECT("'シフト一覧（転載）'!"&amp;Q34&amp;":AK100")&lt;&gt;"休み"),1,0),0)),0),""),$F$9&amp;"保育無し")</f>
        <v>0</v>
      </c>
      <c r="S34" s="20">
        <f t="array" aca="1" ref="S34" ca="1">IFERROR(IF(Q34&lt;&gt;0,ADDRESS(ROW(INDIRECT(Q34)),
    COLUMN(INDIRECT(Q34)) - 1 +
    MATCH(1,INDEX((LEN(INDIRECT("'シフト一覧（転載）'!"&amp;Q34&amp;":AK100"))&gt;0)
            *(INDIRECT("'シフト一覧（転載）'!"&amp;Q34&amp;":AK100")&lt;&gt;"休み"),
            1,0),0)+1,4),0),"")</f>
        <v>0</v>
      </c>
      <c r="T34" s="20">
        <f t="array" aca="1" ref="T34" ca="1">IFERROR(IF(S34&lt;&gt;"",IF(S34&lt;&gt;0,INDEX(
INDIRECT("'シフト一覧（転載）'!"&amp;S34&amp;":AK100"),1,
MATCH(1,INDEX((LEN(INDIRECT("'シフト一覧（転載）'!"&amp;S34&amp;":AK100"))&gt;0)
*(INDIRECT("'シフト一覧（転載）'!"&amp;S34&amp;":AK100")&lt;&gt;"休み"),1,0),0)),0),""),$F$9&amp;"保育無し")</f>
        <v>0</v>
      </c>
      <c r="U34" s="20">
        <f t="array" aca="1" ref="U34" ca="1">IFERROR(IF(S34&lt;&gt;0,ADDRESS(ROW(INDIRECT(S34)),
    COLUMN(INDIRECT(S34)) - 1 +
    MATCH(1,INDEX((LEN(INDIRECT("'シフト一覧（転載）'!"&amp;S34&amp;":AK100"))&gt;0)
            *(INDIRECT("'シフト一覧（転載）'!"&amp;S34&amp;":AK100")&lt;&gt;"休み"),
            1,0),0)+1,4),0),"")</f>
        <v>0</v>
      </c>
      <c r="V34" s="20">
        <f t="array" aca="1" ref="V34" ca="1">IFERROR(IF(U34&lt;&gt;"",IF(U34&lt;&gt;0,INDEX(
INDIRECT("'シフト一覧（転載）'!"&amp;U34&amp;":AK100"),1,
MATCH(1,INDEX((LEN(INDIRECT("'シフト一覧（転載）'!"&amp;U34&amp;":AK100"))&gt;0)
*(INDIRECT("'シフト一覧（転載）'!"&amp;U34&amp;":AK100")&lt;&gt;"休み"),1,0),0)),0),""),$F$9&amp;"保育無し")</f>
        <v>0</v>
      </c>
      <c r="W34" s="20">
        <f t="array" aca="1" ref="W34" ca="1">IFERROR(IF(U34&lt;&gt;0,ADDRESS(ROW(INDIRECT(U34)),
    COLUMN(INDIRECT(U34)) - 1 +
    MATCH(1,INDEX((LEN(INDIRECT("'シフト一覧（転載）'!"&amp;U34&amp;":AK100"))&gt;0)
            *(INDIRECT("'シフト一覧（転載）'!"&amp;U34&amp;":AK100")&lt;&gt;"休み"),
            1,0),0)+1,4),0),"")</f>
        <v>0</v>
      </c>
      <c r="X34" s="20">
        <f t="array" aca="1" ref="X34" ca="1">IFERROR(IF(W34&lt;&gt;"",IF(W34&lt;&gt;0,INDEX(
INDIRECT("'シフト一覧（転載）'!"&amp;W34&amp;":AK100"),1,
MATCH(1,INDEX((LEN(INDIRECT("'シフト一覧（転載）'!"&amp;W34&amp;":AK100"))&gt;0)
*(INDIRECT("'シフト一覧（転載）'!"&amp;W34&amp;":AK100")&lt;&gt;"休み"),1,0),0)),0),""),$F$9&amp;"保育無し")</f>
        <v>0</v>
      </c>
      <c r="Y34" s="20">
        <f t="array" aca="1" ref="Y34" ca="1">IFERROR(IF(W34&lt;&gt;0,ADDRESS(ROW(INDIRECT(W34)),
    COLUMN(INDIRECT(W34)) - 1 +
    MATCH(1,INDEX((LEN(INDIRECT("'シフト一覧（転載）'!"&amp;W34&amp;":AK100"))&gt;0)
            *(INDIRECT("'シフト一覧（転載）'!"&amp;W34&amp;":AK100")&lt;&gt;"休み"),
            1,0),0)+1,4),0),"")</f>
        <v>0</v>
      </c>
      <c r="Z34" s="20">
        <f t="array" aca="1" ref="Z34" ca="1">IFERROR(IF(Y34&lt;&gt;"",IF(Y34&lt;&gt;0,INDEX(
INDIRECT("'シフト一覧（転載）'!"&amp;Y34&amp;":AK100"),1,
MATCH(1,INDEX((LEN(INDIRECT("'シフト一覧（転載）'!"&amp;Y34&amp;":AK100"))&gt;0)
*(INDIRECT("'シフト一覧（転載）'!"&amp;Y34&amp;":AK100")&lt;&gt;"休み"),1,0),0)),0),""),$F$9&amp;"保育無し")</f>
        <v>0</v>
      </c>
      <c r="AA34" s="20">
        <f t="array" aca="1" ref="AA34" ca="1">IFERROR(IF(Y34&lt;&gt;0,ADDRESS(ROW(INDIRECT(Y34)),
    COLUMN(INDIRECT(Y34)) - 1 +
    MATCH(1,INDEX((LEN(INDIRECT("'シフト一覧（転載）'!"&amp;Y34&amp;":AK100"))&gt;0)
            *(INDIRECT("'シフト一覧（転載）'!"&amp;Y34&amp;":AK100")&lt;&gt;"休み"),
            1,0),0)+1,4),0),"")</f>
        <v>0</v>
      </c>
      <c r="AB34" s="20">
        <f t="array" aca="1" ref="AB34" ca="1">IFERROR(IF(AA34&lt;&gt;"",IF(AA34&lt;&gt;0,INDEX(
INDIRECT("'シフト一覧（転載）'!"&amp;AA34&amp;":AK100"),1,
MATCH(1,INDEX((LEN(INDIRECT("'シフト一覧（転載）'!"&amp;AA34&amp;":AK100"))&gt;0)
*(INDIRECT("'シフト一覧（転載）'!"&amp;AA34&amp;":AK100")&lt;&gt;"休み"),1,0),0)),0),""),$F$9&amp;"保育無し")</f>
        <v>0</v>
      </c>
      <c r="AC34" s="20">
        <f t="array" aca="1" ref="AC34" ca="1">IFERROR(IF(AA34&lt;&gt;0,ADDRESS(ROW(INDIRECT(AA34)),
    COLUMN(INDIRECT(AA34)) - 1 +
    MATCH(1,INDEX((LEN(INDIRECT("'シフト一覧（転載）'!"&amp;AA34&amp;":AK100"))&gt;0)
            *(INDIRECT("'シフト一覧（転載）'!"&amp;AA34&amp;":AK100")&lt;&gt;"休み"),
            1,0),0)+1,4),0),"")</f>
        <v>0</v>
      </c>
      <c r="AD34" s="20">
        <f t="array" aca="1" ref="AD34" ca="1">IFERROR(IF(AC34&lt;&gt;"",IF(AC34&lt;&gt;0,INDEX(
INDIRECT("'シフト一覧（転載）'!"&amp;AC34&amp;":AK100"),1,
MATCH(1,INDEX((LEN(INDIRECT("'シフト一覧（転載）'!"&amp;AC34&amp;":AK100"))&gt;0)
*(INDIRECT("'シフト一覧（転載）'!"&amp;AC34&amp;":AK100")&lt;&gt;"休み"),1,0),0)),0),""),$F$9&amp;"保育無し")</f>
        <v>0</v>
      </c>
      <c r="AE34" s="20">
        <f t="array" aca="1" ref="AE34" ca="1">IFERROR(IF(AC34&lt;&gt;0,ADDRESS(ROW(INDIRECT(AC34)),
    COLUMN(INDIRECT(AC34)) - 1 +
    MATCH(1,INDEX((LEN(INDIRECT("'シフト一覧（転載）'!"&amp;AC34&amp;":AK100"))&gt;0)
            *(INDIRECT("'シフト一覧（転載）'!"&amp;AC34&amp;":AK100")&lt;&gt;"休み"),
            1,0),0)+1,4),0),"")</f>
        <v>0</v>
      </c>
      <c r="AF34" s="20">
        <f t="array" aca="1" ref="AF34" ca="1">IFERROR(IF(AE34&lt;&gt;"",IF(AE34&lt;&gt;0,INDEX(
INDIRECT("'シフト一覧（転載）'!"&amp;AE34&amp;":AK100"),1,
MATCH(1,INDEX((LEN(INDIRECT("'シフト一覧（転載）'!"&amp;AE34&amp;":AK100"))&gt;0)
*(INDIRECT("'シフト一覧（転載）'!"&amp;AE34&amp;":AK100")&lt;&gt;"休み"),1,0),0)),0),""),$F$9&amp;"保育無し")</f>
        <v>0</v>
      </c>
      <c r="AG34" s="20">
        <f t="array" aca="1" ref="AG34" ca="1">IFERROR(IF(AE34&lt;&gt;0,ADDRESS(ROW(INDIRECT(AE34)),
    COLUMN(INDIRECT(AE34)) - 1 +
    MATCH(1,INDEX((LEN(INDIRECT("'シフト一覧（転載）'!"&amp;AE34&amp;":AK100"))&gt;0)
            *(INDIRECT("'シフト一覧（転載）'!"&amp;AE34&amp;":AK100")&lt;&gt;"休み"),
            1,0),0)+1,4),0),"")</f>
        <v>0</v>
      </c>
      <c r="AH34" s="20">
        <f t="array" aca="1" ref="AH34" ca="1">IFERROR(IF(AG34&lt;&gt;"",IF(AG34&lt;&gt;0,INDEX(
INDIRECT("'シフト一覧（転載）'!"&amp;AG34&amp;":AK100"),1,
MATCH(1,INDEX((LEN(INDIRECT("'シフト一覧（転載）'!"&amp;AG34&amp;":AK100"))&gt;0)
*(INDIRECT("'シフト一覧（転載）'!"&amp;AG34&amp;":AK100")&lt;&gt;"休み"),1,0),0)),0),""),$F$9&amp;"保育無し")</f>
        <v>0</v>
      </c>
      <c r="AI34" s="20">
        <f t="array" aca="1" ref="AI34" ca="1">IFERROR(IF(AG34&lt;&gt;0,ADDRESS(ROW(INDIRECT(AG34)),
    COLUMN(INDIRECT(AG34)) - 1 +
    MATCH(1,INDEX((LEN(INDIRECT("'シフト一覧（転載）'!"&amp;AG34&amp;":AK100"))&gt;0)
            *(INDIRECT("'シフト一覧（転載）'!"&amp;AG34&amp;":AK100")&lt;&gt;"休み"),
            1,0),0)+1,4),0),"")</f>
        <v>0</v>
      </c>
      <c r="AJ34" s="20">
        <f t="array" aca="1" ref="AJ34" ca="1">IFERROR(IF(AI34&lt;&gt;"",IF(AI34&lt;&gt;0,INDEX(
INDIRECT("'シフト一覧（転載）'!"&amp;AI34&amp;":AK100"),1,
MATCH(1,INDEX((LEN(INDIRECT("'シフト一覧（転載）'!"&amp;AI34&amp;":AK100"))&gt;0)
*(INDIRECT("'シフト一覧（転載）'!"&amp;AI34&amp;":AK100")&lt;&gt;"休み"),1,0),0)),0),""),$F$9&amp;"保育無し")</f>
        <v>0</v>
      </c>
      <c r="AK34" s="20">
        <f t="array" aca="1" ref="AK34" ca="1">IFERROR(IF(AI34&lt;&gt;0,ADDRESS(ROW(INDIRECT(AI34)),
    COLUMN(INDIRECT(AI34)) - 1 +
    MATCH(1,INDEX((LEN(INDIRECT("'シフト一覧（転載）'!"&amp;AI34&amp;":AK100"))&gt;0)
            *(INDIRECT("'シフト一覧（転載）'!"&amp;AI34&amp;":AK100")&lt;&gt;"休み"),
            1,0),0)+1,4),0),"")</f>
        <v>0</v>
      </c>
      <c r="AL34" s="20">
        <f t="array" aca="1" ref="AL34" ca="1">IFERROR(IF(AK34&lt;&gt;"",IF(AK34&lt;&gt;0,INDEX(
INDIRECT("'シフト一覧（転載）'!"&amp;AK34&amp;":AK100"),1,
MATCH(1,INDEX((LEN(INDIRECT("'シフト一覧（転載）'!"&amp;AK34&amp;":AK100"))&gt;0)
*(INDIRECT("'シフト一覧（転載）'!"&amp;AK34&amp;":AK100")&lt;&gt;"休み"),1,0),0)),0),""),$F$9&amp;"保育無し")</f>
        <v>0</v>
      </c>
      <c r="AM34" s="20">
        <f t="array" aca="1" ref="AM34" ca="1">IFERROR(IF(AK34&lt;&gt;0,ADDRESS(ROW(INDIRECT(AK34)),
    COLUMN(INDIRECT(AK34)) - 1 +
    MATCH(1,INDEX((LEN(INDIRECT("'シフト一覧（転載）'!"&amp;AK34&amp;":AK100"))&gt;0)
            *(INDIRECT("'シフト一覧（転載）'!"&amp;AK34&amp;":AK100")&lt;&gt;"休み"),
            1,0),0)+1,4),0),"")</f>
        <v>0</v>
      </c>
      <c r="AN34" s="20">
        <f t="array" aca="1" ref="AN34" ca="1">IFERROR(IF(AM34&lt;&gt;"",IF(AM34&lt;&gt;0,INDEX(
INDIRECT("'シフト一覧（転載）'!"&amp;AM34&amp;":AK100"),1,
MATCH(1,INDEX((LEN(INDIRECT("'シフト一覧（転載）'!"&amp;AM34&amp;":AK100"))&gt;0)
*(INDIRECT("'シフト一覧（転載）'!"&amp;AM34&amp;":AK100")&lt;&gt;"休み"),1,0),0)),0),""),$F$9&amp;"保育無し")</f>
        <v>0</v>
      </c>
      <c r="AO34" s="20">
        <f t="array" aca="1" ref="AO34" ca="1">IFERROR(IF(AM34&lt;&gt;0,ADDRESS(ROW(INDIRECT(AM34)),
    COLUMN(INDIRECT(AM34)) - 1 +
    MATCH(1,INDEX((LEN(INDIRECT("'シフト一覧（転載）'!"&amp;AM34&amp;":AK100"))&gt;0)
            *(INDIRECT("'シフト一覧（転載）'!"&amp;AM34&amp;":AK100")&lt;&gt;"休み"),
            1,0),0)+1,4),0),"")</f>
        <v>0</v>
      </c>
      <c r="AP34" s="20">
        <f t="array" aca="1" ref="AP34" ca="1">IFERROR(IF(AO34&lt;&gt;"",IF(AO34&lt;&gt;0,INDEX(
INDIRECT("'シフト一覧（転載）'!"&amp;AO34&amp;":AK100"),1,
MATCH(1,INDEX((LEN(INDIRECT("'シフト一覧（転載）'!"&amp;AO34&amp;":AK100"))&gt;0)
*(INDIRECT("'シフト一覧（転載）'!"&amp;AO34&amp;":AK100")&lt;&gt;"休み"),1,0),0)),0),""),$F$9&amp;"保育無し")</f>
        <v>0</v>
      </c>
      <c r="AQ34" s="20">
        <f t="array" aca="1" ref="AQ34" ca="1">IFERROR(IF(AO34&lt;&gt;0,ADDRESS(ROW(INDIRECT(AO34)),
    COLUMN(INDIRECT(AO34)) - 1 +
    MATCH(1,INDEX((LEN(INDIRECT("'シフト一覧（転載）'!"&amp;AO34&amp;":AK100"))&gt;0)
            *(INDIRECT("'シフト一覧（転載）'!"&amp;AO34&amp;":AK100")&lt;&gt;"休み"),
            1,0),0)+1,4),0),"")</f>
        <v>0</v>
      </c>
      <c r="AR34" s="20">
        <f t="array" aca="1" ref="AR34" ca="1">IFERROR(IF(AQ34&lt;&gt;"",IF(AQ34&lt;&gt;0,INDEX(
INDIRECT("'シフト一覧（転載）'!"&amp;AQ34&amp;":AK100"),1,
MATCH(1,INDEX((LEN(INDIRECT("'シフト一覧（転載）'!"&amp;AQ34&amp;":AK100"))&gt;0)
*(INDIRECT("'シフト一覧（転載）'!"&amp;AQ34&amp;":AK100")&lt;&gt;"休み"),1,0),0)),0),""),$F$9&amp;"保育無し")</f>
        <v>0</v>
      </c>
      <c r="AS34" s="20">
        <f t="array" aca="1" ref="AS34" ca="1">IFERROR(IF(AQ34&lt;&gt;0,ADDRESS(ROW(INDIRECT(AQ34)),
    COLUMN(INDIRECT(AQ34)) - 1 +
    MATCH(1,INDEX((LEN(INDIRECT("'シフト一覧（転載）'!"&amp;AQ34&amp;":AK100"))&gt;0)
            *(INDIRECT("'シフト一覧（転載）'!"&amp;AQ34&amp;":AK100")&lt;&gt;"休み"),
            1,0),0)+1,4),0),"")</f>
        <v>0</v>
      </c>
      <c r="AT34" s="20">
        <f t="array" aca="1" ref="AT34" ca="1">IFERROR(IF(AS34&lt;&gt;"",IF(AS34&lt;&gt;0,INDEX(
INDIRECT("'シフト一覧（転載）'!"&amp;AS34&amp;":AK100"),1,
MATCH(1,INDEX((LEN(INDIRECT("'シフト一覧（転載）'!"&amp;AS34&amp;":AK100"))&gt;0)
*(INDIRECT("'シフト一覧（転載）'!"&amp;AS34&amp;":AK100")&lt;&gt;"休み"),1,0),0)),0),""),$F$9&amp;"保育無し")</f>
        <v>0</v>
      </c>
      <c r="AU34" s="20">
        <f t="array" aca="1" ref="AU34" ca="1">IFERROR(IF(AS34&lt;&gt;0,ADDRESS(ROW(INDIRECT(AS34)),
    COLUMN(INDIRECT(AS34)) - 1 +
    MATCH(1,INDEX((LEN(INDIRECT("'シフト一覧（転載）'!"&amp;AS34&amp;":AK100"))&gt;0)
            *(INDIRECT("'シフト一覧（転載）'!"&amp;AS34&amp;":AK100")&lt;&gt;"休み"),
            1,0),0)+1,4),0),"")</f>
        <v>0</v>
      </c>
      <c r="AV34" s="20">
        <f t="array" aca="1" ref="AV34" ca="1">IFERROR(IF(AU34&lt;&gt;"",IF(AU34&lt;&gt;0,INDEX(
INDIRECT("'シフト一覧（転載）'!"&amp;AU34&amp;":AK100"),1,
MATCH(1,INDEX((LEN(INDIRECT("'シフト一覧（転載）'!"&amp;AU34&amp;":AK100"))&gt;0)
*(INDIRECT("'シフト一覧（転載）'!"&amp;AU34&amp;":AK100")&lt;&gt;"休み"),1,0),0)),0),""),$F$9&amp;"保育無し")</f>
        <v>0</v>
      </c>
      <c r="AW34" s="20">
        <f t="array" aca="1" ref="AW34" ca="1">IFERROR(IF(AU34&lt;&gt;0,ADDRESS(ROW(INDIRECT(AU34)),
    COLUMN(INDIRECT(AU34)) - 1 +
    MATCH(1,INDEX((LEN(INDIRECT("'シフト一覧（転載）'!"&amp;AU34&amp;":AK100"))&gt;0)
            *(INDIRECT("'シフト一覧（転載）'!"&amp;AU34&amp;":AK100")&lt;&gt;"休み"),
            1,0),0)+1,4),0),"")</f>
        <v>0</v>
      </c>
      <c r="AX34" s="20">
        <f t="array" aca="1" ref="AX34" ca="1">IFERROR(IF(AW34&lt;&gt;"",IF(AW34&lt;&gt;0,INDEX(
INDIRECT("'シフト一覧（転載）'!"&amp;AW34&amp;":AK100"),1,
MATCH(1,INDEX((LEN(INDIRECT("'シフト一覧（転載）'!"&amp;AW34&amp;":AK100"))&gt;0)
*(INDIRECT("'シフト一覧（転載）'!"&amp;AW34&amp;":AK100")&lt;&gt;"休み"),1,0),0)),0),""),$F$9&amp;"保育無し")</f>
        <v>0</v>
      </c>
      <c r="AY34" s="20">
        <f t="array" aca="1" ref="AY34" ca="1">IFERROR(IF(AW34&lt;&gt;0,ADDRESS(ROW(INDIRECT(AW34)),
    COLUMN(INDIRECT(AW34)) - 1 +
    MATCH(1,INDEX((LEN(INDIRECT("'シフト一覧（転載）'!"&amp;AW34&amp;":AK100"))&gt;0)
            *(INDIRECT("'シフト一覧（転載）'!"&amp;AW34&amp;":AK100")&lt;&gt;"休み"),
            1,0),0)+1,4),0),"")</f>
        <v>0</v>
      </c>
      <c r="AZ34" s="20">
        <f t="array" aca="1" ref="AZ34" ca="1">IFERROR(IF(AY34&lt;&gt;"",IF(AY34&lt;&gt;0,INDEX(
INDIRECT("'シフト一覧（転載）'!"&amp;AY34&amp;":AK100"),1,
MATCH(1,INDEX((LEN(INDIRECT("'シフト一覧（転載）'!"&amp;AY34&amp;":AK100"))&gt;0)
*(INDIRECT("'シフト一覧（転載）'!"&amp;AY34&amp;":AK100")&lt;&gt;"休み"),1,0),0)),0),""),$F$9&amp;"保育無し")</f>
        <v>0</v>
      </c>
      <c r="BA34" s="20">
        <f t="array" aca="1" ref="BA34" ca="1">IFERROR(IF(AY34&lt;&gt;0,ADDRESS(ROW(INDIRECT(AY34)),
    COLUMN(INDIRECT(AY34)) - 1 +
    MATCH(1,INDEX((LEN(INDIRECT("'シフト一覧（転載）'!"&amp;AY34&amp;":AK100"))&gt;0)
            *(INDIRECT("'シフト一覧（転載）'!"&amp;AY34&amp;":AK100")&lt;&gt;"休み"),
            1,0),0)+1,4),0),"")</f>
        <v>0</v>
      </c>
      <c r="BB34" s="20">
        <f t="array" aca="1" ref="BB34" ca="1">IFERROR(IF(BA34&lt;&gt;"",IF(BA34&lt;&gt;0,INDEX(
INDIRECT("'シフト一覧（転載）'!"&amp;BA34&amp;":AK100"),1,
MATCH(1,INDEX((LEN(INDIRECT("'シフト一覧（転載）'!"&amp;BA34&amp;":AK100"))&gt;0)
*(INDIRECT("'シフト一覧（転載）'!"&amp;BA34&amp;":AK100")&lt;&gt;"休み"),1,0),0)),0),""),$F$9&amp;"保育無し")</f>
        <v>0</v>
      </c>
      <c r="BC34" s="20">
        <f t="array" aca="1" ref="BC34" ca="1">IFERROR(IF(BA34&lt;&gt;0,ADDRESS(ROW(INDIRECT(BA34)),
    COLUMN(INDIRECT(BA34)) - 1 +
    MATCH(1,INDEX((LEN(INDIRECT("'シフト一覧（転載）'!"&amp;BA34&amp;":AK100"))&gt;0)
            *(INDIRECT("'シフト一覧（転載）'!"&amp;BA34&amp;":AK100")&lt;&gt;"休み"),
            1,0),0)+1,4),0),"")</f>
        <v>0</v>
      </c>
      <c r="BD34" s="20">
        <f t="array" aca="1" ref="BD34" ca="1">IFERROR(IF(BC34&lt;&gt;"",IF(BC34&lt;&gt;0,INDEX(
INDIRECT("'シフト一覧（転載）'!"&amp;BC34&amp;":AK100"),1,
MATCH(1,INDEX((LEN(INDIRECT("'シフト一覧（転載）'!"&amp;BC34&amp;":AK100"))&gt;0)
*(INDIRECT("'シフト一覧（転載）'!"&amp;BC34&amp;":AK100")&lt;&gt;"休み"),1,0),0)),0),""),$F$9&amp;"保育無し")</f>
        <v>0</v>
      </c>
      <c r="BE34" s="20">
        <f t="array" aca="1" ref="BE34" ca="1">IFERROR(IF(BC34&lt;&gt;0,ADDRESS(ROW(INDIRECT(BC34)),
    COLUMN(INDIRECT(BC34)) - 1 +
    MATCH(1,INDEX((LEN(INDIRECT("'シフト一覧（転載）'!"&amp;BC34&amp;":AK100"))&gt;0)
            *(INDIRECT("'シフト一覧（転載）'!"&amp;BC34&amp;":AK100")&lt;&gt;"休み"),
            1,0),0)+1,4),0),"")</f>
        <v>0</v>
      </c>
      <c r="BF34" s="20">
        <f t="array" aca="1" ref="BF34" ca="1">IFERROR(IF(BE34&lt;&gt;"",IF(BE34&lt;&gt;0,INDEX(
INDIRECT("'シフト一覧（転載）'!"&amp;BE34&amp;":AK100"),1,
MATCH(1,INDEX((LEN(INDIRECT("'シフト一覧（転載）'!"&amp;BE34&amp;":AK100"))&gt;0)
*(INDIRECT("'シフト一覧（転載）'!"&amp;BE34&amp;":AK100")&lt;&gt;"休み"),1,0),0)),0),""),$F$9&amp;"保育無し")</f>
        <v>0</v>
      </c>
      <c r="BG34" s="20">
        <f t="array" aca="1" ref="BG34" ca="1">IFERROR(IF(BE34&lt;&gt;0,ADDRESS(ROW(INDIRECT(BE34)),
    COLUMN(INDIRECT(BE34)) - 1 +
    MATCH(1,INDEX((LEN(INDIRECT("'シフト一覧（転載）'!"&amp;BE34&amp;":AK100"))&gt;0)
            *(INDIRECT("'シフト一覧（転載）'!"&amp;BE34&amp;":AK100")&lt;&gt;"休み"),
            1,0),0)+1,4),0),"")</f>
        <v>0</v>
      </c>
      <c r="BH34" s="20">
        <f t="array" aca="1" ref="BH34" ca="1">IFERROR(IF(BG34&lt;&gt;"",IF(BG34&lt;&gt;0,INDEX(
INDIRECT("'シフト一覧（転載）'!"&amp;BG34&amp;":AK100"),1,
MATCH(1,INDEX((LEN(INDIRECT("'シフト一覧（転載）'!"&amp;BG34&amp;":AK100"))&gt;0)
*(INDIRECT("'シフト一覧（転載）'!"&amp;BG34&amp;":AK100")&lt;&gt;"休み"),1,0),0)),0),""),$F$9&amp;"保育無し")</f>
        <v>0</v>
      </c>
      <c r="BI34" s="20">
        <f t="array" aca="1" ref="BI34" ca="1">IFERROR(IF(BG34&lt;&gt;0,ADDRESS(ROW(INDIRECT(BG34)),
    COLUMN(INDIRECT(BG34)) - 1 +
    MATCH(1,INDEX((LEN(INDIRECT("'シフト一覧（転載）'!"&amp;BG34&amp;":AK100"))&gt;0)
            *(INDIRECT("'シフト一覧（転載）'!"&amp;BG34&amp;":AK100")&lt;&gt;"休み"),
            1,0),0)+1,4),0),"")</f>
        <v>0</v>
      </c>
      <c r="BJ34" s="20">
        <f t="array" aca="1" ref="BJ34" ca="1">IFERROR(IF(BI34&lt;&gt;"",IF(BI34&lt;&gt;0,INDEX(
INDIRECT("'シフト一覧（転載）'!"&amp;BI34&amp;":AK100"),1,
MATCH(1,INDEX((LEN(INDIRECT("'シフト一覧（転載）'!"&amp;BI34&amp;":AK100"))&gt;0)
*(INDIRECT("'シフト一覧（転載）'!"&amp;BI34&amp;":AK100")&lt;&gt;"休み"),1,0),0)),0),""),$F$9&amp;"保育無し")</f>
        <v>0</v>
      </c>
      <c r="BK34" s="20">
        <f t="array" aca="1" ref="BK34" ca="1">IFERROR(IF(BI34&lt;&gt;0,ADDRESS(ROW(INDIRECT(BI34)),
    COLUMN(INDIRECT(BI34)) - 1 +
    MATCH(1,INDEX((LEN(INDIRECT("'シフト一覧（転載）'!"&amp;BI34&amp;":AK100"))&gt;0)
            *(INDIRECT("'シフト一覧（転載）'!"&amp;BI34&amp;":AK100")&lt;&gt;"休み"),
            1,0),0)+1,4),0),"")</f>
        <v>0</v>
      </c>
      <c r="BL34" s="20">
        <f t="array" aca="1" ref="BL34" ca="1">IFERROR(IF(BK34&lt;&gt;"",IF(BK34&lt;&gt;0,INDEX(
INDIRECT("'シフト一覧（転載）'!"&amp;BK34&amp;":AK100"),1,
MATCH(1,INDEX((LEN(INDIRECT("'シフト一覧（転載）'!"&amp;BK34&amp;":AK100"))&gt;0)
*(INDIRECT("'シフト一覧（転載）'!"&amp;BK34&amp;":AK100")&lt;&gt;"休み"),1,0),0)),0),""),$F$9&amp;"保育無し")</f>
        <v>0</v>
      </c>
      <c r="BM34" s="20">
        <f t="array" aca="1" ref="BM34" ca="1">IFERROR(IF(BK34&lt;&gt;0,ADDRESS(ROW(INDIRECT(BK34)),
    COLUMN(INDIRECT(BK34)) - 1 +
    MATCH(1,INDEX((LEN(INDIRECT("'シフト一覧（転載）'!"&amp;BK34&amp;":AK100"))&gt;0)
            *(INDIRECT("'シフト一覧（転載）'!"&amp;BK34&amp;":AK100")&lt;&gt;"休み"),
            1,0),0)+1,4),0),"")</f>
        <v>0</v>
      </c>
      <c r="BN34" s="20">
        <f t="array" aca="1" ref="BN34" ca="1">IFERROR(IF(BM34&lt;&gt;"",IF(BM34&lt;&gt;0,INDEX(
INDIRECT("'シフト一覧（転載）'!"&amp;BM34&amp;":AK100"),1,
MATCH(1,INDEX((LEN(INDIRECT("'シフト一覧（転載）'!"&amp;BM34&amp;":AK100"))&gt;0)
*(INDIRECT("'シフト一覧（転載）'!"&amp;BM34&amp;":AK100")&lt;&gt;"休み"),1,0),0)),0),""),$F$9&amp;"保育無し")</f>
        <v>0</v>
      </c>
      <c r="BO34" s="20">
        <f t="array" aca="1" ref="BO34" ca="1">IFERROR(IF(BM34&lt;&gt;0,ADDRESS(ROW(INDIRECT(BM34)),
    COLUMN(INDIRECT(BM34)) - 1 +
    MATCH(1,INDEX((LEN(INDIRECT("'シフト一覧（転載）'!"&amp;BM34&amp;":AK100"))&gt;0)
            *(INDIRECT("'シフト一覧（転載）'!"&amp;BM34&amp;":AK100")&lt;&gt;"休み"),
            1,0),0)+1,4),0),"")</f>
        <v>0</v>
      </c>
      <c r="BP34" s="20">
        <f t="array" aca="1" ref="BP34" ca="1">IFERROR(IF(BO34&lt;&gt;"",IF(BO34&lt;&gt;0,INDEX(
INDIRECT("'シフト一覧（転載）'!"&amp;BO34&amp;":AK100"),1,
MATCH(1,INDEX((LEN(INDIRECT("'シフト一覧（転載）'!"&amp;BO34&amp;":AK100"))&gt;0)
*(INDIRECT("'シフト一覧（転載）'!"&amp;BO34&amp;":AK100")&lt;&gt;"休み"),1,0),0)),0),""),$F$9&amp;"保育無し")</f>
        <v>0</v>
      </c>
      <c r="BQ34" s="20">
        <f t="array" aca="1" ref="BQ34" ca="1">IFERROR(IF(BO34&lt;&gt;0,ADDRESS(ROW(INDIRECT(BO34)),
    COLUMN(INDIRECT(BO34)) - 1 +
    MATCH(1,INDEX((LEN(INDIRECT("'シフト一覧（転載）'!"&amp;BO34&amp;":AK100"))&gt;0)
            *(INDIRECT("'シフト一覧（転載）'!"&amp;BO34&amp;":AK100")&lt;&gt;"休み"),
            1,0),0)+1,4),0),"")</f>
        <v>0</v>
      </c>
      <c r="BR34" s="20">
        <f t="array" aca="1" ref="BR34" ca="1">IFERROR(IF(BQ34&lt;&gt;"",IF(BQ34&lt;&gt;0,INDEX(
INDIRECT("'シフト一覧（転載）'!"&amp;BQ34&amp;":AK100"),1,
MATCH(1,INDEX((LEN(INDIRECT("'シフト一覧（転載）'!"&amp;BQ34&amp;":AK100"))&gt;0)
*(INDIRECT("'シフト一覧（転載）'!"&amp;BQ34&amp;":AK100")&lt;&gt;"休み"),1,0),0)),0),""),$F$9&amp;"保育無し")</f>
        <v>0</v>
      </c>
      <c r="BS34" s="20">
        <f t="array" aca="1" ref="BS34" ca="1">IFERROR(IF(BQ34&lt;&gt;0,ADDRESS(ROW(INDIRECT(BQ34)),
    COLUMN(INDIRECT(BQ34)) - 1 +
    MATCH(1,INDEX((LEN(INDIRECT("'シフト一覧（転載）'!"&amp;BQ34&amp;":AK100"))&gt;0)
            *(INDIRECT("'シフト一覧（転載）'!"&amp;BQ34&amp;":AK100")&lt;&gt;"休み"),
            1,0),0)+1,4),0),"")</f>
        <v>0</v>
      </c>
      <c r="BT34" s="20">
        <f t="array" aca="1" ref="BT34" ca="1">IFERROR(IF(BS34&lt;&gt;"",IF(BS34&lt;&gt;0,INDEX(
INDIRECT("'シフト一覧（転載）'!"&amp;BS34&amp;":AK100"),1,
MATCH(1,INDEX((LEN(INDIRECT("'シフト一覧（転載）'!"&amp;BS34&amp;":AK100"))&gt;0)
*(INDIRECT("'シフト一覧（転載）'!"&amp;BS34&amp;":AK100")&lt;&gt;"休み"),1,0),0)),0),""),$F$9&amp;"保育無し")</f>
        <v>0</v>
      </c>
      <c r="BU34" s="20">
        <f t="array" aca="1" ref="BU34" ca="1">IFERROR(IF(BS34&lt;&gt;0,ADDRESS(ROW(INDIRECT(BS34)),
    COLUMN(INDIRECT(BS34)) - 1 +
    MATCH(1,INDEX((LEN(INDIRECT("'シフト一覧（転載）'!"&amp;BS34&amp;":AK100"))&gt;0)
            *(INDIRECT("'シフト一覧（転載）'!"&amp;BS34&amp;":AK100")&lt;&gt;"休み"),
            1,0),0)+1,4),0),"")</f>
        <v>0</v>
      </c>
      <c r="BV34" s="20">
        <f t="array" aca="1" ref="BV34" ca="1">IFERROR(IF(BU34&lt;&gt;"",IF(BU34&lt;&gt;0,INDEX(
INDIRECT("'シフト一覧（転載）'!"&amp;BU34&amp;":AK100"),1,
MATCH(1,INDEX((LEN(INDIRECT("'シフト一覧（転載）'!"&amp;BU34&amp;":AK100"))&gt;0)
*(INDIRECT("'シフト一覧（転載）'!"&amp;BU34&amp;":AK100")&lt;&gt;"休み"),1,0),0)),0),""),$F$9&amp;"保育無し")</f>
        <v>0</v>
      </c>
      <c r="BW34" s="20">
        <f t="array" aca="1" ref="BW34" ca="1">IFERROR(IF(BU34&lt;&gt;0,ADDRESS(ROW(INDIRECT(BU34)),
    COLUMN(INDIRECT(BU34)) - 1 +
    MATCH(1,INDEX((LEN(INDIRECT("'シフト一覧（転載）'!"&amp;BU34&amp;":AK100"))&gt;0)
            *(INDIRECT("'シフト一覧（転載）'!"&amp;BU34&amp;":AK100")&lt;&gt;"休み"),
            1,0),0)+1,4),0),"")</f>
        <v>0</v>
      </c>
      <c r="BX34" s="20">
        <f t="array" aca="1" ref="BX34" ca="1">IFERROR(IF(BW34&lt;&gt;"",IF(BW34&lt;&gt;0,INDEX(
INDIRECT("'シフト一覧（転載）'!"&amp;BW34&amp;":AK100"),1,
MATCH(1,INDEX((LEN(INDIRECT("'シフト一覧（転載）'!"&amp;BW34&amp;":AK100"))&gt;0)
*(INDIRECT("'シフト一覧（転載）'!"&amp;BW34&amp;":AK100")&lt;&gt;"休み"),1,0),0)),0),""),$F$9&amp;"保育無し")</f>
        <v>0</v>
      </c>
      <c r="BY34" s="20">
        <f t="array" aca="1" ref="BY34" ca="1">IFERROR(IF(BW34&lt;&gt;0,ADDRESS(ROW(INDIRECT(BW34)),
    COLUMN(INDIRECT(BW34)) - 1 +
    MATCH(1,INDEX((LEN(INDIRECT("'シフト一覧（転載）'!"&amp;BW34&amp;":AK100"))&gt;0)
            *(INDIRECT("'シフト一覧（転載）'!"&amp;BW34&amp;":AK100")&lt;&gt;"休み"),
            1,0),0)+1,4),0),"")</f>
        <v>0</v>
      </c>
    </row>
    <row r="35" spans="1:77" ht="19.8" customHeight="1" x14ac:dyDescent="0.2">
      <c r="A35" s="43">
        <f>IF(A34&lt;&gt;0,IF($B$9&gt;A34,A34+1,0),0)</f>
        <v>0</v>
      </c>
      <c r="B35" s="48" t="str" cm="1">
        <f t="array" aca="1" ref="B35" ca="1">IFERROR(_xlfn.TEXTJOIN("", TRUE, IF(ISERR(MID(INDIRECT("'Page_" &amp; A35 &amp; "'!C2"), ROW(INDIRECT("1:" &amp; LEN(INDIRECT("'Page_" &amp; A35 &amp; "'!C2")))), 1)*1), MID(INDIRECT("'Page_" &amp; A35 &amp; "'!C2"), ROW(INDIRECT("1:" &amp; LEN(INDIRECT("'Page_" &amp; A35 &amp; "'!C2")))), 1), "")),"")</f>
        <v/>
      </c>
      <c r="C35" s="49" t="str" cm="1">
        <f t="array" aca="1" ref="C35" ca="1">IFERROR(IF(INDIRECT("'Page_" &amp; A35 &amp; "'!E2")&lt;&gt;"",INDIRECT("'Page_" &amp; A35 &amp; "'!E2"),INDIRECT("'Page_" &amp; A35 &amp; "'!D2")),"")</f>
        <v/>
      </c>
      <c r="D35" s="58" t="str" cm="1">
        <f t="array" aca="1" ref="D35" ca="1">IFERROR(IF(INDIRECT("'Page_" &amp; A35 &amp; "'!Q3")&lt;&gt;"",INDIRECT("'Page_" &amp; A35 &amp; "'!Q3"),INDIRECT("'Page_" &amp; A35 &amp; "'!P3")),"")</f>
        <v/>
      </c>
      <c r="E35" s="39">
        <f t="shared" ca="1" si="2"/>
        <v>0</v>
      </c>
      <c r="F35" s="28" t="str">
        <f t="shared" ca="1" si="3"/>
        <v/>
      </c>
      <c r="G35" s="25" t="str">
        <f t="shared" ca="1" si="11"/>
        <v/>
      </c>
      <c r="H35" s="63" t="str" cm="1">
        <f t="array" aca="1" ref="H35" ca="1">IF(B35&lt;&gt;"",IFERROR(INDEX('シフト一覧（転載）'!$C$8:$C$100,
MATCH(1, (ISNUMBER(SEARCH(B35,'シフト一覧（転載）'!$A$8:$A$100)))
*(ISNUMBER(SEARCH($F$9,'シフト一覧（転載）'!$B$8:$B$100))), 0)),""),"")</f>
        <v/>
      </c>
      <c r="I35" s="54" t="str">
        <f t="shared" ca="1" si="12"/>
        <v/>
      </c>
      <c r="J35" s="25" t="str" cm="1">
        <f t="array" aca="1" ref="J35" ca="1">IF(B35&lt;&gt;"",IFERROR(SUM(INDIRECT("'Page_" &amp; A35 &amp; "'!K"&amp;MATCH("有休",INDIRECT("'Page_" &amp; A35 &amp; "'!K:K"),0)+2&amp;"")
+INDIRECT("'Page_" &amp; A35 &amp; "'!L"&amp;MATCH("特休",INDIRECT("'Page_" &amp; A35 &amp; "'!L:L"),0)+2&amp;""))*24,0),"")</f>
        <v/>
      </c>
      <c r="K35" s="59"/>
      <c r="M35" s="104"/>
      <c r="N35" s="102"/>
      <c r="O35" s="107"/>
      <c r="P35" s="21">
        <f t="array" aca="1" ref="P35" ca="1">IFERROR(IF(M34&lt;&gt;"",INDEX('シフト一覧（転載）'!$F$8:$AK$100,
    MATCH(1,(ISNUMBER(SEARCH(M34,'シフト一覧（転載）'!$A$8:$A$100)))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MATCH(1,(ISNUMBER(SEARCH(M34,'シフト一覧（転載）'!$A$8:$A$100)))
                *(ISNUMBER(SEARCH($F$9,'シフト一覧（転載）'!$B$8:$B$100))),
                0),0),0)),0),"")</f>
        <v>0</v>
      </c>
      <c r="Q35" s="21">
        <f ca="1">IF(P34=0,0,
IF(OR(P34="",COUNTIF(P34,"*保育無し*")),"",
IF(MOD(P35-P34,1)*24&gt;=8,1,
IF(MOD(P35-P34,1)*24&gt;=6,0.75,0))))</f>
        <v>0</v>
      </c>
      <c r="R35" s="21">
        <f t="array" aca="1" ref="R35" ca="1">IFERROR(IF(Q34&lt;&gt;0,INDEX(
INDIRECT("'シフト一覧（転載）'!"&amp;Q34&amp;":AK100"),1+1,
MATCH(1,INDEX((LEN(INDIRECT("'シフト一覧（転載）'!"&amp;Q34&amp;":AK100"))&gt;0)
*(INDIRECT("'シフト一覧（転載）'!"&amp;Q34&amp;":AK100")&lt;&gt;"休み"),1,0),0)),0),"")</f>
        <v>0</v>
      </c>
      <c r="S35" s="21">
        <f ca="1">IF(R34=0,0,
IF(OR(R34="",COUNTIF(R34,"*保育無し*")),"",
IF(MOD(R35-R34,1)*24&gt;=8,1,
IF(MOD(R35-R34,1)*24&gt;=6,0.75,0))))</f>
        <v>0</v>
      </c>
      <c r="T35" s="21">
        <f t="array" aca="1" ref="T35" ca="1">IFERROR(IF(S34&lt;&gt;0,INDEX(
INDIRECT("'シフト一覧（転載）'!"&amp;S34&amp;":AK100"),1+1,
MATCH(1,INDEX((LEN(INDIRECT("'シフト一覧（転載）'!"&amp;S34&amp;":AK100"))&gt;0)
*(INDIRECT("'シフト一覧（転載）'!"&amp;S34&amp;":AK100")&lt;&gt;"休み"),1,0),0)),0),"")</f>
        <v>0</v>
      </c>
      <c r="U35" s="21">
        <f ca="1">IF(T34=0,0,
IF(OR(T34="",COUNTIF(T34,"*保育無し*")),"",
IF(MOD(T35-T34,1)*24&gt;=8,1,
IF(MOD(T35-T34,1)*24&gt;=6,0.75,0))))</f>
        <v>0</v>
      </c>
      <c r="V35" s="21">
        <f t="array" aca="1" ref="V35" ca="1">IFERROR(IF(U34&lt;&gt;0,INDEX(
INDIRECT("'シフト一覧（転載）'!"&amp;U34&amp;":AK100"),1+1,
MATCH(1,INDEX((LEN(INDIRECT("'シフト一覧（転載）'!"&amp;U34&amp;":AK100"))&gt;0)
*(INDIRECT("'シフト一覧（転載）'!"&amp;U34&amp;":AK100")&lt;&gt;"休み"),1,0),0)),0),"")</f>
        <v>0</v>
      </c>
      <c r="W35" s="21">
        <f ca="1">IF(V34=0,0,
IF(OR(V34="",COUNTIF(V34,"*保育無し*")),"",
IF(MOD(V35-V34,1)*24&gt;=8,1,
IF(MOD(V35-V34,1)*24&gt;=6,0.75,0))))</f>
        <v>0</v>
      </c>
      <c r="X35" s="21">
        <f t="array" aca="1" ref="X35" ca="1">IFERROR(IF(W34&lt;&gt;0,INDEX(
INDIRECT("'シフト一覧（転載）'!"&amp;W34&amp;":AK100"),1+1,
MATCH(1,INDEX((LEN(INDIRECT("'シフト一覧（転載）'!"&amp;W34&amp;":AK100"))&gt;0)
*(INDIRECT("'シフト一覧（転載）'!"&amp;W34&amp;":AK100")&lt;&gt;"休み"),1,0),0)),0),"")</f>
        <v>0</v>
      </c>
      <c r="Y35" s="21">
        <f ca="1">IF(X34=0,0,
IF(OR(X34="",COUNTIF(X34,"*保育無し*")),"",
IF(MOD(X35-X34,1)*24&gt;=8,1,
IF(MOD(X35-X34,1)*24&gt;=6,0.75,0))))</f>
        <v>0</v>
      </c>
      <c r="Z35" s="21">
        <f t="array" aca="1" ref="Z35" ca="1">IFERROR(IF(Y34&lt;&gt;0,INDEX(
INDIRECT("'シフト一覧（転載）'!"&amp;Y34&amp;":AK100"),1+1,
MATCH(1,INDEX((LEN(INDIRECT("'シフト一覧（転載）'!"&amp;Y34&amp;":AK100"))&gt;0)
*(INDIRECT("'シフト一覧（転載）'!"&amp;Y34&amp;":AK100")&lt;&gt;"休み"),1,0),0)),0),"")</f>
        <v>0</v>
      </c>
      <c r="AA35" s="21">
        <f ca="1">IF(Z34=0,0,
IF(OR(Z34="",COUNTIF(Z34,"*保育無し*")),"",
IF(MOD(Z35-Z34,1)*24&gt;=8,1,
IF(MOD(Z35-Z34,1)*24&gt;=6,0.75,0))))</f>
        <v>0</v>
      </c>
      <c r="AB35" s="21">
        <f t="array" aca="1" ref="AB35" ca="1">IFERROR(IF(AA34&lt;&gt;0,INDEX(
INDIRECT("'シフト一覧（転載）'!"&amp;AA34&amp;":AK100"),1+1,
MATCH(1,INDEX((LEN(INDIRECT("'シフト一覧（転載）'!"&amp;AA34&amp;":AK100"))&gt;0)
*(INDIRECT("'シフト一覧（転載）'!"&amp;AA34&amp;":AK100")&lt;&gt;"休み"),1,0),0)),0),"")</f>
        <v>0</v>
      </c>
      <c r="AC35" s="21">
        <f ca="1">IF(AB34=0,0,
IF(OR(AB34="",COUNTIF(AB34,"*保育無し*")),"",
IF(MOD(AB35-AB34,1)*24&gt;=8,1,
IF(MOD(AB35-AB34,1)*24&gt;=6,0.75,0))))</f>
        <v>0</v>
      </c>
      <c r="AD35" s="21">
        <f t="array" aca="1" ref="AD35" ca="1">IFERROR(IF(AC34&lt;&gt;0,INDEX(
INDIRECT("'シフト一覧（転載）'!"&amp;AC34&amp;":AK100"),1+1,
MATCH(1,INDEX((LEN(INDIRECT("'シフト一覧（転載）'!"&amp;AC34&amp;":AK100"))&gt;0)
*(INDIRECT("'シフト一覧（転載）'!"&amp;AC34&amp;":AK100")&lt;&gt;"休み"),1,0),0)),0),"")</f>
        <v>0</v>
      </c>
      <c r="AE35" s="21">
        <f ca="1">IF(AD34=0,0,
IF(OR(AD34="",COUNTIF(AD34,"*保育無し*")),"",
IF(MOD(AD35-AD34,1)*24&gt;=8,1,
IF(MOD(AD35-AD34,1)*24&gt;=6,0.75,0))))</f>
        <v>0</v>
      </c>
      <c r="AF35" s="21">
        <f t="array" aca="1" ref="AF35" ca="1">IFERROR(IF(AE34&lt;&gt;0,INDEX(
INDIRECT("'シフト一覧（転載）'!"&amp;AE34&amp;":AK100"),1+1,
MATCH(1,INDEX((LEN(INDIRECT("'シフト一覧（転載）'!"&amp;AE34&amp;":AK100"))&gt;0)
*(INDIRECT("'シフト一覧（転載）'!"&amp;AE34&amp;":AK100")&lt;&gt;"休み"),1,0),0)),0),"")</f>
        <v>0</v>
      </c>
      <c r="AG35" s="21">
        <f ca="1">IF(AF34=0,0,
IF(OR(AF34="",COUNTIF(AF34,"*保育無し*")),"",
IF(MOD(AF35-AF34,1)*24&gt;=8,1,
IF(MOD(AF35-AF34,1)*24&gt;=6,0.75,0))))</f>
        <v>0</v>
      </c>
      <c r="AH35" s="21">
        <f t="array" aca="1" ref="AH35" ca="1">IFERROR(IF(AG34&lt;&gt;0,INDEX(
INDIRECT("'シフト一覧（転載）'!"&amp;AG34&amp;":AK100"),1+1,
MATCH(1,INDEX((LEN(INDIRECT("'シフト一覧（転載）'!"&amp;AG34&amp;":AK100"))&gt;0)
*(INDIRECT("'シフト一覧（転載）'!"&amp;AG34&amp;":AK100")&lt;&gt;"休み"),1,0),0)),0),"")</f>
        <v>0</v>
      </c>
      <c r="AI35" s="21">
        <f ca="1">IF(AH34=0,0,
IF(OR(AH34="",COUNTIF(AH34,"*保育無し*")),"",
IF(MOD(AH35-AH34,1)*24&gt;=8,1,
IF(MOD(AH35-AH34,1)*24&gt;=6,0.75,0))))</f>
        <v>0</v>
      </c>
      <c r="AJ35" s="21">
        <f t="array" aca="1" ref="AJ35" ca="1">IFERROR(IF(AI34&lt;&gt;0,INDEX(
INDIRECT("'シフト一覧（転載）'!"&amp;AI34&amp;":AK100"),1+1,
MATCH(1,INDEX((LEN(INDIRECT("'シフト一覧（転載）'!"&amp;AI34&amp;":AK100"))&gt;0)
*(INDIRECT("'シフト一覧（転載）'!"&amp;AI34&amp;":AK100")&lt;&gt;"休み"),1,0),0)),0),"")</f>
        <v>0</v>
      </c>
      <c r="AK35" s="21">
        <f ca="1">IF(AJ34=0,0,
IF(OR(AJ34="",COUNTIF(AJ34,"*保育無し*")),"",
IF(MOD(AJ35-AJ34,1)*24&gt;=8,1,
IF(MOD(AJ35-AJ34,1)*24&gt;=6,0.75,0))))</f>
        <v>0</v>
      </c>
      <c r="AL35" s="21">
        <f t="array" aca="1" ref="AL35" ca="1">IFERROR(IF(AK34&lt;&gt;0,INDEX(
INDIRECT("'シフト一覧（転載）'!"&amp;AK34&amp;":AK100"),1+1,
MATCH(1,INDEX((LEN(INDIRECT("'シフト一覧（転載）'!"&amp;AK34&amp;":AK100"))&gt;0)
*(INDIRECT("'シフト一覧（転載）'!"&amp;AK34&amp;":AK100")&lt;&gt;"休み"),1,0),0)),0),"")</f>
        <v>0</v>
      </c>
      <c r="AM35" s="21">
        <f ca="1">IF(AL34=0,0,
IF(OR(AL34="",COUNTIF(AL34,"*保育無し*")),"",
IF(MOD(AL35-AL34,1)*24&gt;=8,1,
IF(MOD(AL35-AL34,1)*24&gt;=6,0.75,0))))</f>
        <v>0</v>
      </c>
      <c r="AN35" s="21">
        <f t="array" aca="1" ref="AN35" ca="1">IFERROR(IF(AM34&lt;&gt;0,INDEX(
INDIRECT("'シフト一覧（転載）'!"&amp;AM34&amp;":AK100"),1+1,
MATCH(1,INDEX((LEN(INDIRECT("'シフト一覧（転載）'!"&amp;AM34&amp;":AK100"))&gt;0)
*(INDIRECT("'シフト一覧（転載）'!"&amp;AM34&amp;":AK100")&lt;&gt;"休み"),1,0),0)),0),"")</f>
        <v>0</v>
      </c>
      <c r="AO35" s="21">
        <f ca="1">IF(AN34=0,0,
IF(OR(AN34="",COUNTIF(AN34,"*保育無し*")),"",
IF(MOD(AN35-AN34,1)*24&gt;=8,1,
IF(MOD(AN35-AN34,1)*24&gt;=6,0.75,0))))</f>
        <v>0</v>
      </c>
      <c r="AP35" s="21">
        <f t="array" aca="1" ref="AP35" ca="1">IFERROR(IF(AO34&lt;&gt;0,INDEX(
INDIRECT("'シフト一覧（転載）'!"&amp;AO34&amp;":AK100"),1+1,
MATCH(1,INDEX((LEN(INDIRECT("'シフト一覧（転載）'!"&amp;AO34&amp;":AK100"))&gt;0)
*(INDIRECT("'シフト一覧（転載）'!"&amp;AO34&amp;":AK100")&lt;&gt;"休み"),1,0),0)),0),"")</f>
        <v>0</v>
      </c>
      <c r="AQ35" s="21">
        <f ca="1">IF(AP34=0,0,
IF(OR(AP34="",COUNTIF(AP34,"*保育無し*")),"",
IF(MOD(AP35-AP34,1)*24&gt;=8,1,
IF(MOD(AP35-AP34,1)*24&gt;=6,0.75,0))))</f>
        <v>0</v>
      </c>
      <c r="AR35" s="21">
        <f t="array" aca="1" ref="AR35" ca="1">IFERROR(IF(AQ34&lt;&gt;0,INDEX(
INDIRECT("'シフト一覧（転載）'!"&amp;AQ34&amp;":AK100"),1+1,
MATCH(1,INDEX((LEN(INDIRECT("'シフト一覧（転載）'!"&amp;AQ34&amp;":AK100"))&gt;0)
*(INDIRECT("'シフト一覧（転載）'!"&amp;AQ34&amp;":AK100")&lt;&gt;"休み"),1,0),0)),0),"")</f>
        <v>0</v>
      </c>
      <c r="AS35" s="21">
        <f ca="1">IF(AR34=0,0,
IF(OR(AR34="",COUNTIF(AR34,"*保育無し*")),"",
IF(MOD(AR35-AR34,1)*24&gt;=8,1,
IF(MOD(AR35-AR34,1)*24&gt;=6,0.75,0))))</f>
        <v>0</v>
      </c>
      <c r="AT35" s="21">
        <f t="array" aca="1" ref="AT35" ca="1">IFERROR(IF(AS34&lt;&gt;0,INDEX(
INDIRECT("'シフト一覧（転載）'!"&amp;AS34&amp;":AK100"),1+1,
MATCH(1,INDEX((LEN(INDIRECT("'シフト一覧（転載）'!"&amp;AS34&amp;":AK100"))&gt;0)
*(INDIRECT("'シフト一覧（転載）'!"&amp;AS34&amp;":AK100")&lt;&gt;"休み"),1,0),0)),0),"")</f>
        <v>0</v>
      </c>
      <c r="AU35" s="21">
        <f ca="1">IF(AT34=0,0,
IF(OR(AT34="",COUNTIF(AT34,"*保育無し*")),"",
IF(MOD(AT35-AT34,1)*24&gt;=8,1,
IF(MOD(AT35-AT34,1)*24&gt;=6,0.75,0))))</f>
        <v>0</v>
      </c>
      <c r="AV35" s="21">
        <f t="array" aca="1" ref="AV35" ca="1">IFERROR(IF(AU34&lt;&gt;0,INDEX(
INDIRECT("'シフト一覧（転載）'!"&amp;AU34&amp;":AK100"),1+1,
MATCH(1,INDEX((LEN(INDIRECT("'シフト一覧（転載）'!"&amp;AU34&amp;":AK100"))&gt;0)
*(INDIRECT("'シフト一覧（転載）'!"&amp;AU34&amp;":AK100")&lt;&gt;"休み"),1,0),0)),0),"")</f>
        <v>0</v>
      </c>
      <c r="AW35" s="21">
        <f ca="1">IF(AV34=0,0,
IF(OR(AV34="",COUNTIF(AV34,"*保育無し*")),"",
IF(MOD(AV35-AV34,1)*24&gt;=8,1,
IF(MOD(AV35-AV34,1)*24&gt;=6,0.75,0))))</f>
        <v>0</v>
      </c>
      <c r="AX35" s="21">
        <f t="array" aca="1" ref="AX35" ca="1">IFERROR(IF(AW34&lt;&gt;0,INDEX(
INDIRECT("'シフト一覧（転載）'!"&amp;AW34&amp;":AK100"),1+1,
MATCH(1,INDEX((LEN(INDIRECT("'シフト一覧（転載）'!"&amp;AW34&amp;":AK100"))&gt;0)
*(INDIRECT("'シフト一覧（転載）'!"&amp;AW34&amp;":AK100")&lt;&gt;"休み"),1,0),0)),0),"")</f>
        <v>0</v>
      </c>
      <c r="AY35" s="21">
        <f ca="1">IF(AX34=0,0,
IF(OR(AX34="",COUNTIF(AX34,"*保育無し*")),"",
IF(MOD(AX35-AX34,1)*24&gt;=8,1,
IF(MOD(AX35-AX34,1)*24&gt;=6,0.75,0))))</f>
        <v>0</v>
      </c>
      <c r="AZ35" s="21">
        <f t="array" aca="1" ref="AZ35" ca="1">IFERROR(IF(AY34&lt;&gt;0,INDEX(
INDIRECT("'シフト一覧（転載）'!"&amp;AY34&amp;":AK100"),1+1,
MATCH(1,INDEX((LEN(INDIRECT("'シフト一覧（転載）'!"&amp;AY34&amp;":AK100"))&gt;0)
*(INDIRECT("'シフト一覧（転載）'!"&amp;AY34&amp;":AK100")&lt;&gt;"休み"),1,0),0)),0),"")</f>
        <v>0</v>
      </c>
      <c r="BA35" s="21">
        <f ca="1">IF(AZ34=0,0,
IF(OR(AZ34="",COUNTIF(AZ34,"*保育無し*")),"",
IF(MOD(AZ35-AZ34,1)*24&gt;=8,1,
IF(MOD(AZ35-AZ34,1)*24&gt;=6,0.75,0))))</f>
        <v>0</v>
      </c>
      <c r="BB35" s="21">
        <f t="array" aca="1" ref="BB35" ca="1">IFERROR(IF(BA34&lt;&gt;0,INDEX(
INDIRECT("'シフト一覧（転載）'!"&amp;BA34&amp;":AK100"),1+1,
MATCH(1,INDEX((LEN(INDIRECT("'シフト一覧（転載）'!"&amp;BA34&amp;":AK100"))&gt;0)
*(INDIRECT("'シフト一覧（転載）'!"&amp;BA34&amp;":AK100")&lt;&gt;"休み"),1,0),0)),0),"")</f>
        <v>0</v>
      </c>
      <c r="BC35" s="21">
        <f ca="1">IF(BB34=0,0,
IF(OR(BB34="",COUNTIF(BB34,"*保育無し*")),"",
IF(MOD(BB35-BB34,1)*24&gt;=8,1,
IF(MOD(BB35-BB34,1)*24&gt;=6,0.75,0))))</f>
        <v>0</v>
      </c>
      <c r="BD35" s="21">
        <f t="array" aca="1" ref="BD35" ca="1">IFERROR(IF(BC34&lt;&gt;0,INDEX(
INDIRECT("'シフト一覧（転載）'!"&amp;BC34&amp;":AK100"),1+1,
MATCH(1,INDEX((LEN(INDIRECT("'シフト一覧（転載）'!"&amp;BC34&amp;":AK100"))&gt;0)
*(INDIRECT("'シフト一覧（転載）'!"&amp;BC34&amp;":AK100")&lt;&gt;"休み"),1,0),0)),0),"")</f>
        <v>0</v>
      </c>
      <c r="BE35" s="21">
        <f ca="1">IF(BD34=0,0,
IF(OR(BD34="",COUNTIF(BD34,"*保育無し*")),"",
IF(MOD(BD35-BD34,1)*24&gt;=8,1,
IF(MOD(BD35-BD34,1)*24&gt;=6,0.75,0))))</f>
        <v>0</v>
      </c>
      <c r="BF35" s="21">
        <f t="array" aca="1" ref="BF35" ca="1">IFERROR(IF(BE34&lt;&gt;0,INDEX(
INDIRECT("'シフト一覧（転載）'!"&amp;BE34&amp;":AK100"),1+1,
MATCH(1,INDEX((LEN(INDIRECT("'シフト一覧（転載）'!"&amp;BE34&amp;":AK100"))&gt;0)
*(INDIRECT("'シフト一覧（転載）'!"&amp;BE34&amp;":AK100")&lt;&gt;"休み"),1,0),0)),0),"")</f>
        <v>0</v>
      </c>
      <c r="BG35" s="21">
        <f ca="1">IF(BF34=0,0,
IF(OR(BF34="",COUNTIF(BF34,"*保育無し*")),"",
IF(MOD(BF35-BF34,1)*24&gt;=8,1,
IF(MOD(BF35-BF34,1)*24&gt;=6,0.75,0))))</f>
        <v>0</v>
      </c>
      <c r="BH35" s="21">
        <f t="array" aca="1" ref="BH35" ca="1">IFERROR(IF(BG34&lt;&gt;0,INDEX(
INDIRECT("'シフト一覧（転載）'!"&amp;BG34&amp;":AK100"),1+1,
MATCH(1,INDEX((LEN(INDIRECT("'シフト一覧（転載）'!"&amp;BG34&amp;":AK100"))&gt;0)
*(INDIRECT("'シフト一覧（転載）'!"&amp;BG34&amp;":AK100")&lt;&gt;"休み"),1,0),0)),0),"")</f>
        <v>0</v>
      </c>
      <c r="BI35" s="21">
        <f ca="1">IF(BH34=0,0,
IF(OR(BH34="",COUNTIF(BH34,"*保育無し*")),"",
IF(MOD(BH35-BH34,1)*24&gt;=8,1,
IF(MOD(BH35-BH34,1)*24&gt;=6,0.75,0))))</f>
        <v>0</v>
      </c>
      <c r="BJ35" s="21">
        <f t="array" aca="1" ref="BJ35" ca="1">IFERROR(IF(BI34&lt;&gt;0,INDEX(
INDIRECT("'シフト一覧（転載）'!"&amp;BI34&amp;":AK100"),1+1,
MATCH(1,INDEX((LEN(INDIRECT("'シフト一覧（転載）'!"&amp;BI34&amp;":AK100"))&gt;0)
*(INDIRECT("'シフト一覧（転載）'!"&amp;BI34&amp;":AK100")&lt;&gt;"休み"),1,0),0)),0),"")</f>
        <v>0</v>
      </c>
      <c r="BK35" s="21">
        <f ca="1">IF(BJ34=0,0,
IF(OR(BJ34="",COUNTIF(BJ34,"*保育無し*")),"",
IF(MOD(BJ35-BJ34,1)*24&gt;=8,1,
IF(MOD(BJ35-BJ34,1)*24&gt;=6,0.75,0))))</f>
        <v>0</v>
      </c>
      <c r="BL35" s="21">
        <f t="array" aca="1" ref="BL35" ca="1">IFERROR(IF(BK34&lt;&gt;0,INDEX(
INDIRECT("'シフト一覧（転載）'!"&amp;BK34&amp;":AK100"),1+1,
MATCH(1,INDEX((LEN(INDIRECT("'シフト一覧（転載）'!"&amp;BK34&amp;":AK100"))&gt;0)
*(INDIRECT("'シフト一覧（転載）'!"&amp;BK34&amp;":AK100")&lt;&gt;"休み"),1,0),0)),0),"")</f>
        <v>0</v>
      </c>
      <c r="BM35" s="21">
        <f ca="1">IF(BL34=0,0,
IF(OR(BL34="",COUNTIF(BL34,"*保育無し*")),"",
IF(MOD(BL35-BL34,1)*24&gt;=8,1,
IF(MOD(BL35-BL34,1)*24&gt;=6,0.75,0))))</f>
        <v>0</v>
      </c>
      <c r="BN35" s="21">
        <f t="array" aca="1" ref="BN35" ca="1">IFERROR(IF(BM34&lt;&gt;0,INDEX(
INDIRECT("'シフト一覧（転載）'!"&amp;BM34&amp;":AK100"),1+1,
MATCH(1,INDEX((LEN(INDIRECT("'シフト一覧（転載）'!"&amp;BM34&amp;":AK100"))&gt;0)
*(INDIRECT("'シフト一覧（転載）'!"&amp;BM34&amp;":AK100")&lt;&gt;"休み"),1,0),0)),0),"")</f>
        <v>0</v>
      </c>
      <c r="BO35" s="21">
        <f ca="1">IF(BN34=0,0,
IF(OR(BN34="",COUNTIF(BN34,"*保育無し*")),"",
IF(MOD(BN35-BN34,1)*24&gt;=8,1,
IF(MOD(BN35-BN34,1)*24&gt;=6,0.75,0))))</f>
        <v>0</v>
      </c>
      <c r="BP35" s="21">
        <f t="array" aca="1" ref="BP35" ca="1">IFERROR(IF(BO34&lt;&gt;0,INDEX(
INDIRECT("'シフト一覧（転載）'!"&amp;BO34&amp;":AK100"),1+1,
MATCH(1,INDEX((LEN(INDIRECT("'シフト一覧（転載）'!"&amp;BO34&amp;":AK100"))&gt;0)
*(INDIRECT("'シフト一覧（転載）'!"&amp;BO34&amp;":AK100")&lt;&gt;"休み"),1,0),0)),0),"")</f>
        <v>0</v>
      </c>
      <c r="BQ35" s="21">
        <f ca="1">IF(BP34=0,0,
IF(OR(BP34="",COUNTIF(BP34,"*保育無し*")),"",
IF(MOD(BP35-BP34,1)*24&gt;=8,1,
IF(MOD(BP35-BP34,1)*24&gt;=6,0.75,0))))</f>
        <v>0</v>
      </c>
      <c r="BR35" s="21">
        <f t="array" aca="1" ref="BR35" ca="1">IFERROR(IF(BQ34&lt;&gt;0,INDEX(
INDIRECT("'シフト一覧（転載）'!"&amp;BQ34&amp;":AK100"),1+1,
MATCH(1,INDEX((LEN(INDIRECT("'シフト一覧（転載）'!"&amp;BQ34&amp;":AK100"))&gt;0)
*(INDIRECT("'シフト一覧（転載）'!"&amp;BQ34&amp;":AK100")&lt;&gt;"休み"),1,0),0)),0),"")</f>
        <v>0</v>
      </c>
      <c r="BS35" s="21">
        <f ca="1">IF(BR34=0,0,
IF(OR(BR34="",COUNTIF(BR34,"*保育無し*")),"",
IF(MOD(BR35-BR34,1)*24&gt;=8,1,
IF(MOD(BR35-BR34,1)*24&gt;=6,0.75,0))))</f>
        <v>0</v>
      </c>
      <c r="BT35" s="21">
        <f t="array" aca="1" ref="BT35" ca="1">IFERROR(IF(BS34&lt;&gt;0,INDEX(
INDIRECT("'シフト一覧（転載）'!"&amp;BS34&amp;":AK100"),1+1,
MATCH(1,INDEX((LEN(INDIRECT("'シフト一覧（転載）'!"&amp;BS34&amp;":AK100"))&gt;0)
*(INDIRECT("'シフト一覧（転載）'!"&amp;BS34&amp;":AK100")&lt;&gt;"休み"),1,0),0)),0),"")</f>
        <v>0</v>
      </c>
      <c r="BU35" s="21">
        <f ca="1">IF(BT34=0,0,
IF(OR(BT34="",COUNTIF(BT34,"*保育無し*")),"",
IF(MOD(BT35-BT34,1)*24&gt;=8,1,
IF(MOD(BT35-BT34,1)*24&gt;=6,0.75,0))))</f>
        <v>0</v>
      </c>
      <c r="BV35" s="21">
        <f t="array" aca="1" ref="BV35" ca="1">IFERROR(IF(BU34&lt;&gt;0,INDEX(
INDIRECT("'シフト一覧（転載）'!"&amp;BU34&amp;":AK100"),1+1,
MATCH(1,INDEX((LEN(INDIRECT("'シフト一覧（転載）'!"&amp;BU34&amp;":AK100"))&gt;0)
*(INDIRECT("'シフト一覧（転載）'!"&amp;BU34&amp;":AK100")&lt;&gt;"休み"),1,0),0)),0),"")</f>
        <v>0</v>
      </c>
      <c r="BW35" s="21">
        <f ca="1">IF(BV34=0,0,
IF(OR(BV34="",COUNTIF(BV34,"*保育無し*")),"",
IF(MOD(BV35-BV34,1)*24&gt;=8,1,
IF(MOD(BV35-BV34,1)*24&gt;=6,0.75,0))))</f>
        <v>0</v>
      </c>
      <c r="BX35" s="21">
        <f t="array" aca="1" ref="BX35" ca="1">IFERROR(IF(BW34&lt;&gt;0,INDEX(
INDIRECT("'シフト一覧（転載）'!"&amp;BW34&amp;":AK100"),1+1,
MATCH(1,INDEX((LEN(INDIRECT("'シフト一覧（転載）'!"&amp;BW34&amp;":AK100"))&gt;0)
*(INDIRECT("'シフト一覧（転載）'!"&amp;BW34&amp;":AK100")&lt;&gt;"休み"),1,0),0)),0),"")</f>
        <v>0</v>
      </c>
      <c r="BY35" s="21">
        <f ca="1">IF(BX34=0,0,
IF(OR(BX34="",COUNTIF(BX34,"*保育無し*")),"",
IF(MOD(BX35-BX34,1)*24&gt;=8,1,
IF(MOD(BX35-BX34,1)*24&gt;=6,0.75,0))))</f>
        <v>0</v>
      </c>
    </row>
    <row r="36" spans="1:77" ht="19.8" customHeight="1" x14ac:dyDescent="0.2">
      <c r="A36" s="43">
        <f>IF(A35&lt;&gt;0,IF($B$9&gt;A35,A35+1,0),0)</f>
        <v>0</v>
      </c>
      <c r="B36" s="48" t="str" cm="1">
        <f t="array" aca="1" ref="B36" ca="1">IFERROR(_xlfn.TEXTJOIN("", TRUE, IF(ISERR(MID(INDIRECT("'Page_" &amp; A36 &amp; "'!C2"), ROW(INDIRECT("1:" &amp; LEN(INDIRECT("'Page_" &amp; A36 &amp; "'!C2")))), 1)*1), MID(INDIRECT("'Page_" &amp; A36 &amp; "'!C2"), ROW(INDIRECT("1:" &amp; LEN(INDIRECT("'Page_" &amp; A36 &amp; "'!C2")))), 1), "")),"")</f>
        <v/>
      </c>
      <c r="C36" s="49" t="str" cm="1">
        <f t="array" aca="1" ref="C36" ca="1">IFERROR(IF(INDIRECT("'Page_" &amp; A36 &amp; "'!E2")&lt;&gt;"",INDIRECT("'Page_" &amp; A36 &amp; "'!E2"),INDIRECT("'Page_" &amp; A36 &amp; "'!D2")),"")</f>
        <v/>
      </c>
      <c r="D36" s="58" t="str" cm="1">
        <f t="array" aca="1" ref="D36" ca="1">IFERROR(IF(INDIRECT("'Page_" &amp; A36 &amp; "'!Q3")&lt;&gt;"",INDIRECT("'Page_" &amp; A36 &amp; "'!Q3"),INDIRECT("'Page_" &amp; A36 &amp; "'!P3")),"")</f>
        <v/>
      </c>
      <c r="E36" s="39">
        <f t="shared" ca="1" si="2"/>
        <v>0</v>
      </c>
      <c r="F36" s="28" t="str">
        <f t="shared" ca="1" si="3"/>
        <v/>
      </c>
      <c r="G36" s="25" t="str">
        <f t="shared" ca="1" si="11"/>
        <v/>
      </c>
      <c r="H36" s="63" t="str" cm="1">
        <f t="array" aca="1" ref="H36" ca="1">IF(B36&lt;&gt;"",IFERROR(INDEX('シフト一覧（転載）'!$C$8:$C$100,
MATCH(1, (ISNUMBER(SEARCH(B36,'シフト一覧（転載）'!$A$8:$A$100)))
*(ISNUMBER(SEARCH($F$9,'シフト一覧（転載）'!$B$8:$B$100))), 0)),""),"")</f>
        <v/>
      </c>
      <c r="I36" s="54" t="str">
        <f t="shared" ca="1" si="12"/>
        <v/>
      </c>
      <c r="J36" s="25" t="str" cm="1">
        <f t="array" aca="1" ref="J36" ca="1">IF(B36&lt;&gt;"",IFERROR(SUM(INDIRECT("'Page_" &amp; A36 &amp; "'!K"&amp;MATCH("有休",INDIRECT("'Page_" &amp; A36 &amp; "'!K:K"),0)+2&amp;"")
+INDIRECT("'Page_" &amp; A36 &amp; "'!L"&amp;MATCH("特休",INDIRECT("'Page_" &amp; A36 &amp; "'!L:L"),0)+2&amp;""))*24,0),"")</f>
        <v/>
      </c>
      <c r="K36" s="59"/>
      <c r="M36" s="103" t="str" cm="1">
        <f t="array" aca="1" ref="M3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6" s="101" t="str">
        <f t="shared" ref="N36" ca="1" si="17">IF(M36&lt;&gt;"",VLOOKUP(M36,$B$12:$C$41,2,FALSE),"")</f>
        <v/>
      </c>
      <c r="O36" s="106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20" cm="1">
        <f t="array" aca="1" ref="P36" ca="1">IFERROR(IF(M36&lt;&gt;"",INDEX('シフト一覧（転載）'!$F$8:$AK$100,
    MATCH(1,(ISNUMBER(SEARCH(M36,'シフト一覧（転載）'!$A$8:$A$100)))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MATCH(1,(ISNUMBER(SEARCH(M36,'シフト一覧（転載）'!$A$8:$A$100)))
                *(ISNUMBER(SEARCH($F$9,'シフト一覧（転載）'!$B$8:$B$100))),
                0),0),0)),0),$F$9&amp;"保育無し")</f>
        <v>0</v>
      </c>
      <c r="Q36" s="20">
        <f t="array" aca="1" ref="Q36" ca="1">IFERROR(IF(COUNTIF(P36,"*無*"),"",IF(M36&lt;&gt;"",ADDRESS(
    MATCH(1,(ISNUMBER(SEARCH(M36,'シフト一覧（転載）'!$A$8:$A$100)))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MATCH(1,(ISNUMBER(SEARCH(M36,'シフト一覧（転載）'!$A$8:$A$100)))
                *(ISNUMBER(SEARCH($F$9,'シフト一覧（転載）'!$B$8:$B$100))),0),0),0) + 6,4),0)),0)</f>
        <v>0</v>
      </c>
      <c r="R36" s="20">
        <f t="array" aca="1" ref="R36" ca="1">IFERROR(IF(Q36&lt;&gt;"",IF(Q36&lt;&gt;0,INDEX(
INDIRECT("'シフト一覧（転載）'!"&amp;Q36&amp;":AK100"),1,
MATCH(1,INDEX((LEN(INDIRECT("'シフト一覧（転載）'!"&amp;Q36&amp;":AK100"))&gt;0)
*(INDIRECT("'シフト一覧（転載）'!"&amp;Q36&amp;":AK100")&lt;&gt;"休み"),1,0),0)),0),""),$F$9&amp;"保育無し")</f>
        <v>0</v>
      </c>
      <c r="S36" s="20">
        <f t="array" aca="1" ref="S36" ca="1">IFERROR(IF(Q36&lt;&gt;0,ADDRESS(ROW(INDIRECT(Q36)),
    COLUMN(INDIRECT(Q36)) - 1 +
    MATCH(1,INDEX((LEN(INDIRECT("'シフト一覧（転載）'!"&amp;Q36&amp;":AK100"))&gt;0)
            *(INDIRECT("'シフト一覧（転載）'!"&amp;Q36&amp;":AK100")&lt;&gt;"休み"),
            1,0),0)+1,4),0),"")</f>
        <v>0</v>
      </c>
      <c r="T36" s="20">
        <f t="array" aca="1" ref="T36" ca="1">IFERROR(IF(S36&lt;&gt;"",IF(S36&lt;&gt;0,INDEX(
INDIRECT("'シフト一覧（転載）'!"&amp;S36&amp;":AK100"),1,
MATCH(1,INDEX((LEN(INDIRECT("'シフト一覧（転載）'!"&amp;S36&amp;":AK100"))&gt;0)
*(INDIRECT("'シフト一覧（転載）'!"&amp;S36&amp;":AK100")&lt;&gt;"休み"),1,0),0)),0),""),$F$9&amp;"保育無し")</f>
        <v>0</v>
      </c>
      <c r="U36" s="20">
        <f t="array" aca="1" ref="U36" ca="1">IFERROR(IF(S36&lt;&gt;0,ADDRESS(ROW(INDIRECT(S36)),
    COLUMN(INDIRECT(S36)) - 1 +
    MATCH(1,INDEX((LEN(INDIRECT("'シフト一覧（転載）'!"&amp;S36&amp;":AK100"))&gt;0)
            *(INDIRECT("'シフト一覧（転載）'!"&amp;S36&amp;":AK100")&lt;&gt;"休み"),
            1,0),0)+1,4),0),"")</f>
        <v>0</v>
      </c>
      <c r="V36" s="20">
        <f t="array" aca="1" ref="V36" ca="1">IFERROR(IF(U36&lt;&gt;"",IF(U36&lt;&gt;0,INDEX(
INDIRECT("'シフト一覧（転載）'!"&amp;U36&amp;":AK100"),1,
MATCH(1,INDEX((LEN(INDIRECT("'シフト一覧（転載）'!"&amp;U36&amp;":AK100"))&gt;0)
*(INDIRECT("'シフト一覧（転載）'!"&amp;U36&amp;":AK100")&lt;&gt;"休み"),1,0),0)),0),""),$F$9&amp;"保育無し")</f>
        <v>0</v>
      </c>
      <c r="W36" s="20">
        <f t="array" aca="1" ref="W36" ca="1">IFERROR(IF(U36&lt;&gt;0,ADDRESS(ROW(INDIRECT(U36)),
    COLUMN(INDIRECT(U36)) - 1 +
    MATCH(1,INDEX((LEN(INDIRECT("'シフト一覧（転載）'!"&amp;U36&amp;":AK100"))&gt;0)
            *(INDIRECT("'シフト一覧（転載）'!"&amp;U36&amp;":AK100")&lt;&gt;"休み"),
            1,0),0)+1,4),0),"")</f>
        <v>0</v>
      </c>
      <c r="X36" s="20">
        <f t="array" aca="1" ref="X36" ca="1">IFERROR(IF(W36&lt;&gt;"",IF(W36&lt;&gt;0,INDEX(
INDIRECT("'シフト一覧（転載）'!"&amp;W36&amp;":AK100"),1,
MATCH(1,INDEX((LEN(INDIRECT("'シフト一覧（転載）'!"&amp;W36&amp;":AK100"))&gt;0)
*(INDIRECT("'シフト一覧（転載）'!"&amp;W36&amp;":AK100")&lt;&gt;"休み"),1,0),0)),0),""),$F$9&amp;"保育無し")</f>
        <v>0</v>
      </c>
      <c r="Y36" s="20">
        <f t="array" aca="1" ref="Y36" ca="1">IFERROR(IF(W36&lt;&gt;0,ADDRESS(ROW(INDIRECT(W36)),
    COLUMN(INDIRECT(W36)) - 1 +
    MATCH(1,INDEX((LEN(INDIRECT("'シフト一覧（転載）'!"&amp;W36&amp;":AK100"))&gt;0)
            *(INDIRECT("'シフト一覧（転載）'!"&amp;W36&amp;":AK100")&lt;&gt;"休み"),
            1,0),0)+1,4),0),"")</f>
        <v>0</v>
      </c>
      <c r="Z36" s="20">
        <f t="array" aca="1" ref="Z36" ca="1">IFERROR(IF(Y36&lt;&gt;"",IF(Y36&lt;&gt;0,INDEX(
INDIRECT("'シフト一覧（転載）'!"&amp;Y36&amp;":AK100"),1,
MATCH(1,INDEX((LEN(INDIRECT("'シフト一覧（転載）'!"&amp;Y36&amp;":AK100"))&gt;0)
*(INDIRECT("'シフト一覧（転載）'!"&amp;Y36&amp;":AK100")&lt;&gt;"休み"),1,0),0)),0),""),$F$9&amp;"保育無し")</f>
        <v>0</v>
      </c>
      <c r="AA36" s="20">
        <f t="array" aca="1" ref="AA36" ca="1">IFERROR(IF(Y36&lt;&gt;0,ADDRESS(ROW(INDIRECT(Y36)),
    COLUMN(INDIRECT(Y36)) - 1 +
    MATCH(1,INDEX((LEN(INDIRECT("'シフト一覧（転載）'!"&amp;Y36&amp;":AK100"))&gt;0)
            *(INDIRECT("'シフト一覧（転載）'!"&amp;Y36&amp;":AK100")&lt;&gt;"休み"),
            1,0),0)+1,4),0),"")</f>
        <v>0</v>
      </c>
      <c r="AB36" s="20">
        <f t="array" aca="1" ref="AB36" ca="1">IFERROR(IF(AA36&lt;&gt;"",IF(AA36&lt;&gt;0,INDEX(
INDIRECT("'シフト一覧（転載）'!"&amp;AA36&amp;":AK100"),1,
MATCH(1,INDEX((LEN(INDIRECT("'シフト一覧（転載）'!"&amp;AA36&amp;":AK100"))&gt;0)
*(INDIRECT("'シフト一覧（転載）'!"&amp;AA36&amp;":AK100")&lt;&gt;"休み"),1,0),0)),0),""),$F$9&amp;"保育無し")</f>
        <v>0</v>
      </c>
      <c r="AC36" s="20">
        <f t="array" aca="1" ref="AC36" ca="1">IFERROR(IF(AA36&lt;&gt;0,ADDRESS(ROW(INDIRECT(AA36)),
    COLUMN(INDIRECT(AA36)) - 1 +
    MATCH(1,INDEX((LEN(INDIRECT("'シフト一覧（転載）'!"&amp;AA36&amp;":AK100"))&gt;0)
            *(INDIRECT("'シフト一覧（転載）'!"&amp;AA36&amp;":AK100")&lt;&gt;"休み"),
            1,0),0)+1,4),0),"")</f>
        <v>0</v>
      </c>
      <c r="AD36" s="20">
        <f t="array" aca="1" ref="AD36" ca="1">IFERROR(IF(AC36&lt;&gt;"",IF(AC36&lt;&gt;0,INDEX(
INDIRECT("'シフト一覧（転載）'!"&amp;AC36&amp;":AK100"),1,
MATCH(1,INDEX((LEN(INDIRECT("'シフト一覧（転載）'!"&amp;AC36&amp;":AK100"))&gt;0)
*(INDIRECT("'シフト一覧（転載）'!"&amp;AC36&amp;":AK100")&lt;&gt;"休み"),1,0),0)),0),""),$F$9&amp;"保育無し")</f>
        <v>0</v>
      </c>
      <c r="AE36" s="20">
        <f t="array" aca="1" ref="AE36" ca="1">IFERROR(IF(AC36&lt;&gt;0,ADDRESS(ROW(INDIRECT(AC36)),
    COLUMN(INDIRECT(AC36)) - 1 +
    MATCH(1,INDEX((LEN(INDIRECT("'シフト一覧（転載）'!"&amp;AC36&amp;":AK100"))&gt;0)
            *(INDIRECT("'シフト一覧（転載）'!"&amp;AC36&amp;":AK100")&lt;&gt;"休み"),
            1,0),0)+1,4),0),"")</f>
        <v>0</v>
      </c>
      <c r="AF36" s="20">
        <f t="array" aca="1" ref="AF36" ca="1">IFERROR(IF(AE36&lt;&gt;"",IF(AE36&lt;&gt;0,INDEX(
INDIRECT("'シフト一覧（転載）'!"&amp;AE36&amp;":AK100"),1,
MATCH(1,INDEX((LEN(INDIRECT("'シフト一覧（転載）'!"&amp;AE36&amp;":AK100"))&gt;0)
*(INDIRECT("'シフト一覧（転載）'!"&amp;AE36&amp;":AK100")&lt;&gt;"休み"),1,0),0)),0),""),$F$9&amp;"保育無し")</f>
        <v>0</v>
      </c>
      <c r="AG36" s="20">
        <f t="array" aca="1" ref="AG36" ca="1">IFERROR(IF(AE36&lt;&gt;0,ADDRESS(ROW(INDIRECT(AE36)),
    COLUMN(INDIRECT(AE36)) - 1 +
    MATCH(1,INDEX((LEN(INDIRECT("'シフト一覧（転載）'!"&amp;AE36&amp;":AK100"))&gt;0)
            *(INDIRECT("'シフト一覧（転載）'!"&amp;AE36&amp;":AK100")&lt;&gt;"休み"),
            1,0),0)+1,4),0),"")</f>
        <v>0</v>
      </c>
      <c r="AH36" s="20">
        <f t="array" aca="1" ref="AH36" ca="1">IFERROR(IF(AG36&lt;&gt;"",IF(AG36&lt;&gt;0,INDEX(
INDIRECT("'シフト一覧（転載）'!"&amp;AG36&amp;":AK100"),1,
MATCH(1,INDEX((LEN(INDIRECT("'シフト一覧（転載）'!"&amp;AG36&amp;":AK100"))&gt;0)
*(INDIRECT("'シフト一覧（転載）'!"&amp;AG36&amp;":AK100")&lt;&gt;"休み"),1,0),0)),0),""),$F$9&amp;"保育無し")</f>
        <v>0</v>
      </c>
      <c r="AI36" s="20">
        <f t="array" aca="1" ref="AI36" ca="1">IFERROR(IF(AG36&lt;&gt;0,ADDRESS(ROW(INDIRECT(AG36)),
    COLUMN(INDIRECT(AG36)) - 1 +
    MATCH(1,INDEX((LEN(INDIRECT("'シフト一覧（転載）'!"&amp;AG36&amp;":AK100"))&gt;0)
            *(INDIRECT("'シフト一覧（転載）'!"&amp;AG36&amp;":AK100")&lt;&gt;"休み"),
            1,0),0)+1,4),0),"")</f>
        <v>0</v>
      </c>
      <c r="AJ36" s="20">
        <f t="array" aca="1" ref="AJ36" ca="1">IFERROR(IF(AI36&lt;&gt;"",IF(AI36&lt;&gt;0,INDEX(
INDIRECT("'シフト一覧（転載）'!"&amp;AI36&amp;":AK100"),1,
MATCH(1,INDEX((LEN(INDIRECT("'シフト一覧（転載）'!"&amp;AI36&amp;":AK100"))&gt;0)
*(INDIRECT("'シフト一覧（転載）'!"&amp;AI36&amp;":AK100")&lt;&gt;"休み"),1,0),0)),0),""),$F$9&amp;"保育無し")</f>
        <v>0</v>
      </c>
      <c r="AK36" s="20">
        <f t="array" aca="1" ref="AK36" ca="1">IFERROR(IF(AI36&lt;&gt;0,ADDRESS(ROW(INDIRECT(AI36)),
    COLUMN(INDIRECT(AI36)) - 1 +
    MATCH(1,INDEX((LEN(INDIRECT("'シフト一覧（転載）'!"&amp;AI36&amp;":AK100"))&gt;0)
            *(INDIRECT("'シフト一覧（転載）'!"&amp;AI36&amp;":AK100")&lt;&gt;"休み"),
            1,0),0)+1,4),0),"")</f>
        <v>0</v>
      </c>
      <c r="AL36" s="20">
        <f t="array" aca="1" ref="AL36" ca="1">IFERROR(IF(AK36&lt;&gt;"",IF(AK36&lt;&gt;0,INDEX(
INDIRECT("'シフト一覧（転載）'!"&amp;AK36&amp;":AK100"),1,
MATCH(1,INDEX((LEN(INDIRECT("'シフト一覧（転載）'!"&amp;AK36&amp;":AK100"))&gt;0)
*(INDIRECT("'シフト一覧（転載）'!"&amp;AK36&amp;":AK100")&lt;&gt;"休み"),1,0),0)),0),""),$F$9&amp;"保育無し")</f>
        <v>0</v>
      </c>
      <c r="AM36" s="20">
        <f t="array" aca="1" ref="AM36" ca="1">IFERROR(IF(AK36&lt;&gt;0,ADDRESS(ROW(INDIRECT(AK36)),
    COLUMN(INDIRECT(AK36)) - 1 +
    MATCH(1,INDEX((LEN(INDIRECT("'シフト一覧（転載）'!"&amp;AK36&amp;":AK100"))&gt;0)
            *(INDIRECT("'シフト一覧（転載）'!"&amp;AK36&amp;":AK100")&lt;&gt;"休み"),
            1,0),0)+1,4),0),"")</f>
        <v>0</v>
      </c>
      <c r="AN36" s="20">
        <f t="array" aca="1" ref="AN36" ca="1">IFERROR(IF(AM36&lt;&gt;"",IF(AM36&lt;&gt;0,INDEX(
INDIRECT("'シフト一覧（転載）'!"&amp;AM36&amp;":AK100"),1,
MATCH(1,INDEX((LEN(INDIRECT("'シフト一覧（転載）'!"&amp;AM36&amp;":AK100"))&gt;0)
*(INDIRECT("'シフト一覧（転載）'!"&amp;AM36&amp;":AK100")&lt;&gt;"休み"),1,0),0)),0),""),$F$9&amp;"保育無し")</f>
        <v>0</v>
      </c>
      <c r="AO36" s="20">
        <f t="array" aca="1" ref="AO36" ca="1">IFERROR(IF(AM36&lt;&gt;0,ADDRESS(ROW(INDIRECT(AM36)),
    COLUMN(INDIRECT(AM36)) - 1 +
    MATCH(1,INDEX((LEN(INDIRECT("'シフト一覧（転載）'!"&amp;AM36&amp;":AK100"))&gt;0)
            *(INDIRECT("'シフト一覧（転載）'!"&amp;AM36&amp;":AK100")&lt;&gt;"休み"),
            1,0),0)+1,4),0),"")</f>
        <v>0</v>
      </c>
      <c r="AP36" s="20">
        <f t="array" aca="1" ref="AP36" ca="1">IFERROR(IF(AO36&lt;&gt;"",IF(AO36&lt;&gt;0,INDEX(
INDIRECT("'シフト一覧（転載）'!"&amp;AO36&amp;":AK100"),1,
MATCH(1,INDEX((LEN(INDIRECT("'シフト一覧（転載）'!"&amp;AO36&amp;":AK100"))&gt;0)
*(INDIRECT("'シフト一覧（転載）'!"&amp;AO36&amp;":AK100")&lt;&gt;"休み"),1,0),0)),0),""),$F$9&amp;"保育無し")</f>
        <v>0</v>
      </c>
      <c r="AQ36" s="20">
        <f t="array" aca="1" ref="AQ36" ca="1">IFERROR(IF(AO36&lt;&gt;0,ADDRESS(ROW(INDIRECT(AO36)),
    COLUMN(INDIRECT(AO36)) - 1 +
    MATCH(1,INDEX((LEN(INDIRECT("'シフト一覧（転載）'!"&amp;AO36&amp;":AK100"))&gt;0)
            *(INDIRECT("'シフト一覧（転載）'!"&amp;AO36&amp;":AK100")&lt;&gt;"休み"),
            1,0),0)+1,4),0),"")</f>
        <v>0</v>
      </c>
      <c r="AR36" s="20">
        <f t="array" aca="1" ref="AR36" ca="1">IFERROR(IF(AQ36&lt;&gt;"",IF(AQ36&lt;&gt;0,INDEX(
INDIRECT("'シフト一覧（転載）'!"&amp;AQ36&amp;":AK100"),1,
MATCH(1,INDEX((LEN(INDIRECT("'シフト一覧（転載）'!"&amp;AQ36&amp;":AK100"))&gt;0)
*(INDIRECT("'シフト一覧（転載）'!"&amp;AQ36&amp;":AK100")&lt;&gt;"休み"),1,0),0)),0),""),$F$9&amp;"保育無し")</f>
        <v>0</v>
      </c>
      <c r="AS36" s="20">
        <f t="array" aca="1" ref="AS36" ca="1">IFERROR(IF(AQ36&lt;&gt;0,ADDRESS(ROW(INDIRECT(AQ36)),
    COLUMN(INDIRECT(AQ36)) - 1 +
    MATCH(1,INDEX((LEN(INDIRECT("'シフト一覧（転載）'!"&amp;AQ36&amp;":AK100"))&gt;0)
            *(INDIRECT("'シフト一覧（転載）'!"&amp;AQ36&amp;":AK100")&lt;&gt;"休み"),
            1,0),0)+1,4),0),"")</f>
        <v>0</v>
      </c>
      <c r="AT36" s="20">
        <f t="array" aca="1" ref="AT36" ca="1">IFERROR(IF(AS36&lt;&gt;"",IF(AS36&lt;&gt;0,INDEX(
INDIRECT("'シフト一覧（転載）'!"&amp;AS36&amp;":AK100"),1,
MATCH(1,INDEX((LEN(INDIRECT("'シフト一覧（転載）'!"&amp;AS36&amp;":AK100"))&gt;0)
*(INDIRECT("'シフト一覧（転載）'!"&amp;AS36&amp;":AK100")&lt;&gt;"休み"),1,0),0)),0),""),$F$9&amp;"保育無し")</f>
        <v>0</v>
      </c>
      <c r="AU36" s="20">
        <f t="array" aca="1" ref="AU36" ca="1">IFERROR(IF(AS36&lt;&gt;0,ADDRESS(ROW(INDIRECT(AS36)),
    COLUMN(INDIRECT(AS36)) - 1 +
    MATCH(1,INDEX((LEN(INDIRECT("'シフト一覧（転載）'!"&amp;AS36&amp;":AK100"))&gt;0)
            *(INDIRECT("'シフト一覧（転載）'!"&amp;AS36&amp;":AK100")&lt;&gt;"休み"),
            1,0),0)+1,4),0),"")</f>
        <v>0</v>
      </c>
      <c r="AV36" s="20">
        <f t="array" aca="1" ref="AV36" ca="1">IFERROR(IF(AU36&lt;&gt;"",IF(AU36&lt;&gt;0,INDEX(
INDIRECT("'シフト一覧（転載）'!"&amp;AU36&amp;":AK100"),1,
MATCH(1,INDEX((LEN(INDIRECT("'シフト一覧（転載）'!"&amp;AU36&amp;":AK100"))&gt;0)
*(INDIRECT("'シフト一覧（転載）'!"&amp;AU36&amp;":AK100")&lt;&gt;"休み"),1,0),0)),0),""),$F$9&amp;"保育無し")</f>
        <v>0</v>
      </c>
      <c r="AW36" s="20">
        <f t="array" aca="1" ref="AW36" ca="1">IFERROR(IF(AU36&lt;&gt;0,ADDRESS(ROW(INDIRECT(AU36)),
    COLUMN(INDIRECT(AU36)) - 1 +
    MATCH(1,INDEX((LEN(INDIRECT("'シフト一覧（転載）'!"&amp;AU36&amp;":AK100"))&gt;0)
            *(INDIRECT("'シフト一覧（転載）'!"&amp;AU36&amp;":AK100")&lt;&gt;"休み"),
            1,0),0)+1,4),0),"")</f>
        <v>0</v>
      </c>
      <c r="AX36" s="20">
        <f t="array" aca="1" ref="AX36" ca="1">IFERROR(IF(AW36&lt;&gt;"",IF(AW36&lt;&gt;0,INDEX(
INDIRECT("'シフト一覧（転載）'!"&amp;AW36&amp;":AK100"),1,
MATCH(1,INDEX((LEN(INDIRECT("'シフト一覧（転載）'!"&amp;AW36&amp;":AK100"))&gt;0)
*(INDIRECT("'シフト一覧（転載）'!"&amp;AW36&amp;":AK100")&lt;&gt;"休み"),1,0),0)),0),""),$F$9&amp;"保育無し")</f>
        <v>0</v>
      </c>
      <c r="AY36" s="20">
        <f t="array" aca="1" ref="AY36" ca="1">IFERROR(IF(AW36&lt;&gt;0,ADDRESS(ROW(INDIRECT(AW36)),
    COLUMN(INDIRECT(AW36)) - 1 +
    MATCH(1,INDEX((LEN(INDIRECT("'シフト一覧（転載）'!"&amp;AW36&amp;":AK100"))&gt;0)
            *(INDIRECT("'シフト一覧（転載）'!"&amp;AW36&amp;":AK100")&lt;&gt;"休み"),
            1,0),0)+1,4),0),"")</f>
        <v>0</v>
      </c>
      <c r="AZ36" s="20">
        <f t="array" aca="1" ref="AZ36" ca="1">IFERROR(IF(AY36&lt;&gt;"",IF(AY36&lt;&gt;0,INDEX(
INDIRECT("'シフト一覧（転載）'!"&amp;AY36&amp;":AK100"),1,
MATCH(1,INDEX((LEN(INDIRECT("'シフト一覧（転載）'!"&amp;AY36&amp;":AK100"))&gt;0)
*(INDIRECT("'シフト一覧（転載）'!"&amp;AY36&amp;":AK100")&lt;&gt;"休み"),1,0),0)),0),""),$F$9&amp;"保育無し")</f>
        <v>0</v>
      </c>
      <c r="BA36" s="20">
        <f t="array" aca="1" ref="BA36" ca="1">IFERROR(IF(AY36&lt;&gt;0,ADDRESS(ROW(INDIRECT(AY36)),
    COLUMN(INDIRECT(AY36)) - 1 +
    MATCH(1,INDEX((LEN(INDIRECT("'シフト一覧（転載）'!"&amp;AY36&amp;":AK100"))&gt;0)
            *(INDIRECT("'シフト一覧（転載）'!"&amp;AY36&amp;":AK100")&lt;&gt;"休み"),
            1,0),0)+1,4),0),"")</f>
        <v>0</v>
      </c>
      <c r="BB36" s="20">
        <f t="array" aca="1" ref="BB36" ca="1">IFERROR(IF(BA36&lt;&gt;"",IF(BA36&lt;&gt;0,INDEX(
INDIRECT("'シフト一覧（転載）'!"&amp;BA36&amp;":AK100"),1,
MATCH(1,INDEX((LEN(INDIRECT("'シフト一覧（転載）'!"&amp;BA36&amp;":AK100"))&gt;0)
*(INDIRECT("'シフト一覧（転載）'!"&amp;BA36&amp;":AK100")&lt;&gt;"休み"),1,0),0)),0),""),$F$9&amp;"保育無し")</f>
        <v>0</v>
      </c>
      <c r="BC36" s="20">
        <f t="array" aca="1" ref="BC36" ca="1">IFERROR(IF(BA36&lt;&gt;0,ADDRESS(ROW(INDIRECT(BA36)),
    COLUMN(INDIRECT(BA36)) - 1 +
    MATCH(1,INDEX((LEN(INDIRECT("'シフト一覧（転載）'!"&amp;BA36&amp;":AK100"))&gt;0)
            *(INDIRECT("'シフト一覧（転載）'!"&amp;BA36&amp;":AK100")&lt;&gt;"休み"),
            1,0),0)+1,4),0),"")</f>
        <v>0</v>
      </c>
      <c r="BD36" s="20">
        <f t="array" aca="1" ref="BD36" ca="1">IFERROR(IF(BC36&lt;&gt;"",IF(BC36&lt;&gt;0,INDEX(
INDIRECT("'シフト一覧（転載）'!"&amp;BC36&amp;":AK100"),1,
MATCH(1,INDEX((LEN(INDIRECT("'シフト一覧（転載）'!"&amp;BC36&amp;":AK100"))&gt;0)
*(INDIRECT("'シフト一覧（転載）'!"&amp;BC36&amp;":AK100")&lt;&gt;"休み"),1,0),0)),0),""),$F$9&amp;"保育無し")</f>
        <v>0</v>
      </c>
      <c r="BE36" s="20">
        <f t="array" aca="1" ref="BE36" ca="1">IFERROR(IF(BC36&lt;&gt;0,ADDRESS(ROW(INDIRECT(BC36)),
    COLUMN(INDIRECT(BC36)) - 1 +
    MATCH(1,INDEX((LEN(INDIRECT("'シフト一覧（転載）'!"&amp;BC36&amp;":AK100"))&gt;0)
            *(INDIRECT("'シフト一覧（転載）'!"&amp;BC36&amp;":AK100")&lt;&gt;"休み"),
            1,0),0)+1,4),0),"")</f>
        <v>0</v>
      </c>
      <c r="BF36" s="20">
        <f t="array" aca="1" ref="BF36" ca="1">IFERROR(IF(BE36&lt;&gt;"",IF(BE36&lt;&gt;0,INDEX(
INDIRECT("'シフト一覧（転載）'!"&amp;BE36&amp;":AK100"),1,
MATCH(1,INDEX((LEN(INDIRECT("'シフト一覧（転載）'!"&amp;BE36&amp;":AK100"))&gt;0)
*(INDIRECT("'シフト一覧（転載）'!"&amp;BE36&amp;":AK100")&lt;&gt;"休み"),1,0),0)),0),""),$F$9&amp;"保育無し")</f>
        <v>0</v>
      </c>
      <c r="BG36" s="20">
        <f t="array" aca="1" ref="BG36" ca="1">IFERROR(IF(BE36&lt;&gt;0,ADDRESS(ROW(INDIRECT(BE36)),
    COLUMN(INDIRECT(BE36)) - 1 +
    MATCH(1,INDEX((LEN(INDIRECT("'シフト一覧（転載）'!"&amp;BE36&amp;":AK100"))&gt;0)
            *(INDIRECT("'シフト一覧（転載）'!"&amp;BE36&amp;":AK100")&lt;&gt;"休み"),
            1,0),0)+1,4),0),"")</f>
        <v>0</v>
      </c>
      <c r="BH36" s="20">
        <f t="array" aca="1" ref="BH36" ca="1">IFERROR(IF(BG36&lt;&gt;"",IF(BG36&lt;&gt;0,INDEX(
INDIRECT("'シフト一覧（転載）'!"&amp;BG36&amp;":AK100"),1,
MATCH(1,INDEX((LEN(INDIRECT("'シフト一覧（転載）'!"&amp;BG36&amp;":AK100"))&gt;0)
*(INDIRECT("'シフト一覧（転載）'!"&amp;BG36&amp;":AK100")&lt;&gt;"休み"),1,0),0)),0),""),$F$9&amp;"保育無し")</f>
        <v>0</v>
      </c>
      <c r="BI36" s="20">
        <f t="array" aca="1" ref="BI36" ca="1">IFERROR(IF(BG36&lt;&gt;0,ADDRESS(ROW(INDIRECT(BG36)),
    COLUMN(INDIRECT(BG36)) - 1 +
    MATCH(1,INDEX((LEN(INDIRECT("'シフト一覧（転載）'!"&amp;BG36&amp;":AK100"))&gt;0)
            *(INDIRECT("'シフト一覧（転載）'!"&amp;BG36&amp;":AK100")&lt;&gt;"休み"),
            1,0),0)+1,4),0),"")</f>
        <v>0</v>
      </c>
      <c r="BJ36" s="20">
        <f t="array" aca="1" ref="BJ36" ca="1">IFERROR(IF(BI36&lt;&gt;"",IF(BI36&lt;&gt;0,INDEX(
INDIRECT("'シフト一覧（転載）'!"&amp;BI36&amp;":AK100"),1,
MATCH(1,INDEX((LEN(INDIRECT("'シフト一覧（転載）'!"&amp;BI36&amp;":AK100"))&gt;0)
*(INDIRECT("'シフト一覧（転載）'!"&amp;BI36&amp;":AK100")&lt;&gt;"休み"),1,0),0)),0),""),$F$9&amp;"保育無し")</f>
        <v>0</v>
      </c>
      <c r="BK36" s="20">
        <f t="array" aca="1" ref="BK36" ca="1">IFERROR(IF(BI36&lt;&gt;0,ADDRESS(ROW(INDIRECT(BI36)),
    COLUMN(INDIRECT(BI36)) - 1 +
    MATCH(1,INDEX((LEN(INDIRECT("'シフト一覧（転載）'!"&amp;BI36&amp;":AK100"))&gt;0)
            *(INDIRECT("'シフト一覧（転載）'!"&amp;BI36&amp;":AK100")&lt;&gt;"休み"),
            1,0),0)+1,4),0),"")</f>
        <v>0</v>
      </c>
      <c r="BL36" s="20">
        <f t="array" aca="1" ref="BL36" ca="1">IFERROR(IF(BK36&lt;&gt;"",IF(BK36&lt;&gt;0,INDEX(
INDIRECT("'シフト一覧（転載）'!"&amp;BK36&amp;":AK100"),1,
MATCH(1,INDEX((LEN(INDIRECT("'シフト一覧（転載）'!"&amp;BK36&amp;":AK100"))&gt;0)
*(INDIRECT("'シフト一覧（転載）'!"&amp;BK36&amp;":AK100")&lt;&gt;"休み"),1,0),0)),0),""),$F$9&amp;"保育無し")</f>
        <v>0</v>
      </c>
      <c r="BM36" s="20">
        <f t="array" aca="1" ref="BM36" ca="1">IFERROR(IF(BK36&lt;&gt;0,ADDRESS(ROW(INDIRECT(BK36)),
    COLUMN(INDIRECT(BK36)) - 1 +
    MATCH(1,INDEX((LEN(INDIRECT("'シフト一覧（転載）'!"&amp;BK36&amp;":AK100"))&gt;0)
            *(INDIRECT("'シフト一覧（転載）'!"&amp;BK36&amp;":AK100")&lt;&gt;"休み"),
            1,0),0)+1,4),0),"")</f>
        <v>0</v>
      </c>
      <c r="BN36" s="20">
        <f t="array" aca="1" ref="BN36" ca="1">IFERROR(IF(BM36&lt;&gt;"",IF(BM36&lt;&gt;0,INDEX(
INDIRECT("'シフト一覧（転載）'!"&amp;BM36&amp;":AK100"),1,
MATCH(1,INDEX((LEN(INDIRECT("'シフト一覧（転載）'!"&amp;BM36&amp;":AK100"))&gt;0)
*(INDIRECT("'シフト一覧（転載）'!"&amp;BM36&amp;":AK100")&lt;&gt;"休み"),1,0),0)),0),""),$F$9&amp;"保育無し")</f>
        <v>0</v>
      </c>
      <c r="BO36" s="20">
        <f t="array" aca="1" ref="BO36" ca="1">IFERROR(IF(BM36&lt;&gt;0,ADDRESS(ROW(INDIRECT(BM36)),
    COLUMN(INDIRECT(BM36)) - 1 +
    MATCH(1,INDEX((LEN(INDIRECT("'シフト一覧（転載）'!"&amp;BM36&amp;":AK100"))&gt;0)
            *(INDIRECT("'シフト一覧（転載）'!"&amp;BM36&amp;":AK100")&lt;&gt;"休み"),
            1,0),0)+1,4),0),"")</f>
        <v>0</v>
      </c>
      <c r="BP36" s="20">
        <f t="array" aca="1" ref="BP36" ca="1">IFERROR(IF(BO36&lt;&gt;"",IF(BO36&lt;&gt;0,INDEX(
INDIRECT("'シフト一覧（転載）'!"&amp;BO36&amp;":AK100"),1,
MATCH(1,INDEX((LEN(INDIRECT("'シフト一覧（転載）'!"&amp;BO36&amp;":AK100"))&gt;0)
*(INDIRECT("'シフト一覧（転載）'!"&amp;BO36&amp;":AK100")&lt;&gt;"休み"),1,0),0)),0),""),$F$9&amp;"保育無し")</f>
        <v>0</v>
      </c>
      <c r="BQ36" s="20">
        <f t="array" aca="1" ref="BQ36" ca="1">IFERROR(IF(BO36&lt;&gt;0,ADDRESS(ROW(INDIRECT(BO36)),
    COLUMN(INDIRECT(BO36)) - 1 +
    MATCH(1,INDEX((LEN(INDIRECT("'シフト一覧（転載）'!"&amp;BO36&amp;":AK100"))&gt;0)
            *(INDIRECT("'シフト一覧（転載）'!"&amp;BO36&amp;":AK100")&lt;&gt;"休み"),
            1,0),0)+1,4),0),"")</f>
        <v>0</v>
      </c>
      <c r="BR36" s="20">
        <f t="array" aca="1" ref="BR36" ca="1">IFERROR(IF(BQ36&lt;&gt;"",IF(BQ36&lt;&gt;0,INDEX(
INDIRECT("'シフト一覧（転載）'!"&amp;BQ36&amp;":AK100"),1,
MATCH(1,INDEX((LEN(INDIRECT("'シフト一覧（転載）'!"&amp;BQ36&amp;":AK100"))&gt;0)
*(INDIRECT("'シフト一覧（転載）'!"&amp;BQ36&amp;":AK100")&lt;&gt;"休み"),1,0),0)),0),""),$F$9&amp;"保育無し")</f>
        <v>0</v>
      </c>
      <c r="BS36" s="20">
        <f t="array" aca="1" ref="BS36" ca="1">IFERROR(IF(BQ36&lt;&gt;0,ADDRESS(ROW(INDIRECT(BQ36)),
    COLUMN(INDIRECT(BQ36)) - 1 +
    MATCH(1,INDEX((LEN(INDIRECT("'シフト一覧（転載）'!"&amp;BQ36&amp;":AK100"))&gt;0)
            *(INDIRECT("'シフト一覧（転載）'!"&amp;BQ36&amp;":AK100")&lt;&gt;"休み"),
            1,0),0)+1,4),0),"")</f>
        <v>0</v>
      </c>
      <c r="BT36" s="20">
        <f t="array" aca="1" ref="BT36" ca="1">IFERROR(IF(BS36&lt;&gt;"",IF(BS36&lt;&gt;0,INDEX(
INDIRECT("'シフト一覧（転載）'!"&amp;BS36&amp;":AK100"),1,
MATCH(1,INDEX((LEN(INDIRECT("'シフト一覧（転載）'!"&amp;BS36&amp;":AK100"))&gt;0)
*(INDIRECT("'シフト一覧（転載）'!"&amp;BS36&amp;":AK100")&lt;&gt;"休み"),1,0),0)),0),""),$F$9&amp;"保育無し")</f>
        <v>0</v>
      </c>
      <c r="BU36" s="20">
        <f t="array" aca="1" ref="BU36" ca="1">IFERROR(IF(BS36&lt;&gt;0,ADDRESS(ROW(INDIRECT(BS36)),
    COLUMN(INDIRECT(BS36)) - 1 +
    MATCH(1,INDEX((LEN(INDIRECT("'シフト一覧（転載）'!"&amp;BS36&amp;":AK100"))&gt;0)
            *(INDIRECT("'シフト一覧（転載）'!"&amp;BS36&amp;":AK100")&lt;&gt;"休み"),
            1,0),0)+1,4),0),"")</f>
        <v>0</v>
      </c>
      <c r="BV36" s="20">
        <f t="array" aca="1" ref="BV36" ca="1">IFERROR(IF(BU36&lt;&gt;"",IF(BU36&lt;&gt;0,INDEX(
INDIRECT("'シフト一覧（転載）'!"&amp;BU36&amp;":AK100"),1,
MATCH(1,INDEX((LEN(INDIRECT("'シフト一覧（転載）'!"&amp;BU36&amp;":AK100"))&gt;0)
*(INDIRECT("'シフト一覧（転載）'!"&amp;BU36&amp;":AK100")&lt;&gt;"休み"),1,0),0)),0),""),$F$9&amp;"保育無し")</f>
        <v>0</v>
      </c>
      <c r="BW36" s="20">
        <f t="array" aca="1" ref="BW36" ca="1">IFERROR(IF(BU36&lt;&gt;0,ADDRESS(ROW(INDIRECT(BU36)),
    COLUMN(INDIRECT(BU36)) - 1 +
    MATCH(1,INDEX((LEN(INDIRECT("'シフト一覧（転載）'!"&amp;BU36&amp;":AK100"))&gt;0)
            *(INDIRECT("'シフト一覧（転載）'!"&amp;BU36&amp;":AK100")&lt;&gt;"休み"),
            1,0),0)+1,4),0),"")</f>
        <v>0</v>
      </c>
      <c r="BX36" s="20">
        <f t="array" aca="1" ref="BX36" ca="1">IFERROR(IF(BW36&lt;&gt;"",IF(BW36&lt;&gt;0,INDEX(
INDIRECT("'シフト一覧（転載）'!"&amp;BW36&amp;":AK100"),1,
MATCH(1,INDEX((LEN(INDIRECT("'シフト一覧（転載）'!"&amp;BW36&amp;":AK100"))&gt;0)
*(INDIRECT("'シフト一覧（転載）'!"&amp;BW36&amp;":AK100")&lt;&gt;"休み"),1,0),0)),0),""),$F$9&amp;"保育無し")</f>
        <v>0</v>
      </c>
      <c r="BY36" s="20">
        <f t="array" aca="1" ref="BY36" ca="1">IFERROR(IF(BW36&lt;&gt;0,ADDRESS(ROW(INDIRECT(BW36)),
    COLUMN(INDIRECT(BW36)) - 1 +
    MATCH(1,INDEX((LEN(INDIRECT("'シフト一覧（転載）'!"&amp;BW36&amp;":AK100"))&gt;0)
            *(INDIRECT("'シフト一覧（転載）'!"&amp;BW36&amp;":AK100")&lt;&gt;"休み"),
            1,0),0)+1,4),0),"")</f>
        <v>0</v>
      </c>
    </row>
    <row r="37" spans="1:77" ht="19.8" customHeight="1" x14ac:dyDescent="0.2">
      <c r="A37" s="43">
        <f>IF(A36&lt;&gt;0,IF($B$9&gt;A36,A36+1,0),0)</f>
        <v>0</v>
      </c>
      <c r="B37" s="48" t="str" cm="1">
        <f t="array" aca="1" ref="B37" ca="1">IFERROR(_xlfn.TEXTJOIN("", TRUE, IF(ISERR(MID(INDIRECT("'Page_" &amp; A37 &amp; "'!C2"), ROW(INDIRECT("1:" &amp; LEN(INDIRECT("'Page_" &amp; A37 &amp; "'!C2")))), 1)*1), MID(INDIRECT("'Page_" &amp; A37 &amp; "'!C2"), ROW(INDIRECT("1:" &amp; LEN(INDIRECT("'Page_" &amp; A37 &amp; "'!C2")))), 1), "")),"")</f>
        <v/>
      </c>
      <c r="C37" s="49" t="str" cm="1">
        <f t="array" aca="1" ref="C37" ca="1">IFERROR(IF(INDIRECT("'Page_" &amp; A37 &amp; "'!E2")&lt;&gt;"",INDIRECT("'Page_" &amp; A37 &amp; "'!E2"),INDIRECT("'Page_" &amp; A37 &amp; "'!D2")),"")</f>
        <v/>
      </c>
      <c r="D37" s="58" t="str" cm="1">
        <f t="array" aca="1" ref="D37" ca="1">IFERROR(IF(INDIRECT("'Page_" &amp; A37 &amp; "'!Q3")&lt;&gt;"",INDIRECT("'Page_" &amp; A37 &amp; "'!Q3"),INDIRECT("'Page_" &amp; A37 &amp; "'!P3")),"")</f>
        <v/>
      </c>
      <c r="E37" s="39">
        <f t="shared" ca="1" si="2"/>
        <v>0</v>
      </c>
      <c r="F37" s="28" t="str">
        <f t="shared" ca="1" si="3"/>
        <v/>
      </c>
      <c r="G37" s="25" t="str">
        <f t="shared" ca="1" si="11"/>
        <v/>
      </c>
      <c r="H37" s="63" t="str" cm="1">
        <f t="array" aca="1" ref="H37" ca="1">IF(B37&lt;&gt;"",IFERROR(INDEX('シフト一覧（転載）'!$C$8:$C$100,
MATCH(1, (ISNUMBER(SEARCH(B37,'シフト一覧（転載）'!$A$8:$A$100)))
*(ISNUMBER(SEARCH($F$9,'シフト一覧（転載）'!$B$8:$B$100))), 0)),""),"")</f>
        <v/>
      </c>
      <c r="I37" s="54" t="str">
        <f t="shared" ca="1" si="12"/>
        <v/>
      </c>
      <c r="J37" s="25" t="str" cm="1">
        <f t="array" aca="1" ref="J37" ca="1">IF(B37&lt;&gt;"",IFERROR(SUM(INDIRECT("'Page_" &amp; A37 &amp; "'!K"&amp;MATCH("有休",INDIRECT("'Page_" &amp; A37 &amp; "'!K:K"),0)+2&amp;"")
+INDIRECT("'Page_" &amp; A37 &amp; "'!L"&amp;MATCH("特休",INDIRECT("'Page_" &amp; A37 &amp; "'!L:L"),0)+2&amp;""))*24,0),"")</f>
        <v/>
      </c>
      <c r="K37" s="59"/>
      <c r="M37" s="104"/>
      <c r="N37" s="102"/>
      <c r="O37" s="107"/>
      <c r="P37" s="21">
        <f t="array" aca="1" ref="P37" ca="1">IFERROR(IF(M36&lt;&gt;"",INDEX('シフト一覧（転載）'!$F$8:$AK$100,
    MATCH(1,(ISNUMBER(SEARCH(M36,'シフト一覧（転載）'!$A$8:$A$100)))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MATCH(1,(ISNUMBER(SEARCH(M36,'シフト一覧（転載）'!$A$8:$A$100)))
                *(ISNUMBER(SEARCH($F$9,'シフト一覧（転載）'!$B$8:$B$100))),
                0),0),0)),0),"")</f>
        <v>0</v>
      </c>
      <c r="Q37" s="21">
        <f ca="1">IF(P36=0,0,
IF(OR(P36="",COUNTIF(P36,"*保育無し*")),"",
IF(MOD(P37-P36,1)*24&gt;=8,1,
IF(MOD(P37-P36,1)*24&gt;=6,0.75,0))))</f>
        <v>0</v>
      </c>
      <c r="R37" s="21">
        <f t="array" aca="1" ref="R37" ca="1">IFERROR(IF(Q36&lt;&gt;0,INDEX(
INDIRECT("'シフト一覧（転載）'!"&amp;Q36&amp;":AK100"),1+1,
MATCH(1,INDEX((LEN(INDIRECT("'シフト一覧（転載）'!"&amp;Q36&amp;":AK100"))&gt;0)
*(INDIRECT("'シフト一覧（転載）'!"&amp;Q36&amp;":AK100")&lt;&gt;"休み"),1,0),0)),0),"")</f>
        <v>0</v>
      </c>
      <c r="S37" s="21">
        <f ca="1">IF(R36=0,0,
IF(OR(R36="",COUNTIF(R36,"*保育無し*")),"",
IF(MOD(R37-R36,1)*24&gt;=8,1,
IF(MOD(R37-R36,1)*24&gt;=6,0.75,0))))</f>
        <v>0</v>
      </c>
      <c r="T37" s="21">
        <f t="array" aca="1" ref="T37" ca="1">IFERROR(IF(S36&lt;&gt;0,INDEX(
INDIRECT("'シフト一覧（転載）'!"&amp;S36&amp;":AK100"),1+1,
MATCH(1,INDEX((LEN(INDIRECT("'シフト一覧（転載）'!"&amp;S36&amp;":AK100"))&gt;0)
*(INDIRECT("'シフト一覧（転載）'!"&amp;S36&amp;":AK100")&lt;&gt;"休み"),1,0),0)),0),"")</f>
        <v>0</v>
      </c>
      <c r="U37" s="21">
        <f ca="1">IF(T36=0,0,
IF(OR(T36="",COUNTIF(T36,"*保育無し*")),"",
IF(MOD(T37-T36,1)*24&gt;=8,1,
IF(MOD(T37-T36,1)*24&gt;=6,0.75,0))))</f>
        <v>0</v>
      </c>
      <c r="V37" s="21">
        <f t="array" aca="1" ref="V37" ca="1">IFERROR(IF(U36&lt;&gt;0,INDEX(
INDIRECT("'シフト一覧（転載）'!"&amp;U36&amp;":AK100"),1+1,
MATCH(1,INDEX((LEN(INDIRECT("'シフト一覧（転載）'!"&amp;U36&amp;":AK100"))&gt;0)
*(INDIRECT("'シフト一覧（転載）'!"&amp;U36&amp;":AK100")&lt;&gt;"休み"),1,0),0)),0),"")</f>
        <v>0</v>
      </c>
      <c r="W37" s="21">
        <f ca="1">IF(V36=0,0,
IF(OR(V36="",COUNTIF(V36,"*保育無し*")),"",
IF(MOD(V37-V36,1)*24&gt;=8,1,
IF(MOD(V37-V36,1)*24&gt;=6,0.75,0))))</f>
        <v>0</v>
      </c>
      <c r="X37" s="21">
        <f t="array" aca="1" ref="X37" ca="1">IFERROR(IF(W36&lt;&gt;0,INDEX(
INDIRECT("'シフト一覧（転載）'!"&amp;W36&amp;":AK100"),1+1,
MATCH(1,INDEX((LEN(INDIRECT("'シフト一覧（転載）'!"&amp;W36&amp;":AK100"))&gt;0)
*(INDIRECT("'シフト一覧（転載）'!"&amp;W36&amp;":AK100")&lt;&gt;"休み"),1,0),0)),0),"")</f>
        <v>0</v>
      </c>
      <c r="Y37" s="21">
        <f ca="1">IF(X36=0,0,
IF(OR(X36="",COUNTIF(X36,"*保育無し*")),"",
IF(MOD(X37-X36,1)*24&gt;=8,1,
IF(MOD(X37-X36,1)*24&gt;=6,0.75,0))))</f>
        <v>0</v>
      </c>
      <c r="Z37" s="21">
        <f t="array" aca="1" ref="Z37" ca="1">IFERROR(IF(Y36&lt;&gt;0,INDEX(
INDIRECT("'シフト一覧（転載）'!"&amp;Y36&amp;":AK100"),1+1,
MATCH(1,INDEX((LEN(INDIRECT("'シフト一覧（転載）'!"&amp;Y36&amp;":AK100"))&gt;0)
*(INDIRECT("'シフト一覧（転載）'!"&amp;Y36&amp;":AK100")&lt;&gt;"休み"),1,0),0)),0),"")</f>
        <v>0</v>
      </c>
      <c r="AA37" s="21">
        <f ca="1">IF(Z36=0,0,
IF(OR(Z36="",COUNTIF(Z36,"*保育無し*")),"",
IF(MOD(Z37-Z36,1)*24&gt;=8,1,
IF(MOD(Z37-Z36,1)*24&gt;=6,0.75,0))))</f>
        <v>0</v>
      </c>
      <c r="AB37" s="21">
        <f t="array" aca="1" ref="AB37" ca="1">IFERROR(IF(AA36&lt;&gt;0,INDEX(
INDIRECT("'シフト一覧（転載）'!"&amp;AA36&amp;":AK100"),1+1,
MATCH(1,INDEX((LEN(INDIRECT("'シフト一覧（転載）'!"&amp;AA36&amp;":AK100"))&gt;0)
*(INDIRECT("'シフト一覧（転載）'!"&amp;AA36&amp;":AK100")&lt;&gt;"休み"),1,0),0)),0),"")</f>
        <v>0</v>
      </c>
      <c r="AC37" s="21">
        <f ca="1">IF(AB36=0,0,
IF(OR(AB36="",COUNTIF(AB36,"*保育無し*")),"",
IF(MOD(AB37-AB36,1)*24&gt;=8,1,
IF(MOD(AB37-AB36,1)*24&gt;=6,0.75,0))))</f>
        <v>0</v>
      </c>
      <c r="AD37" s="21">
        <f t="array" aca="1" ref="AD37" ca="1">IFERROR(IF(AC36&lt;&gt;0,INDEX(
INDIRECT("'シフト一覧（転載）'!"&amp;AC36&amp;":AK100"),1+1,
MATCH(1,INDEX((LEN(INDIRECT("'シフト一覧（転載）'!"&amp;AC36&amp;":AK100"))&gt;0)
*(INDIRECT("'シフト一覧（転載）'!"&amp;AC36&amp;":AK100")&lt;&gt;"休み"),1,0),0)),0),"")</f>
        <v>0</v>
      </c>
      <c r="AE37" s="21">
        <f ca="1">IF(AD36=0,0,
IF(OR(AD36="",COUNTIF(AD36,"*保育無し*")),"",
IF(MOD(AD37-AD36,1)*24&gt;=8,1,
IF(MOD(AD37-AD36,1)*24&gt;=6,0.75,0))))</f>
        <v>0</v>
      </c>
      <c r="AF37" s="21">
        <f t="array" aca="1" ref="AF37" ca="1">IFERROR(IF(AE36&lt;&gt;0,INDEX(
INDIRECT("'シフト一覧（転載）'!"&amp;AE36&amp;":AK100"),1+1,
MATCH(1,INDEX((LEN(INDIRECT("'シフト一覧（転載）'!"&amp;AE36&amp;":AK100"))&gt;0)
*(INDIRECT("'シフト一覧（転載）'!"&amp;AE36&amp;":AK100")&lt;&gt;"休み"),1,0),0)),0),"")</f>
        <v>0</v>
      </c>
      <c r="AG37" s="21">
        <f ca="1">IF(AF36=0,0,
IF(OR(AF36="",COUNTIF(AF36,"*保育無し*")),"",
IF(MOD(AF37-AF36,1)*24&gt;=8,1,
IF(MOD(AF37-AF36,1)*24&gt;=6,0.75,0))))</f>
        <v>0</v>
      </c>
      <c r="AH37" s="21">
        <f t="array" aca="1" ref="AH37" ca="1">IFERROR(IF(AG36&lt;&gt;0,INDEX(
INDIRECT("'シフト一覧（転載）'!"&amp;AG36&amp;":AK100"),1+1,
MATCH(1,INDEX((LEN(INDIRECT("'シフト一覧（転載）'!"&amp;AG36&amp;":AK100"))&gt;0)
*(INDIRECT("'シフト一覧（転載）'!"&amp;AG36&amp;":AK100")&lt;&gt;"休み"),1,0),0)),0),"")</f>
        <v>0</v>
      </c>
      <c r="AI37" s="21">
        <f ca="1">IF(AH36=0,0,
IF(OR(AH36="",COUNTIF(AH36,"*保育無し*")),"",
IF(MOD(AH37-AH36,1)*24&gt;=8,1,
IF(MOD(AH37-AH36,1)*24&gt;=6,0.75,0))))</f>
        <v>0</v>
      </c>
      <c r="AJ37" s="21">
        <f t="array" aca="1" ref="AJ37" ca="1">IFERROR(IF(AI36&lt;&gt;0,INDEX(
INDIRECT("'シフト一覧（転載）'!"&amp;AI36&amp;":AK100"),1+1,
MATCH(1,INDEX((LEN(INDIRECT("'シフト一覧（転載）'!"&amp;AI36&amp;":AK100"))&gt;0)
*(INDIRECT("'シフト一覧（転載）'!"&amp;AI36&amp;":AK100")&lt;&gt;"休み"),1,0),0)),0),"")</f>
        <v>0</v>
      </c>
      <c r="AK37" s="21">
        <f ca="1">IF(AJ36=0,0,
IF(OR(AJ36="",COUNTIF(AJ36,"*保育無し*")),"",
IF(MOD(AJ37-AJ36,1)*24&gt;=8,1,
IF(MOD(AJ37-AJ36,1)*24&gt;=6,0.75,0))))</f>
        <v>0</v>
      </c>
      <c r="AL37" s="21">
        <f t="array" aca="1" ref="AL37" ca="1">IFERROR(IF(AK36&lt;&gt;0,INDEX(
INDIRECT("'シフト一覧（転載）'!"&amp;AK36&amp;":AK100"),1+1,
MATCH(1,INDEX((LEN(INDIRECT("'シフト一覧（転載）'!"&amp;AK36&amp;":AK100"))&gt;0)
*(INDIRECT("'シフト一覧（転載）'!"&amp;AK36&amp;":AK100")&lt;&gt;"休み"),1,0),0)),0),"")</f>
        <v>0</v>
      </c>
      <c r="AM37" s="21">
        <f ca="1">IF(AL36=0,0,
IF(OR(AL36="",COUNTIF(AL36,"*保育無し*")),"",
IF(MOD(AL37-AL36,1)*24&gt;=8,1,
IF(MOD(AL37-AL36,1)*24&gt;=6,0.75,0))))</f>
        <v>0</v>
      </c>
      <c r="AN37" s="21">
        <f t="array" aca="1" ref="AN37" ca="1">IFERROR(IF(AM36&lt;&gt;0,INDEX(
INDIRECT("'シフト一覧（転載）'!"&amp;AM36&amp;":AK100"),1+1,
MATCH(1,INDEX((LEN(INDIRECT("'シフト一覧（転載）'!"&amp;AM36&amp;":AK100"))&gt;0)
*(INDIRECT("'シフト一覧（転載）'!"&amp;AM36&amp;":AK100")&lt;&gt;"休み"),1,0),0)),0),"")</f>
        <v>0</v>
      </c>
      <c r="AO37" s="21">
        <f ca="1">IF(AN36=0,0,
IF(OR(AN36="",COUNTIF(AN36,"*保育無し*")),"",
IF(MOD(AN37-AN36,1)*24&gt;=8,1,
IF(MOD(AN37-AN36,1)*24&gt;=6,0.75,0))))</f>
        <v>0</v>
      </c>
      <c r="AP37" s="21">
        <f t="array" aca="1" ref="AP37" ca="1">IFERROR(IF(AO36&lt;&gt;0,INDEX(
INDIRECT("'シフト一覧（転載）'!"&amp;AO36&amp;":AK100"),1+1,
MATCH(1,INDEX((LEN(INDIRECT("'シフト一覧（転載）'!"&amp;AO36&amp;":AK100"))&gt;0)
*(INDIRECT("'シフト一覧（転載）'!"&amp;AO36&amp;":AK100")&lt;&gt;"休み"),1,0),0)),0),"")</f>
        <v>0</v>
      </c>
      <c r="AQ37" s="21">
        <f ca="1">IF(AP36=0,0,
IF(OR(AP36="",COUNTIF(AP36,"*保育無し*")),"",
IF(MOD(AP37-AP36,1)*24&gt;=8,1,
IF(MOD(AP37-AP36,1)*24&gt;=6,0.75,0))))</f>
        <v>0</v>
      </c>
      <c r="AR37" s="21">
        <f t="array" aca="1" ref="AR37" ca="1">IFERROR(IF(AQ36&lt;&gt;0,INDEX(
INDIRECT("'シフト一覧（転載）'!"&amp;AQ36&amp;":AK100"),1+1,
MATCH(1,INDEX((LEN(INDIRECT("'シフト一覧（転載）'!"&amp;AQ36&amp;":AK100"))&gt;0)
*(INDIRECT("'シフト一覧（転載）'!"&amp;AQ36&amp;":AK100")&lt;&gt;"休み"),1,0),0)),0),"")</f>
        <v>0</v>
      </c>
      <c r="AS37" s="21">
        <f ca="1">IF(AR36=0,0,
IF(OR(AR36="",COUNTIF(AR36,"*保育無し*")),"",
IF(MOD(AR37-AR36,1)*24&gt;=8,1,
IF(MOD(AR37-AR36,1)*24&gt;=6,0.75,0))))</f>
        <v>0</v>
      </c>
      <c r="AT37" s="21">
        <f t="array" aca="1" ref="AT37" ca="1">IFERROR(IF(AS36&lt;&gt;0,INDEX(
INDIRECT("'シフト一覧（転載）'!"&amp;AS36&amp;":AK100"),1+1,
MATCH(1,INDEX((LEN(INDIRECT("'シフト一覧（転載）'!"&amp;AS36&amp;":AK100"))&gt;0)
*(INDIRECT("'シフト一覧（転載）'!"&amp;AS36&amp;":AK100")&lt;&gt;"休み"),1,0),0)),0),"")</f>
        <v>0</v>
      </c>
      <c r="AU37" s="21">
        <f ca="1">IF(AT36=0,0,
IF(OR(AT36="",COUNTIF(AT36,"*保育無し*")),"",
IF(MOD(AT37-AT36,1)*24&gt;=8,1,
IF(MOD(AT37-AT36,1)*24&gt;=6,0.75,0))))</f>
        <v>0</v>
      </c>
      <c r="AV37" s="21">
        <f t="array" aca="1" ref="AV37" ca="1">IFERROR(IF(AU36&lt;&gt;0,INDEX(
INDIRECT("'シフト一覧（転載）'!"&amp;AU36&amp;":AK100"),1+1,
MATCH(1,INDEX((LEN(INDIRECT("'シフト一覧（転載）'!"&amp;AU36&amp;":AK100"))&gt;0)
*(INDIRECT("'シフト一覧（転載）'!"&amp;AU36&amp;":AK100")&lt;&gt;"休み"),1,0),0)),0),"")</f>
        <v>0</v>
      </c>
      <c r="AW37" s="21">
        <f ca="1">IF(AV36=0,0,
IF(OR(AV36="",COUNTIF(AV36,"*保育無し*")),"",
IF(MOD(AV37-AV36,1)*24&gt;=8,1,
IF(MOD(AV37-AV36,1)*24&gt;=6,0.75,0))))</f>
        <v>0</v>
      </c>
      <c r="AX37" s="21">
        <f t="array" aca="1" ref="AX37" ca="1">IFERROR(IF(AW36&lt;&gt;0,INDEX(
INDIRECT("'シフト一覧（転載）'!"&amp;AW36&amp;":AK100"),1+1,
MATCH(1,INDEX((LEN(INDIRECT("'シフト一覧（転載）'!"&amp;AW36&amp;":AK100"))&gt;0)
*(INDIRECT("'シフト一覧（転載）'!"&amp;AW36&amp;":AK100")&lt;&gt;"休み"),1,0),0)),0),"")</f>
        <v>0</v>
      </c>
      <c r="AY37" s="21">
        <f ca="1">IF(AX36=0,0,
IF(OR(AX36="",COUNTIF(AX36,"*保育無し*")),"",
IF(MOD(AX37-AX36,1)*24&gt;=8,1,
IF(MOD(AX37-AX36,1)*24&gt;=6,0.75,0))))</f>
        <v>0</v>
      </c>
      <c r="AZ37" s="21">
        <f t="array" aca="1" ref="AZ37" ca="1">IFERROR(IF(AY36&lt;&gt;0,INDEX(
INDIRECT("'シフト一覧（転載）'!"&amp;AY36&amp;":AK100"),1+1,
MATCH(1,INDEX((LEN(INDIRECT("'シフト一覧（転載）'!"&amp;AY36&amp;":AK100"))&gt;0)
*(INDIRECT("'シフト一覧（転載）'!"&amp;AY36&amp;":AK100")&lt;&gt;"休み"),1,0),0)),0),"")</f>
        <v>0</v>
      </c>
      <c r="BA37" s="21">
        <f ca="1">IF(AZ36=0,0,
IF(OR(AZ36="",COUNTIF(AZ36,"*保育無し*")),"",
IF(MOD(AZ37-AZ36,1)*24&gt;=8,1,
IF(MOD(AZ37-AZ36,1)*24&gt;=6,0.75,0))))</f>
        <v>0</v>
      </c>
      <c r="BB37" s="21">
        <f t="array" aca="1" ref="BB37" ca="1">IFERROR(IF(BA36&lt;&gt;0,INDEX(
INDIRECT("'シフト一覧（転載）'!"&amp;BA36&amp;":AK100"),1+1,
MATCH(1,INDEX((LEN(INDIRECT("'シフト一覧（転載）'!"&amp;BA36&amp;":AK100"))&gt;0)
*(INDIRECT("'シフト一覧（転載）'!"&amp;BA36&amp;":AK100")&lt;&gt;"休み"),1,0),0)),0),"")</f>
        <v>0</v>
      </c>
      <c r="BC37" s="21">
        <f ca="1">IF(BB36=0,0,
IF(OR(BB36="",COUNTIF(BB36,"*保育無し*")),"",
IF(MOD(BB37-BB36,1)*24&gt;=8,1,
IF(MOD(BB37-BB36,1)*24&gt;=6,0.75,0))))</f>
        <v>0</v>
      </c>
      <c r="BD37" s="21">
        <f t="array" aca="1" ref="BD37" ca="1">IFERROR(IF(BC36&lt;&gt;0,INDEX(
INDIRECT("'シフト一覧（転載）'!"&amp;BC36&amp;":AK100"),1+1,
MATCH(1,INDEX((LEN(INDIRECT("'シフト一覧（転載）'!"&amp;BC36&amp;":AK100"))&gt;0)
*(INDIRECT("'シフト一覧（転載）'!"&amp;BC36&amp;":AK100")&lt;&gt;"休み"),1,0),0)),0),"")</f>
        <v>0</v>
      </c>
      <c r="BE37" s="21">
        <f ca="1">IF(BD36=0,0,
IF(OR(BD36="",COUNTIF(BD36,"*保育無し*")),"",
IF(MOD(BD37-BD36,1)*24&gt;=8,1,
IF(MOD(BD37-BD36,1)*24&gt;=6,0.75,0))))</f>
        <v>0</v>
      </c>
      <c r="BF37" s="21">
        <f t="array" aca="1" ref="BF37" ca="1">IFERROR(IF(BE36&lt;&gt;0,INDEX(
INDIRECT("'シフト一覧（転載）'!"&amp;BE36&amp;":AK100"),1+1,
MATCH(1,INDEX((LEN(INDIRECT("'シフト一覧（転載）'!"&amp;BE36&amp;":AK100"))&gt;0)
*(INDIRECT("'シフト一覧（転載）'!"&amp;BE36&amp;":AK100")&lt;&gt;"休み"),1,0),0)),0),"")</f>
        <v>0</v>
      </c>
      <c r="BG37" s="21">
        <f ca="1">IF(BF36=0,0,
IF(OR(BF36="",COUNTIF(BF36,"*保育無し*")),"",
IF(MOD(BF37-BF36,1)*24&gt;=8,1,
IF(MOD(BF37-BF36,1)*24&gt;=6,0.75,0))))</f>
        <v>0</v>
      </c>
      <c r="BH37" s="21">
        <f t="array" aca="1" ref="BH37" ca="1">IFERROR(IF(BG36&lt;&gt;0,INDEX(
INDIRECT("'シフト一覧（転載）'!"&amp;BG36&amp;":AK100"),1+1,
MATCH(1,INDEX((LEN(INDIRECT("'シフト一覧（転載）'!"&amp;BG36&amp;":AK100"))&gt;0)
*(INDIRECT("'シフト一覧（転載）'!"&amp;BG36&amp;":AK100")&lt;&gt;"休み"),1,0),0)),0),"")</f>
        <v>0</v>
      </c>
      <c r="BI37" s="21">
        <f ca="1">IF(BH36=0,0,
IF(OR(BH36="",COUNTIF(BH36,"*保育無し*")),"",
IF(MOD(BH37-BH36,1)*24&gt;=8,1,
IF(MOD(BH37-BH36,1)*24&gt;=6,0.75,0))))</f>
        <v>0</v>
      </c>
      <c r="BJ37" s="21">
        <f t="array" aca="1" ref="BJ37" ca="1">IFERROR(IF(BI36&lt;&gt;0,INDEX(
INDIRECT("'シフト一覧（転載）'!"&amp;BI36&amp;":AK100"),1+1,
MATCH(1,INDEX((LEN(INDIRECT("'シフト一覧（転載）'!"&amp;BI36&amp;":AK100"))&gt;0)
*(INDIRECT("'シフト一覧（転載）'!"&amp;BI36&amp;":AK100")&lt;&gt;"休み"),1,0),0)),0),"")</f>
        <v>0</v>
      </c>
      <c r="BK37" s="21">
        <f ca="1">IF(BJ36=0,0,
IF(OR(BJ36="",COUNTIF(BJ36,"*保育無し*")),"",
IF(MOD(BJ37-BJ36,1)*24&gt;=8,1,
IF(MOD(BJ37-BJ36,1)*24&gt;=6,0.75,0))))</f>
        <v>0</v>
      </c>
      <c r="BL37" s="21">
        <f t="array" aca="1" ref="BL37" ca="1">IFERROR(IF(BK36&lt;&gt;0,INDEX(
INDIRECT("'シフト一覧（転載）'!"&amp;BK36&amp;":AK100"),1+1,
MATCH(1,INDEX((LEN(INDIRECT("'シフト一覧（転載）'!"&amp;BK36&amp;":AK100"))&gt;0)
*(INDIRECT("'シフト一覧（転載）'!"&amp;BK36&amp;":AK100")&lt;&gt;"休み"),1,0),0)),0),"")</f>
        <v>0</v>
      </c>
      <c r="BM37" s="21">
        <f ca="1">IF(BL36=0,0,
IF(OR(BL36="",COUNTIF(BL36,"*保育無し*")),"",
IF(MOD(BL37-BL36,1)*24&gt;=8,1,
IF(MOD(BL37-BL36,1)*24&gt;=6,0.75,0))))</f>
        <v>0</v>
      </c>
      <c r="BN37" s="21">
        <f t="array" aca="1" ref="BN37" ca="1">IFERROR(IF(BM36&lt;&gt;0,INDEX(
INDIRECT("'シフト一覧（転載）'!"&amp;BM36&amp;":AK100"),1+1,
MATCH(1,INDEX((LEN(INDIRECT("'シフト一覧（転載）'!"&amp;BM36&amp;":AK100"))&gt;0)
*(INDIRECT("'シフト一覧（転載）'!"&amp;BM36&amp;":AK100")&lt;&gt;"休み"),1,0),0)),0),"")</f>
        <v>0</v>
      </c>
      <c r="BO37" s="21">
        <f ca="1">IF(BN36=0,0,
IF(OR(BN36="",COUNTIF(BN36,"*保育無し*")),"",
IF(MOD(BN37-BN36,1)*24&gt;=8,1,
IF(MOD(BN37-BN36,1)*24&gt;=6,0.75,0))))</f>
        <v>0</v>
      </c>
      <c r="BP37" s="21">
        <f t="array" aca="1" ref="BP37" ca="1">IFERROR(IF(BO36&lt;&gt;0,INDEX(
INDIRECT("'シフト一覧（転載）'!"&amp;BO36&amp;":AK100"),1+1,
MATCH(1,INDEX((LEN(INDIRECT("'シフト一覧（転載）'!"&amp;BO36&amp;":AK100"))&gt;0)
*(INDIRECT("'シフト一覧（転載）'!"&amp;BO36&amp;":AK100")&lt;&gt;"休み"),1,0),0)),0),"")</f>
        <v>0</v>
      </c>
      <c r="BQ37" s="21">
        <f ca="1">IF(BP36=0,0,
IF(OR(BP36="",COUNTIF(BP36,"*保育無し*")),"",
IF(MOD(BP37-BP36,1)*24&gt;=8,1,
IF(MOD(BP37-BP36,1)*24&gt;=6,0.75,0))))</f>
        <v>0</v>
      </c>
      <c r="BR37" s="21">
        <f t="array" aca="1" ref="BR37" ca="1">IFERROR(IF(BQ36&lt;&gt;0,INDEX(
INDIRECT("'シフト一覧（転載）'!"&amp;BQ36&amp;":AK100"),1+1,
MATCH(1,INDEX((LEN(INDIRECT("'シフト一覧（転載）'!"&amp;BQ36&amp;":AK100"))&gt;0)
*(INDIRECT("'シフト一覧（転載）'!"&amp;BQ36&amp;":AK100")&lt;&gt;"休み"),1,0),0)),0),"")</f>
        <v>0</v>
      </c>
      <c r="BS37" s="21">
        <f ca="1">IF(BR36=0,0,
IF(OR(BR36="",COUNTIF(BR36,"*保育無し*")),"",
IF(MOD(BR37-BR36,1)*24&gt;=8,1,
IF(MOD(BR37-BR36,1)*24&gt;=6,0.75,0))))</f>
        <v>0</v>
      </c>
      <c r="BT37" s="21">
        <f t="array" aca="1" ref="BT37" ca="1">IFERROR(IF(BS36&lt;&gt;0,INDEX(
INDIRECT("'シフト一覧（転載）'!"&amp;BS36&amp;":AK100"),1+1,
MATCH(1,INDEX((LEN(INDIRECT("'シフト一覧（転載）'!"&amp;BS36&amp;":AK100"))&gt;0)
*(INDIRECT("'シフト一覧（転載）'!"&amp;BS36&amp;":AK100")&lt;&gt;"休み"),1,0),0)),0),"")</f>
        <v>0</v>
      </c>
      <c r="BU37" s="21">
        <f ca="1">IF(BT36=0,0,
IF(OR(BT36="",COUNTIF(BT36,"*保育無し*")),"",
IF(MOD(BT37-BT36,1)*24&gt;=8,1,
IF(MOD(BT37-BT36,1)*24&gt;=6,0.75,0))))</f>
        <v>0</v>
      </c>
      <c r="BV37" s="21">
        <f t="array" aca="1" ref="BV37" ca="1">IFERROR(IF(BU36&lt;&gt;0,INDEX(
INDIRECT("'シフト一覧（転載）'!"&amp;BU36&amp;":AK100"),1+1,
MATCH(1,INDEX((LEN(INDIRECT("'シフト一覧（転載）'!"&amp;BU36&amp;":AK100"))&gt;0)
*(INDIRECT("'シフト一覧（転載）'!"&amp;BU36&amp;":AK100")&lt;&gt;"休み"),1,0),0)),0),"")</f>
        <v>0</v>
      </c>
      <c r="BW37" s="21">
        <f ca="1">IF(BV36=0,0,
IF(OR(BV36="",COUNTIF(BV36,"*保育無し*")),"",
IF(MOD(BV37-BV36,1)*24&gt;=8,1,
IF(MOD(BV37-BV36,1)*24&gt;=6,0.75,0))))</f>
        <v>0</v>
      </c>
      <c r="BX37" s="21">
        <f t="array" aca="1" ref="BX37" ca="1">IFERROR(IF(BW36&lt;&gt;0,INDEX(
INDIRECT("'シフト一覧（転載）'!"&amp;BW36&amp;":AK100"),1+1,
MATCH(1,INDEX((LEN(INDIRECT("'シフト一覧（転載）'!"&amp;BW36&amp;":AK100"))&gt;0)
*(INDIRECT("'シフト一覧（転載）'!"&amp;BW36&amp;":AK100")&lt;&gt;"休み"),1,0),0)),0),"")</f>
        <v>0</v>
      </c>
      <c r="BY37" s="21">
        <f ca="1">IF(BX36=0,0,
IF(OR(BX36="",COUNTIF(BX36,"*保育無し*")),"",
IF(MOD(BX37-BX36,1)*24&gt;=8,1,
IF(MOD(BX37-BX36,1)*24&gt;=6,0.75,0))))</f>
        <v>0</v>
      </c>
    </row>
    <row r="38" spans="1:77" ht="19.8" customHeight="1" x14ac:dyDescent="0.2">
      <c r="A38" s="43">
        <f>IF(A37&lt;&gt;0,IF($B$9&gt;A37,A37+1,0),0)</f>
        <v>0</v>
      </c>
      <c r="B38" s="48" t="str" cm="1">
        <f t="array" aca="1" ref="B38" ca="1">IFERROR(_xlfn.TEXTJOIN("", TRUE, IF(ISERR(MID(INDIRECT("'Page_" &amp; A38 &amp; "'!C2"), ROW(INDIRECT("1:" &amp; LEN(INDIRECT("'Page_" &amp; A38 &amp; "'!C2")))), 1)*1), MID(INDIRECT("'Page_" &amp; A38 &amp; "'!C2"), ROW(INDIRECT("1:" &amp; LEN(INDIRECT("'Page_" &amp; A38 &amp; "'!C2")))), 1), "")),"")</f>
        <v/>
      </c>
      <c r="C38" s="49" t="str" cm="1">
        <f t="array" aca="1" ref="C38" ca="1">IFERROR(IF(INDIRECT("'Page_" &amp; A38 &amp; "'!E2")&lt;&gt;"",INDIRECT("'Page_" &amp; A38 &amp; "'!E2"),INDIRECT("'Page_" &amp; A38 &amp; "'!D2")),"")</f>
        <v/>
      </c>
      <c r="D38" s="58" t="str" cm="1">
        <f t="array" aca="1" ref="D38" ca="1">IFERROR(IF(INDIRECT("'Page_" &amp; A38 &amp; "'!Q3")&lt;&gt;"",INDIRECT("'Page_" &amp; A38 &amp; "'!Q3"),INDIRECT("'Page_" &amp; A38 &amp; "'!P3")),"")</f>
        <v/>
      </c>
      <c r="E38" s="39">
        <f t="shared" ca="1" si="2"/>
        <v>0</v>
      </c>
      <c r="F38" s="28" t="str">
        <f t="shared" ca="1" si="3"/>
        <v/>
      </c>
      <c r="G38" s="25" t="str">
        <f t="shared" ca="1" si="11"/>
        <v/>
      </c>
      <c r="H38" s="63" t="str" cm="1">
        <f t="array" aca="1" ref="H38" ca="1">IF(B38&lt;&gt;"",IFERROR(INDEX('シフト一覧（転載）'!$C$8:$C$100,
MATCH(1, (ISNUMBER(SEARCH(B38,'シフト一覧（転載）'!$A$8:$A$100)))
*(ISNUMBER(SEARCH($F$9,'シフト一覧（転載）'!$B$8:$B$100))), 0)),""),"")</f>
        <v/>
      </c>
      <c r="I38" s="54" t="str">
        <f t="shared" ca="1" si="12"/>
        <v/>
      </c>
      <c r="J38" s="25" t="str" cm="1">
        <f t="array" aca="1" ref="J38" ca="1">IF(B38&lt;&gt;"",IFERROR(SUM(INDIRECT("'Page_" &amp; A38 &amp; "'!K"&amp;MATCH("有休",INDIRECT("'Page_" &amp; A38 &amp; "'!K:K"),0)+2&amp;"")
+INDIRECT("'Page_" &amp; A38 &amp; "'!L"&amp;MATCH("特休",INDIRECT("'Page_" &amp; A38 &amp; "'!L:L"),0)+2&amp;""))*24,0),"")</f>
        <v/>
      </c>
      <c r="K38" s="59"/>
      <c r="M38" s="103" t="str" cm="1">
        <f t="array" aca="1" ref="M3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38" s="101" t="str">
        <f t="shared" ref="N38" ca="1" si="18">IF(M38&lt;&gt;"",VLOOKUP(M38,$B$12:$C$41,2,FALSE),"")</f>
        <v/>
      </c>
      <c r="O38" s="106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20">
        <f t="array" aca="1" ref="P38" ca="1">IFERROR(IF(M38&lt;&gt;"",INDEX('シフト一覧（転載）'!$F$8:$AK$100,
    MATCH(1,(ISNUMBER(SEARCH(M38,'シフト一覧（転載）'!$A$8:$A$100)))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MATCH(1,(ISNUMBER(SEARCH(M38,'シフト一覧（転載）'!$A$8:$A$100)))
                *(ISNUMBER(SEARCH($F$9,'シフト一覧（転載）'!$B$8:$B$100))),
                0),0),0)),0),$F$9&amp;"保育無し")</f>
        <v>0</v>
      </c>
      <c r="Q38" s="20">
        <f t="array" aca="1" ref="Q38" ca="1">IFERROR(IF(COUNTIF(P38,"*無*"),"",IF(M38&lt;&gt;"",ADDRESS(
    MATCH(1,(ISNUMBER(SEARCH(M38,'シフト一覧（転載）'!$A$8:$A$100)))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MATCH(1,(ISNUMBER(SEARCH(M38,'シフト一覧（転載）'!$A$8:$A$100)))
                *(ISNUMBER(SEARCH($F$9,'シフト一覧（転載）'!$B$8:$B$100))),0),0),0) + 6,4),0)),0)</f>
        <v>0</v>
      </c>
      <c r="R38" s="20">
        <f t="array" aca="1" ref="R38" ca="1">IFERROR(IF(Q38&lt;&gt;"",IF(Q38&lt;&gt;0,INDEX(
INDIRECT("'シフト一覧（転載）'!"&amp;Q38&amp;":AK100"),1,
MATCH(1,INDEX((LEN(INDIRECT("'シフト一覧（転載）'!"&amp;Q38&amp;":AK100"))&gt;0)
*(INDIRECT("'シフト一覧（転載）'!"&amp;Q38&amp;":AK100")&lt;&gt;"休み"),1,0),0)),0),""),$F$9&amp;"保育無し")</f>
        <v>0</v>
      </c>
      <c r="S38" s="20">
        <f t="array" aca="1" ref="S38" ca="1">IFERROR(IF(Q38&lt;&gt;0,ADDRESS(ROW(INDIRECT(Q38)),
    COLUMN(INDIRECT(Q38)) - 1 +
    MATCH(1,INDEX((LEN(INDIRECT("'シフト一覧（転載）'!"&amp;Q38&amp;":AK100"))&gt;0)
            *(INDIRECT("'シフト一覧（転載）'!"&amp;Q38&amp;":AK100")&lt;&gt;"休み"),
            1,0),0)+1,4),0),"")</f>
        <v>0</v>
      </c>
      <c r="T38" s="20">
        <f t="array" aca="1" ref="T38" ca="1">IFERROR(IF(S38&lt;&gt;"",IF(S38&lt;&gt;0,INDEX(
INDIRECT("'シフト一覧（転載）'!"&amp;S38&amp;":AK100"),1,
MATCH(1,INDEX((LEN(INDIRECT("'シフト一覧（転載）'!"&amp;S38&amp;":AK100"))&gt;0)
*(INDIRECT("'シフト一覧（転載）'!"&amp;S38&amp;":AK100")&lt;&gt;"休み"),1,0),0)),0),""),$F$9&amp;"保育無し")</f>
        <v>0</v>
      </c>
      <c r="U38" s="20">
        <f t="array" aca="1" ref="U38" ca="1">IFERROR(IF(S38&lt;&gt;0,ADDRESS(ROW(INDIRECT(S38)),
    COLUMN(INDIRECT(S38)) - 1 +
    MATCH(1,INDEX((LEN(INDIRECT("'シフト一覧（転載）'!"&amp;S38&amp;":AK100"))&gt;0)
            *(INDIRECT("'シフト一覧（転載）'!"&amp;S38&amp;":AK100")&lt;&gt;"休み"),
            1,0),0)+1,4),0),"")</f>
        <v>0</v>
      </c>
      <c r="V38" s="20">
        <f t="array" aca="1" ref="V38" ca="1">IFERROR(IF(U38&lt;&gt;"",IF(U38&lt;&gt;0,INDEX(
INDIRECT("'シフト一覧（転載）'!"&amp;U38&amp;":AK100"),1,
MATCH(1,INDEX((LEN(INDIRECT("'シフト一覧（転載）'!"&amp;U38&amp;":AK100"))&gt;0)
*(INDIRECT("'シフト一覧（転載）'!"&amp;U38&amp;":AK100")&lt;&gt;"休み"),1,0),0)),0),""),$F$9&amp;"保育無し")</f>
        <v>0</v>
      </c>
      <c r="W38" s="20">
        <f t="array" aca="1" ref="W38" ca="1">IFERROR(IF(U38&lt;&gt;0,ADDRESS(ROW(INDIRECT(U38)),
    COLUMN(INDIRECT(U38)) - 1 +
    MATCH(1,INDEX((LEN(INDIRECT("'シフト一覧（転載）'!"&amp;U38&amp;":AK100"))&gt;0)
            *(INDIRECT("'シフト一覧（転載）'!"&amp;U38&amp;":AK100")&lt;&gt;"休み"),
            1,0),0)+1,4),0),"")</f>
        <v>0</v>
      </c>
      <c r="X38" s="20">
        <f t="array" aca="1" ref="X38" ca="1">IFERROR(IF(W38&lt;&gt;"",IF(W38&lt;&gt;0,INDEX(
INDIRECT("'シフト一覧（転載）'!"&amp;W38&amp;":AK100"),1,
MATCH(1,INDEX((LEN(INDIRECT("'シフト一覧（転載）'!"&amp;W38&amp;":AK100"))&gt;0)
*(INDIRECT("'シフト一覧（転載）'!"&amp;W38&amp;":AK100")&lt;&gt;"休み"),1,0),0)),0),""),$F$9&amp;"保育無し")</f>
        <v>0</v>
      </c>
      <c r="Y38" s="20">
        <f t="array" aca="1" ref="Y38" ca="1">IFERROR(IF(W38&lt;&gt;0,ADDRESS(ROW(INDIRECT(W38)),
    COLUMN(INDIRECT(W38)) - 1 +
    MATCH(1,INDEX((LEN(INDIRECT("'シフト一覧（転載）'!"&amp;W38&amp;":AK100"))&gt;0)
            *(INDIRECT("'シフト一覧（転載）'!"&amp;W38&amp;":AK100")&lt;&gt;"休み"),
            1,0),0)+1,4),0),"")</f>
        <v>0</v>
      </c>
      <c r="Z38" s="20">
        <f t="array" aca="1" ref="Z38" ca="1">IFERROR(IF(Y38&lt;&gt;"",IF(Y38&lt;&gt;0,INDEX(
INDIRECT("'シフト一覧（転載）'!"&amp;Y38&amp;":AK100"),1,
MATCH(1,INDEX((LEN(INDIRECT("'シフト一覧（転載）'!"&amp;Y38&amp;":AK100"))&gt;0)
*(INDIRECT("'シフト一覧（転載）'!"&amp;Y38&amp;":AK100")&lt;&gt;"休み"),1,0),0)),0),""),$F$9&amp;"保育無し")</f>
        <v>0</v>
      </c>
      <c r="AA38" s="20">
        <f t="array" aca="1" ref="AA38" ca="1">IFERROR(IF(Y38&lt;&gt;0,ADDRESS(ROW(INDIRECT(Y38)),
    COLUMN(INDIRECT(Y38)) - 1 +
    MATCH(1,INDEX((LEN(INDIRECT("'シフト一覧（転載）'!"&amp;Y38&amp;":AK100"))&gt;0)
            *(INDIRECT("'シフト一覧（転載）'!"&amp;Y38&amp;":AK100")&lt;&gt;"休み"),
            1,0),0)+1,4),0),"")</f>
        <v>0</v>
      </c>
      <c r="AB38" s="20">
        <f t="array" aca="1" ref="AB38" ca="1">IFERROR(IF(AA38&lt;&gt;"",IF(AA38&lt;&gt;0,INDEX(
INDIRECT("'シフト一覧（転載）'!"&amp;AA38&amp;":AK100"),1,
MATCH(1,INDEX((LEN(INDIRECT("'シフト一覧（転載）'!"&amp;AA38&amp;":AK100"))&gt;0)
*(INDIRECT("'シフト一覧（転載）'!"&amp;AA38&amp;":AK100")&lt;&gt;"休み"),1,0),0)),0),""),$F$9&amp;"保育無し")</f>
        <v>0</v>
      </c>
      <c r="AC38" s="20">
        <f t="array" aca="1" ref="AC38" ca="1">IFERROR(IF(AA38&lt;&gt;0,ADDRESS(ROW(INDIRECT(AA38)),
    COLUMN(INDIRECT(AA38)) - 1 +
    MATCH(1,INDEX((LEN(INDIRECT("'シフト一覧（転載）'!"&amp;AA38&amp;":AK100"))&gt;0)
            *(INDIRECT("'シフト一覧（転載）'!"&amp;AA38&amp;":AK100")&lt;&gt;"休み"),
            1,0),0)+1,4),0),"")</f>
        <v>0</v>
      </c>
      <c r="AD38" s="20">
        <f t="array" aca="1" ref="AD38" ca="1">IFERROR(IF(AC38&lt;&gt;"",IF(AC38&lt;&gt;0,INDEX(
INDIRECT("'シフト一覧（転載）'!"&amp;AC38&amp;":AK100"),1,
MATCH(1,INDEX((LEN(INDIRECT("'シフト一覧（転載）'!"&amp;AC38&amp;":AK100"))&gt;0)
*(INDIRECT("'シフト一覧（転載）'!"&amp;AC38&amp;":AK100")&lt;&gt;"休み"),1,0),0)),0),""),$F$9&amp;"保育無し")</f>
        <v>0</v>
      </c>
      <c r="AE38" s="20">
        <f t="array" aca="1" ref="AE38" ca="1">IFERROR(IF(AC38&lt;&gt;0,ADDRESS(ROW(INDIRECT(AC38)),
    COLUMN(INDIRECT(AC38)) - 1 +
    MATCH(1,INDEX((LEN(INDIRECT("'シフト一覧（転載）'!"&amp;AC38&amp;":AK100"))&gt;0)
            *(INDIRECT("'シフト一覧（転載）'!"&amp;AC38&amp;":AK100")&lt;&gt;"休み"),
            1,0),0)+1,4),0),"")</f>
        <v>0</v>
      </c>
      <c r="AF38" s="20">
        <f t="array" aca="1" ref="AF38" ca="1">IFERROR(IF(AE38&lt;&gt;"",IF(AE38&lt;&gt;0,INDEX(
INDIRECT("'シフト一覧（転載）'!"&amp;AE38&amp;":AK100"),1,
MATCH(1,INDEX((LEN(INDIRECT("'シフト一覧（転載）'!"&amp;AE38&amp;":AK100"))&gt;0)
*(INDIRECT("'シフト一覧（転載）'!"&amp;AE38&amp;":AK100")&lt;&gt;"休み"),1,0),0)),0),""),$F$9&amp;"保育無し")</f>
        <v>0</v>
      </c>
      <c r="AG38" s="20">
        <f t="array" aca="1" ref="AG38" ca="1">IFERROR(IF(AE38&lt;&gt;0,ADDRESS(ROW(INDIRECT(AE38)),
    COLUMN(INDIRECT(AE38)) - 1 +
    MATCH(1,INDEX((LEN(INDIRECT("'シフト一覧（転載）'!"&amp;AE38&amp;":AK100"))&gt;0)
            *(INDIRECT("'シフト一覧（転載）'!"&amp;AE38&amp;":AK100")&lt;&gt;"休み"),
            1,0),0)+1,4),0),"")</f>
        <v>0</v>
      </c>
      <c r="AH38" s="20">
        <f t="array" aca="1" ref="AH38" ca="1">IFERROR(IF(AG38&lt;&gt;"",IF(AG38&lt;&gt;0,INDEX(
INDIRECT("'シフト一覧（転載）'!"&amp;AG38&amp;":AK100"),1,
MATCH(1,INDEX((LEN(INDIRECT("'シフト一覧（転載）'!"&amp;AG38&amp;":AK100"))&gt;0)
*(INDIRECT("'シフト一覧（転載）'!"&amp;AG38&amp;":AK100")&lt;&gt;"休み"),1,0),0)),0),""),$F$9&amp;"保育無し")</f>
        <v>0</v>
      </c>
      <c r="AI38" s="20">
        <f t="array" aca="1" ref="AI38" ca="1">IFERROR(IF(AG38&lt;&gt;0,ADDRESS(ROW(INDIRECT(AG38)),
    COLUMN(INDIRECT(AG38)) - 1 +
    MATCH(1,INDEX((LEN(INDIRECT("'シフト一覧（転載）'!"&amp;AG38&amp;":AK100"))&gt;0)
            *(INDIRECT("'シフト一覧（転載）'!"&amp;AG38&amp;":AK100")&lt;&gt;"休み"),
            1,0),0)+1,4),0),"")</f>
        <v>0</v>
      </c>
      <c r="AJ38" s="20">
        <f t="array" aca="1" ref="AJ38" ca="1">IFERROR(IF(AI38&lt;&gt;"",IF(AI38&lt;&gt;0,INDEX(
INDIRECT("'シフト一覧（転載）'!"&amp;AI38&amp;":AK100"),1,
MATCH(1,INDEX((LEN(INDIRECT("'シフト一覧（転載）'!"&amp;AI38&amp;":AK100"))&gt;0)
*(INDIRECT("'シフト一覧（転載）'!"&amp;AI38&amp;":AK100")&lt;&gt;"休み"),1,0),0)),0),""),$F$9&amp;"保育無し")</f>
        <v>0</v>
      </c>
      <c r="AK38" s="20">
        <f t="array" aca="1" ref="AK38" ca="1">IFERROR(IF(AI38&lt;&gt;0,ADDRESS(ROW(INDIRECT(AI38)),
    COLUMN(INDIRECT(AI38)) - 1 +
    MATCH(1,INDEX((LEN(INDIRECT("'シフト一覧（転載）'!"&amp;AI38&amp;":AK100"))&gt;0)
            *(INDIRECT("'シフト一覧（転載）'!"&amp;AI38&amp;":AK100")&lt;&gt;"休み"),
            1,0),0)+1,4),0),"")</f>
        <v>0</v>
      </c>
      <c r="AL38" s="20">
        <f t="array" aca="1" ref="AL38" ca="1">IFERROR(IF(AK38&lt;&gt;"",IF(AK38&lt;&gt;0,INDEX(
INDIRECT("'シフト一覧（転載）'!"&amp;AK38&amp;":AK100"),1,
MATCH(1,INDEX((LEN(INDIRECT("'シフト一覧（転載）'!"&amp;AK38&amp;":AK100"))&gt;0)
*(INDIRECT("'シフト一覧（転載）'!"&amp;AK38&amp;":AK100")&lt;&gt;"休み"),1,0),0)),0),""),$F$9&amp;"保育無し")</f>
        <v>0</v>
      </c>
      <c r="AM38" s="20">
        <f t="array" aca="1" ref="AM38" ca="1">IFERROR(IF(AK38&lt;&gt;0,ADDRESS(ROW(INDIRECT(AK38)),
    COLUMN(INDIRECT(AK38)) - 1 +
    MATCH(1,INDEX((LEN(INDIRECT("'シフト一覧（転載）'!"&amp;AK38&amp;":AK100"))&gt;0)
            *(INDIRECT("'シフト一覧（転載）'!"&amp;AK38&amp;":AK100")&lt;&gt;"休み"),
            1,0),0)+1,4),0),"")</f>
        <v>0</v>
      </c>
      <c r="AN38" s="20">
        <f t="array" aca="1" ref="AN38" ca="1">IFERROR(IF(AM38&lt;&gt;"",IF(AM38&lt;&gt;0,INDEX(
INDIRECT("'シフト一覧（転載）'!"&amp;AM38&amp;":AK100"),1,
MATCH(1,INDEX((LEN(INDIRECT("'シフト一覧（転載）'!"&amp;AM38&amp;":AK100"))&gt;0)
*(INDIRECT("'シフト一覧（転載）'!"&amp;AM38&amp;":AK100")&lt;&gt;"休み"),1,0),0)),0),""),$F$9&amp;"保育無し")</f>
        <v>0</v>
      </c>
      <c r="AO38" s="20">
        <f t="array" aca="1" ref="AO38" ca="1">IFERROR(IF(AM38&lt;&gt;0,ADDRESS(ROW(INDIRECT(AM38)),
    COLUMN(INDIRECT(AM38)) - 1 +
    MATCH(1,INDEX((LEN(INDIRECT("'シフト一覧（転載）'!"&amp;AM38&amp;":AK100"))&gt;0)
            *(INDIRECT("'シフト一覧（転載）'!"&amp;AM38&amp;":AK100")&lt;&gt;"休み"),
            1,0),0)+1,4),0),"")</f>
        <v>0</v>
      </c>
      <c r="AP38" s="20">
        <f t="array" aca="1" ref="AP38" ca="1">IFERROR(IF(AO38&lt;&gt;"",IF(AO38&lt;&gt;0,INDEX(
INDIRECT("'シフト一覧（転載）'!"&amp;AO38&amp;":AK100"),1,
MATCH(1,INDEX((LEN(INDIRECT("'シフト一覧（転載）'!"&amp;AO38&amp;":AK100"))&gt;0)
*(INDIRECT("'シフト一覧（転載）'!"&amp;AO38&amp;":AK100")&lt;&gt;"休み"),1,0),0)),0),""),$F$9&amp;"保育無し")</f>
        <v>0</v>
      </c>
      <c r="AQ38" s="20">
        <f t="array" aca="1" ref="AQ38" ca="1">IFERROR(IF(AO38&lt;&gt;0,ADDRESS(ROW(INDIRECT(AO38)),
    COLUMN(INDIRECT(AO38)) - 1 +
    MATCH(1,INDEX((LEN(INDIRECT("'シフト一覧（転載）'!"&amp;AO38&amp;":AK100"))&gt;0)
            *(INDIRECT("'シフト一覧（転載）'!"&amp;AO38&amp;":AK100")&lt;&gt;"休み"),
            1,0),0)+1,4),0),"")</f>
        <v>0</v>
      </c>
      <c r="AR38" s="20">
        <f t="array" aca="1" ref="AR38" ca="1">IFERROR(IF(AQ38&lt;&gt;"",IF(AQ38&lt;&gt;0,INDEX(
INDIRECT("'シフト一覧（転載）'!"&amp;AQ38&amp;":AK100"),1,
MATCH(1,INDEX((LEN(INDIRECT("'シフト一覧（転載）'!"&amp;AQ38&amp;":AK100"))&gt;0)
*(INDIRECT("'シフト一覧（転載）'!"&amp;AQ38&amp;":AK100")&lt;&gt;"休み"),1,0),0)),0),""),$F$9&amp;"保育無し")</f>
        <v>0</v>
      </c>
      <c r="AS38" s="20">
        <f t="array" aca="1" ref="AS38" ca="1">IFERROR(IF(AQ38&lt;&gt;0,ADDRESS(ROW(INDIRECT(AQ38)),
    COLUMN(INDIRECT(AQ38)) - 1 +
    MATCH(1,INDEX((LEN(INDIRECT("'シフト一覧（転載）'!"&amp;AQ38&amp;":AK100"))&gt;0)
            *(INDIRECT("'シフト一覧（転載）'!"&amp;AQ38&amp;":AK100")&lt;&gt;"休み"),
            1,0),0)+1,4),0),"")</f>
        <v>0</v>
      </c>
      <c r="AT38" s="20">
        <f t="array" aca="1" ref="AT38" ca="1">IFERROR(IF(AS38&lt;&gt;"",IF(AS38&lt;&gt;0,INDEX(
INDIRECT("'シフト一覧（転載）'!"&amp;AS38&amp;":AK100"),1,
MATCH(1,INDEX((LEN(INDIRECT("'シフト一覧（転載）'!"&amp;AS38&amp;":AK100"))&gt;0)
*(INDIRECT("'シフト一覧（転載）'!"&amp;AS38&amp;":AK100")&lt;&gt;"休み"),1,0),0)),0),""),$F$9&amp;"保育無し")</f>
        <v>0</v>
      </c>
      <c r="AU38" s="20">
        <f t="array" aca="1" ref="AU38" ca="1">IFERROR(IF(AS38&lt;&gt;0,ADDRESS(ROW(INDIRECT(AS38)),
    COLUMN(INDIRECT(AS38)) - 1 +
    MATCH(1,INDEX((LEN(INDIRECT("'シフト一覧（転載）'!"&amp;AS38&amp;":AK100"))&gt;0)
            *(INDIRECT("'シフト一覧（転載）'!"&amp;AS38&amp;":AK100")&lt;&gt;"休み"),
            1,0),0)+1,4),0),"")</f>
        <v>0</v>
      </c>
      <c r="AV38" s="20">
        <f t="array" aca="1" ref="AV38" ca="1">IFERROR(IF(AU38&lt;&gt;"",IF(AU38&lt;&gt;0,INDEX(
INDIRECT("'シフト一覧（転載）'!"&amp;AU38&amp;":AK100"),1,
MATCH(1,INDEX((LEN(INDIRECT("'シフト一覧（転載）'!"&amp;AU38&amp;":AK100"))&gt;0)
*(INDIRECT("'シフト一覧（転載）'!"&amp;AU38&amp;":AK100")&lt;&gt;"休み"),1,0),0)),0),""),$F$9&amp;"保育無し")</f>
        <v>0</v>
      </c>
      <c r="AW38" s="20">
        <f t="array" aca="1" ref="AW38" ca="1">IFERROR(IF(AU38&lt;&gt;0,ADDRESS(ROW(INDIRECT(AU38)),
    COLUMN(INDIRECT(AU38)) - 1 +
    MATCH(1,INDEX((LEN(INDIRECT("'シフト一覧（転載）'!"&amp;AU38&amp;":AK100"))&gt;0)
            *(INDIRECT("'シフト一覧（転載）'!"&amp;AU38&amp;":AK100")&lt;&gt;"休み"),
            1,0),0)+1,4),0),"")</f>
        <v>0</v>
      </c>
      <c r="AX38" s="20">
        <f t="array" aca="1" ref="AX38" ca="1">IFERROR(IF(AW38&lt;&gt;"",IF(AW38&lt;&gt;0,INDEX(
INDIRECT("'シフト一覧（転載）'!"&amp;AW38&amp;":AK100"),1,
MATCH(1,INDEX((LEN(INDIRECT("'シフト一覧（転載）'!"&amp;AW38&amp;":AK100"))&gt;0)
*(INDIRECT("'シフト一覧（転載）'!"&amp;AW38&amp;":AK100")&lt;&gt;"休み"),1,0),0)),0),""),$F$9&amp;"保育無し")</f>
        <v>0</v>
      </c>
      <c r="AY38" s="20">
        <f t="array" aca="1" ref="AY38" ca="1">IFERROR(IF(AW38&lt;&gt;0,ADDRESS(ROW(INDIRECT(AW38)),
    COLUMN(INDIRECT(AW38)) - 1 +
    MATCH(1,INDEX((LEN(INDIRECT("'シフト一覧（転載）'!"&amp;AW38&amp;":AK100"))&gt;0)
            *(INDIRECT("'シフト一覧（転載）'!"&amp;AW38&amp;":AK100")&lt;&gt;"休み"),
            1,0),0)+1,4),0),"")</f>
        <v>0</v>
      </c>
      <c r="AZ38" s="20">
        <f t="array" aca="1" ref="AZ38" ca="1">IFERROR(IF(AY38&lt;&gt;"",IF(AY38&lt;&gt;0,INDEX(
INDIRECT("'シフト一覧（転載）'!"&amp;AY38&amp;":AK100"),1,
MATCH(1,INDEX((LEN(INDIRECT("'シフト一覧（転載）'!"&amp;AY38&amp;":AK100"))&gt;0)
*(INDIRECT("'シフト一覧（転載）'!"&amp;AY38&amp;":AK100")&lt;&gt;"休み"),1,0),0)),0),""),$F$9&amp;"保育無し")</f>
        <v>0</v>
      </c>
      <c r="BA38" s="20">
        <f t="array" aca="1" ref="BA38" ca="1">IFERROR(IF(AY38&lt;&gt;0,ADDRESS(ROW(INDIRECT(AY38)),
    COLUMN(INDIRECT(AY38)) - 1 +
    MATCH(1,INDEX((LEN(INDIRECT("'シフト一覧（転載）'!"&amp;AY38&amp;":AK100"))&gt;0)
            *(INDIRECT("'シフト一覧（転載）'!"&amp;AY38&amp;":AK100")&lt;&gt;"休み"),
            1,0),0)+1,4),0),"")</f>
        <v>0</v>
      </c>
      <c r="BB38" s="20">
        <f t="array" aca="1" ref="BB38" ca="1">IFERROR(IF(BA38&lt;&gt;"",IF(BA38&lt;&gt;0,INDEX(
INDIRECT("'シフト一覧（転載）'!"&amp;BA38&amp;":AK100"),1,
MATCH(1,INDEX((LEN(INDIRECT("'シフト一覧（転載）'!"&amp;BA38&amp;":AK100"))&gt;0)
*(INDIRECT("'シフト一覧（転載）'!"&amp;BA38&amp;":AK100")&lt;&gt;"休み"),1,0),0)),0),""),$F$9&amp;"保育無し")</f>
        <v>0</v>
      </c>
      <c r="BC38" s="20">
        <f t="array" aca="1" ref="BC38" ca="1">IFERROR(IF(BA38&lt;&gt;0,ADDRESS(ROW(INDIRECT(BA38)),
    COLUMN(INDIRECT(BA38)) - 1 +
    MATCH(1,INDEX((LEN(INDIRECT("'シフト一覧（転載）'!"&amp;BA38&amp;":AK100"))&gt;0)
            *(INDIRECT("'シフト一覧（転載）'!"&amp;BA38&amp;":AK100")&lt;&gt;"休み"),
            1,0),0)+1,4),0),"")</f>
        <v>0</v>
      </c>
      <c r="BD38" s="20">
        <f t="array" aca="1" ref="BD38" ca="1">IFERROR(IF(BC38&lt;&gt;"",IF(BC38&lt;&gt;0,INDEX(
INDIRECT("'シフト一覧（転載）'!"&amp;BC38&amp;":AK100"),1,
MATCH(1,INDEX((LEN(INDIRECT("'シフト一覧（転載）'!"&amp;BC38&amp;":AK100"))&gt;0)
*(INDIRECT("'シフト一覧（転載）'!"&amp;BC38&amp;":AK100")&lt;&gt;"休み"),1,0),0)),0),""),$F$9&amp;"保育無し")</f>
        <v>0</v>
      </c>
      <c r="BE38" s="20">
        <f t="array" aca="1" ref="BE38" ca="1">IFERROR(IF(BC38&lt;&gt;0,ADDRESS(ROW(INDIRECT(BC38)),
    COLUMN(INDIRECT(BC38)) - 1 +
    MATCH(1,INDEX((LEN(INDIRECT("'シフト一覧（転載）'!"&amp;BC38&amp;":AK100"))&gt;0)
            *(INDIRECT("'シフト一覧（転載）'!"&amp;BC38&amp;":AK100")&lt;&gt;"休み"),
            1,0),0)+1,4),0),"")</f>
        <v>0</v>
      </c>
      <c r="BF38" s="20">
        <f t="array" aca="1" ref="BF38" ca="1">IFERROR(IF(BE38&lt;&gt;"",IF(BE38&lt;&gt;0,INDEX(
INDIRECT("'シフト一覧（転載）'!"&amp;BE38&amp;":AK100"),1,
MATCH(1,INDEX((LEN(INDIRECT("'シフト一覧（転載）'!"&amp;BE38&amp;":AK100"))&gt;0)
*(INDIRECT("'シフト一覧（転載）'!"&amp;BE38&amp;":AK100")&lt;&gt;"休み"),1,0),0)),0),""),$F$9&amp;"保育無し")</f>
        <v>0</v>
      </c>
      <c r="BG38" s="20">
        <f t="array" aca="1" ref="BG38" ca="1">IFERROR(IF(BE38&lt;&gt;0,ADDRESS(ROW(INDIRECT(BE38)),
    COLUMN(INDIRECT(BE38)) - 1 +
    MATCH(1,INDEX((LEN(INDIRECT("'シフト一覧（転載）'!"&amp;BE38&amp;":AK100"))&gt;0)
            *(INDIRECT("'シフト一覧（転載）'!"&amp;BE38&amp;":AK100")&lt;&gt;"休み"),
            1,0),0)+1,4),0),"")</f>
        <v>0</v>
      </c>
      <c r="BH38" s="20">
        <f t="array" aca="1" ref="BH38" ca="1">IFERROR(IF(BG38&lt;&gt;"",IF(BG38&lt;&gt;0,INDEX(
INDIRECT("'シフト一覧（転載）'!"&amp;BG38&amp;":AK100"),1,
MATCH(1,INDEX((LEN(INDIRECT("'シフト一覧（転載）'!"&amp;BG38&amp;":AK100"))&gt;0)
*(INDIRECT("'シフト一覧（転載）'!"&amp;BG38&amp;":AK100")&lt;&gt;"休み"),1,0),0)),0),""),$F$9&amp;"保育無し")</f>
        <v>0</v>
      </c>
      <c r="BI38" s="20">
        <f t="array" aca="1" ref="BI38" ca="1">IFERROR(IF(BG38&lt;&gt;0,ADDRESS(ROW(INDIRECT(BG38)),
    COLUMN(INDIRECT(BG38)) - 1 +
    MATCH(1,INDEX((LEN(INDIRECT("'シフト一覧（転載）'!"&amp;BG38&amp;":AK100"))&gt;0)
            *(INDIRECT("'シフト一覧（転載）'!"&amp;BG38&amp;":AK100")&lt;&gt;"休み"),
            1,0),0)+1,4),0),"")</f>
        <v>0</v>
      </c>
      <c r="BJ38" s="20">
        <f t="array" aca="1" ref="BJ38" ca="1">IFERROR(IF(BI38&lt;&gt;"",IF(BI38&lt;&gt;0,INDEX(
INDIRECT("'シフト一覧（転載）'!"&amp;BI38&amp;":AK100"),1,
MATCH(1,INDEX((LEN(INDIRECT("'シフト一覧（転載）'!"&amp;BI38&amp;":AK100"))&gt;0)
*(INDIRECT("'シフト一覧（転載）'!"&amp;BI38&amp;":AK100")&lt;&gt;"休み"),1,0),0)),0),""),$F$9&amp;"保育無し")</f>
        <v>0</v>
      </c>
      <c r="BK38" s="20">
        <f t="array" aca="1" ref="BK38" ca="1">IFERROR(IF(BI38&lt;&gt;0,ADDRESS(ROW(INDIRECT(BI38)),
    COLUMN(INDIRECT(BI38)) - 1 +
    MATCH(1,INDEX((LEN(INDIRECT("'シフト一覧（転載）'!"&amp;BI38&amp;":AK100"))&gt;0)
            *(INDIRECT("'シフト一覧（転載）'!"&amp;BI38&amp;":AK100")&lt;&gt;"休み"),
            1,0),0)+1,4),0),"")</f>
        <v>0</v>
      </c>
      <c r="BL38" s="20">
        <f t="array" aca="1" ref="BL38" ca="1">IFERROR(IF(BK38&lt;&gt;"",IF(BK38&lt;&gt;0,INDEX(
INDIRECT("'シフト一覧（転載）'!"&amp;BK38&amp;":AK100"),1,
MATCH(1,INDEX((LEN(INDIRECT("'シフト一覧（転載）'!"&amp;BK38&amp;":AK100"))&gt;0)
*(INDIRECT("'シフト一覧（転載）'!"&amp;BK38&amp;":AK100")&lt;&gt;"休み"),1,0),0)),0),""),$F$9&amp;"保育無し")</f>
        <v>0</v>
      </c>
      <c r="BM38" s="20">
        <f t="array" aca="1" ref="BM38" ca="1">IFERROR(IF(BK38&lt;&gt;0,ADDRESS(ROW(INDIRECT(BK38)),
    COLUMN(INDIRECT(BK38)) - 1 +
    MATCH(1,INDEX((LEN(INDIRECT("'シフト一覧（転載）'!"&amp;BK38&amp;":AK100"))&gt;0)
            *(INDIRECT("'シフト一覧（転載）'!"&amp;BK38&amp;":AK100")&lt;&gt;"休み"),
            1,0),0)+1,4),0),"")</f>
        <v>0</v>
      </c>
      <c r="BN38" s="20">
        <f t="array" aca="1" ref="BN38" ca="1">IFERROR(IF(BM38&lt;&gt;"",IF(BM38&lt;&gt;0,INDEX(
INDIRECT("'シフト一覧（転載）'!"&amp;BM38&amp;":AK100"),1,
MATCH(1,INDEX((LEN(INDIRECT("'シフト一覧（転載）'!"&amp;BM38&amp;":AK100"))&gt;0)
*(INDIRECT("'シフト一覧（転載）'!"&amp;BM38&amp;":AK100")&lt;&gt;"休み"),1,0),0)),0),""),$F$9&amp;"保育無し")</f>
        <v>0</v>
      </c>
      <c r="BO38" s="20">
        <f t="array" aca="1" ref="BO38" ca="1">IFERROR(IF(BM38&lt;&gt;0,ADDRESS(ROW(INDIRECT(BM38)),
    COLUMN(INDIRECT(BM38)) - 1 +
    MATCH(1,INDEX((LEN(INDIRECT("'シフト一覧（転載）'!"&amp;BM38&amp;":AK100"))&gt;0)
            *(INDIRECT("'シフト一覧（転載）'!"&amp;BM38&amp;":AK100")&lt;&gt;"休み"),
            1,0),0)+1,4),0),"")</f>
        <v>0</v>
      </c>
      <c r="BP38" s="20">
        <f t="array" aca="1" ref="BP38" ca="1">IFERROR(IF(BO38&lt;&gt;"",IF(BO38&lt;&gt;0,INDEX(
INDIRECT("'シフト一覧（転載）'!"&amp;BO38&amp;":AK100"),1,
MATCH(1,INDEX((LEN(INDIRECT("'シフト一覧（転載）'!"&amp;BO38&amp;":AK100"))&gt;0)
*(INDIRECT("'シフト一覧（転載）'!"&amp;BO38&amp;":AK100")&lt;&gt;"休み"),1,0),0)),0),""),$F$9&amp;"保育無し")</f>
        <v>0</v>
      </c>
      <c r="BQ38" s="20">
        <f t="array" aca="1" ref="BQ38" ca="1">IFERROR(IF(BO38&lt;&gt;0,ADDRESS(ROW(INDIRECT(BO38)),
    COLUMN(INDIRECT(BO38)) - 1 +
    MATCH(1,INDEX((LEN(INDIRECT("'シフト一覧（転載）'!"&amp;BO38&amp;":AK100"))&gt;0)
            *(INDIRECT("'シフト一覧（転載）'!"&amp;BO38&amp;":AK100")&lt;&gt;"休み"),
            1,0),0)+1,4),0),"")</f>
        <v>0</v>
      </c>
      <c r="BR38" s="20">
        <f t="array" aca="1" ref="BR38" ca="1">IFERROR(IF(BQ38&lt;&gt;"",IF(BQ38&lt;&gt;0,INDEX(
INDIRECT("'シフト一覧（転載）'!"&amp;BQ38&amp;":AK100"),1,
MATCH(1,INDEX((LEN(INDIRECT("'シフト一覧（転載）'!"&amp;BQ38&amp;":AK100"))&gt;0)
*(INDIRECT("'シフト一覧（転載）'!"&amp;BQ38&amp;":AK100")&lt;&gt;"休み"),1,0),0)),0),""),$F$9&amp;"保育無し")</f>
        <v>0</v>
      </c>
      <c r="BS38" s="20">
        <f t="array" aca="1" ref="BS38" ca="1">IFERROR(IF(BQ38&lt;&gt;0,ADDRESS(ROW(INDIRECT(BQ38)),
    COLUMN(INDIRECT(BQ38)) - 1 +
    MATCH(1,INDEX((LEN(INDIRECT("'シフト一覧（転載）'!"&amp;BQ38&amp;":AK100"))&gt;0)
            *(INDIRECT("'シフト一覧（転載）'!"&amp;BQ38&amp;":AK100")&lt;&gt;"休み"),
            1,0),0)+1,4),0),"")</f>
        <v>0</v>
      </c>
      <c r="BT38" s="20">
        <f t="array" aca="1" ref="BT38" ca="1">IFERROR(IF(BS38&lt;&gt;"",IF(BS38&lt;&gt;0,INDEX(
INDIRECT("'シフト一覧（転載）'!"&amp;BS38&amp;":AK100"),1,
MATCH(1,INDEX((LEN(INDIRECT("'シフト一覧（転載）'!"&amp;BS38&amp;":AK100"))&gt;0)
*(INDIRECT("'シフト一覧（転載）'!"&amp;BS38&amp;":AK100")&lt;&gt;"休み"),1,0),0)),0),""),$F$9&amp;"保育無し")</f>
        <v>0</v>
      </c>
      <c r="BU38" s="20">
        <f t="array" aca="1" ref="BU38" ca="1">IFERROR(IF(BS38&lt;&gt;0,ADDRESS(ROW(INDIRECT(BS38)),
    COLUMN(INDIRECT(BS38)) - 1 +
    MATCH(1,INDEX((LEN(INDIRECT("'シフト一覧（転載）'!"&amp;BS38&amp;":AK100"))&gt;0)
            *(INDIRECT("'シフト一覧（転載）'!"&amp;BS38&amp;":AK100")&lt;&gt;"休み"),
            1,0),0)+1,4),0),"")</f>
        <v>0</v>
      </c>
      <c r="BV38" s="20">
        <f t="array" aca="1" ref="BV38" ca="1">IFERROR(IF(BU38&lt;&gt;"",IF(BU38&lt;&gt;0,INDEX(
INDIRECT("'シフト一覧（転載）'!"&amp;BU38&amp;":AK100"),1,
MATCH(1,INDEX((LEN(INDIRECT("'シフト一覧（転載）'!"&amp;BU38&amp;":AK100"))&gt;0)
*(INDIRECT("'シフト一覧（転載）'!"&amp;BU38&amp;":AK100")&lt;&gt;"休み"),1,0),0)),0),""),$F$9&amp;"保育無し")</f>
        <v>0</v>
      </c>
      <c r="BW38" s="20">
        <f t="array" aca="1" ref="BW38" ca="1">IFERROR(IF(BU38&lt;&gt;0,ADDRESS(ROW(INDIRECT(BU38)),
    COLUMN(INDIRECT(BU38)) - 1 +
    MATCH(1,INDEX((LEN(INDIRECT("'シフト一覧（転載）'!"&amp;BU38&amp;":AK100"))&gt;0)
            *(INDIRECT("'シフト一覧（転載）'!"&amp;BU38&amp;":AK100")&lt;&gt;"休み"),
            1,0),0)+1,4),0),"")</f>
        <v>0</v>
      </c>
      <c r="BX38" s="20">
        <f t="array" aca="1" ref="BX38" ca="1">IFERROR(IF(BW38&lt;&gt;"",IF(BW38&lt;&gt;0,INDEX(
INDIRECT("'シフト一覧（転載）'!"&amp;BW38&amp;":AK100"),1,
MATCH(1,INDEX((LEN(INDIRECT("'シフト一覧（転載）'!"&amp;BW38&amp;":AK100"))&gt;0)
*(INDIRECT("'シフト一覧（転載）'!"&amp;BW38&amp;":AK100")&lt;&gt;"休み"),1,0),0)),0),""),$F$9&amp;"保育無し")</f>
        <v>0</v>
      </c>
      <c r="BY38" s="20">
        <f t="array" aca="1" ref="BY38" ca="1">IFERROR(IF(BW38&lt;&gt;0,ADDRESS(ROW(INDIRECT(BW38)),
    COLUMN(INDIRECT(BW38)) - 1 +
    MATCH(1,INDEX((LEN(INDIRECT("'シフト一覧（転載）'!"&amp;BW38&amp;":AK100"))&gt;0)
            *(INDIRECT("'シフト一覧（転載）'!"&amp;BW38&amp;":AK100")&lt;&gt;"休み"),
            1,0),0)+1,4),0),"")</f>
        <v>0</v>
      </c>
    </row>
    <row r="39" spans="1:77" ht="19.8" customHeight="1" x14ac:dyDescent="0.2">
      <c r="A39" s="43">
        <f>IF(A38&lt;&gt;0,IF($B$9&gt;A38,A38+1,0),0)</f>
        <v>0</v>
      </c>
      <c r="B39" s="48" t="str" cm="1">
        <f t="array" aca="1" ref="B39" ca="1">IFERROR(_xlfn.TEXTJOIN("", TRUE, IF(ISERR(MID(INDIRECT("'Page_" &amp; A39 &amp; "'!C2"), ROW(INDIRECT("1:" &amp; LEN(INDIRECT("'Page_" &amp; A39 &amp; "'!C2")))), 1)*1), MID(INDIRECT("'Page_" &amp; A39 &amp; "'!C2"), ROW(INDIRECT("1:" &amp; LEN(INDIRECT("'Page_" &amp; A39 &amp; "'!C2")))), 1), "")),"")</f>
        <v/>
      </c>
      <c r="C39" s="49" t="str" cm="1">
        <f t="array" aca="1" ref="C39" ca="1">IFERROR(IF(INDIRECT("'Page_" &amp; A39 &amp; "'!E2")&lt;&gt;"",INDIRECT("'Page_" &amp; A39 &amp; "'!E2"),INDIRECT("'Page_" &amp; A39 &amp; "'!D2")),"")</f>
        <v/>
      </c>
      <c r="D39" s="58" t="str" cm="1">
        <f t="array" aca="1" ref="D39" ca="1">IFERROR(IF(INDIRECT("'Page_" &amp; A39 &amp; "'!Q3")&lt;&gt;"",INDIRECT("'Page_" &amp; A39 &amp; "'!Q3"),INDIRECT("'Page_" &amp; A39 &amp; "'!P3")),"")</f>
        <v/>
      </c>
      <c r="E39" s="39">
        <f t="shared" ca="1" si="2"/>
        <v>0</v>
      </c>
      <c r="F39" s="28" t="str">
        <f t="shared" ca="1" si="3"/>
        <v/>
      </c>
      <c r="G39" s="25" t="str">
        <f t="shared" ca="1" si="11"/>
        <v/>
      </c>
      <c r="H39" s="63" t="str" cm="1">
        <f t="array" aca="1" ref="H39" ca="1">IF(B39&lt;&gt;"",IFERROR(INDEX('シフト一覧（転載）'!$C$8:$C$100,
MATCH(1, (ISNUMBER(SEARCH(B39,'シフト一覧（転載）'!$A$8:$A$100)))
*(ISNUMBER(SEARCH($F$9,'シフト一覧（転載）'!$B$8:$B$100))), 0)),""),"")</f>
        <v/>
      </c>
      <c r="I39" s="54" t="str">
        <f t="shared" ca="1" si="12"/>
        <v/>
      </c>
      <c r="J39" s="25" t="str" cm="1">
        <f t="array" aca="1" ref="J39" ca="1">IF(B39&lt;&gt;"",IFERROR(SUM(INDIRECT("'Page_" &amp; A39 &amp; "'!K"&amp;MATCH("有休",INDIRECT("'Page_" &amp; A39 &amp; "'!K:K"),0)+2&amp;"")
+INDIRECT("'Page_" &amp; A39 &amp; "'!L"&amp;MATCH("特休",INDIRECT("'Page_" &amp; A39 &amp; "'!L:L"),0)+2&amp;""))*24,0),"")</f>
        <v/>
      </c>
      <c r="K39" s="59"/>
      <c r="M39" s="104"/>
      <c r="N39" s="102"/>
      <c r="O39" s="107"/>
      <c r="P39" s="21">
        <f t="array" aca="1" ref="P39" ca="1">IFERROR(IF(M38&lt;&gt;"",INDEX('シフト一覧（転載）'!$F$8:$AK$100,
    MATCH(1,(ISNUMBER(SEARCH(M38,'シフト一覧（転載）'!$A$8:$A$100)))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MATCH(1,(ISNUMBER(SEARCH(M38,'シフト一覧（転載）'!$A$8:$A$100)))
                *(ISNUMBER(SEARCH($F$9,'シフト一覧（転載）'!$B$8:$B$100))),
                0),0),0)),0),"")</f>
        <v>0</v>
      </c>
      <c r="Q39" s="21">
        <f ca="1">IF(P38=0,0,
IF(OR(P38="",COUNTIF(P38,"*保育無し*")),"",
IF(MOD(P39-P38,1)*24&gt;=8,1,
IF(MOD(P39-P38,1)*24&gt;=6,0.75,0))))</f>
        <v>0</v>
      </c>
      <c r="R39" s="21">
        <f t="array" aca="1" ref="R39" ca="1">IFERROR(IF(Q38&lt;&gt;0,INDEX(
INDIRECT("'シフト一覧（転載）'!"&amp;Q38&amp;":AK100"),1+1,
MATCH(1,INDEX((LEN(INDIRECT("'シフト一覧（転載）'!"&amp;Q38&amp;":AK100"))&gt;0)
*(INDIRECT("'シフト一覧（転載）'!"&amp;Q38&amp;":AK100")&lt;&gt;"休み"),1,0),0)),0),"")</f>
        <v>0</v>
      </c>
      <c r="S39" s="21">
        <f ca="1">IF(R38=0,0,
IF(OR(R38="",COUNTIF(R38,"*保育無し*")),"",
IF(MOD(R39-R38,1)*24&gt;=8,1,
IF(MOD(R39-R38,1)*24&gt;=6,0.75,0))))</f>
        <v>0</v>
      </c>
      <c r="T39" s="21">
        <f t="array" aca="1" ref="T39" ca="1">IFERROR(IF(S38&lt;&gt;0,INDEX(
INDIRECT("'シフト一覧（転載）'!"&amp;S38&amp;":AK100"),1+1,
MATCH(1,INDEX((LEN(INDIRECT("'シフト一覧（転載）'!"&amp;S38&amp;":AK100"))&gt;0)
*(INDIRECT("'シフト一覧（転載）'!"&amp;S38&amp;":AK100")&lt;&gt;"休み"),1,0),0)),0),"")</f>
        <v>0</v>
      </c>
      <c r="U39" s="21">
        <f ca="1">IF(T38=0,0,
IF(OR(T38="",COUNTIF(T38,"*保育無し*")),"",
IF(MOD(T39-T38,1)*24&gt;=8,1,
IF(MOD(T39-T38,1)*24&gt;=6,0.75,0))))</f>
        <v>0</v>
      </c>
      <c r="V39" s="21">
        <f t="array" aca="1" ref="V39" ca="1">IFERROR(IF(U38&lt;&gt;0,INDEX(
INDIRECT("'シフト一覧（転載）'!"&amp;U38&amp;":AK100"),1+1,
MATCH(1,INDEX((LEN(INDIRECT("'シフト一覧（転載）'!"&amp;U38&amp;":AK100"))&gt;0)
*(INDIRECT("'シフト一覧（転載）'!"&amp;U38&amp;":AK100")&lt;&gt;"休み"),1,0),0)),0),"")</f>
        <v>0</v>
      </c>
      <c r="W39" s="21">
        <f ca="1">IF(V38=0,0,
IF(OR(V38="",COUNTIF(V38,"*保育無し*")),"",
IF(MOD(V39-V38,1)*24&gt;=8,1,
IF(MOD(V39-V38,1)*24&gt;=6,0.75,0))))</f>
        <v>0</v>
      </c>
      <c r="X39" s="21">
        <f t="array" aca="1" ref="X39" ca="1">IFERROR(IF(W38&lt;&gt;0,INDEX(
INDIRECT("'シフト一覧（転載）'!"&amp;W38&amp;":AK100"),1+1,
MATCH(1,INDEX((LEN(INDIRECT("'シフト一覧（転載）'!"&amp;W38&amp;":AK100"))&gt;0)
*(INDIRECT("'シフト一覧（転載）'!"&amp;W38&amp;":AK100")&lt;&gt;"休み"),1,0),0)),0),"")</f>
        <v>0</v>
      </c>
      <c r="Y39" s="21">
        <f ca="1">IF(X38=0,0,
IF(OR(X38="",COUNTIF(X38,"*保育無し*")),"",
IF(MOD(X39-X38,1)*24&gt;=8,1,
IF(MOD(X39-X38,1)*24&gt;=6,0.75,0))))</f>
        <v>0</v>
      </c>
      <c r="Z39" s="21">
        <f t="array" aca="1" ref="Z39" ca="1">IFERROR(IF(Y38&lt;&gt;0,INDEX(
INDIRECT("'シフト一覧（転載）'!"&amp;Y38&amp;":AK100"),1+1,
MATCH(1,INDEX((LEN(INDIRECT("'シフト一覧（転載）'!"&amp;Y38&amp;":AK100"))&gt;0)
*(INDIRECT("'シフト一覧（転載）'!"&amp;Y38&amp;":AK100")&lt;&gt;"休み"),1,0),0)),0),"")</f>
        <v>0</v>
      </c>
      <c r="AA39" s="21">
        <f ca="1">IF(Z38=0,0,
IF(OR(Z38="",COUNTIF(Z38,"*保育無し*")),"",
IF(MOD(Z39-Z38,1)*24&gt;=8,1,
IF(MOD(Z39-Z38,1)*24&gt;=6,0.75,0))))</f>
        <v>0</v>
      </c>
      <c r="AB39" s="21">
        <f t="array" aca="1" ref="AB39" ca="1">IFERROR(IF(AA38&lt;&gt;0,INDEX(
INDIRECT("'シフト一覧（転載）'!"&amp;AA38&amp;":AK100"),1+1,
MATCH(1,INDEX((LEN(INDIRECT("'シフト一覧（転載）'!"&amp;AA38&amp;":AK100"))&gt;0)
*(INDIRECT("'シフト一覧（転載）'!"&amp;AA38&amp;":AK100")&lt;&gt;"休み"),1,0),0)),0),"")</f>
        <v>0</v>
      </c>
      <c r="AC39" s="21">
        <f ca="1">IF(AB38=0,0,
IF(OR(AB38="",COUNTIF(AB38,"*保育無し*")),"",
IF(MOD(AB39-AB38,1)*24&gt;=8,1,
IF(MOD(AB39-AB38,1)*24&gt;=6,0.75,0))))</f>
        <v>0</v>
      </c>
      <c r="AD39" s="21">
        <f t="array" aca="1" ref="AD39" ca="1">IFERROR(IF(AC38&lt;&gt;0,INDEX(
INDIRECT("'シフト一覧（転載）'!"&amp;AC38&amp;":AK100"),1+1,
MATCH(1,INDEX((LEN(INDIRECT("'シフト一覧（転載）'!"&amp;AC38&amp;":AK100"))&gt;0)
*(INDIRECT("'シフト一覧（転載）'!"&amp;AC38&amp;":AK100")&lt;&gt;"休み"),1,0),0)),0),"")</f>
        <v>0</v>
      </c>
      <c r="AE39" s="21">
        <f ca="1">IF(AD38=0,0,
IF(OR(AD38="",COUNTIF(AD38,"*保育無し*")),"",
IF(MOD(AD39-AD38,1)*24&gt;=8,1,
IF(MOD(AD39-AD38,1)*24&gt;=6,0.75,0))))</f>
        <v>0</v>
      </c>
      <c r="AF39" s="21">
        <f t="array" aca="1" ref="AF39" ca="1">IFERROR(IF(AE38&lt;&gt;0,INDEX(
INDIRECT("'シフト一覧（転載）'!"&amp;AE38&amp;":AK100"),1+1,
MATCH(1,INDEX((LEN(INDIRECT("'シフト一覧（転載）'!"&amp;AE38&amp;":AK100"))&gt;0)
*(INDIRECT("'シフト一覧（転載）'!"&amp;AE38&amp;":AK100")&lt;&gt;"休み"),1,0),0)),0),"")</f>
        <v>0</v>
      </c>
      <c r="AG39" s="21">
        <f ca="1">IF(AF38=0,0,
IF(OR(AF38="",COUNTIF(AF38,"*保育無し*")),"",
IF(MOD(AF39-AF38,1)*24&gt;=8,1,
IF(MOD(AF39-AF38,1)*24&gt;=6,0.75,0))))</f>
        <v>0</v>
      </c>
      <c r="AH39" s="21">
        <f t="array" aca="1" ref="AH39" ca="1">IFERROR(IF(AG38&lt;&gt;0,INDEX(
INDIRECT("'シフト一覧（転載）'!"&amp;AG38&amp;":AK100"),1+1,
MATCH(1,INDEX((LEN(INDIRECT("'シフト一覧（転載）'!"&amp;AG38&amp;":AK100"))&gt;0)
*(INDIRECT("'シフト一覧（転載）'!"&amp;AG38&amp;":AK100")&lt;&gt;"休み"),1,0),0)),0),"")</f>
        <v>0</v>
      </c>
      <c r="AI39" s="21">
        <f ca="1">IF(AH38=0,0,
IF(OR(AH38="",COUNTIF(AH38,"*保育無し*")),"",
IF(MOD(AH39-AH38,1)*24&gt;=8,1,
IF(MOD(AH39-AH38,1)*24&gt;=6,0.75,0))))</f>
        <v>0</v>
      </c>
      <c r="AJ39" s="21">
        <f t="array" aca="1" ref="AJ39" ca="1">IFERROR(IF(AI38&lt;&gt;0,INDEX(
INDIRECT("'シフト一覧（転載）'!"&amp;AI38&amp;":AK100"),1+1,
MATCH(1,INDEX((LEN(INDIRECT("'シフト一覧（転載）'!"&amp;AI38&amp;":AK100"))&gt;0)
*(INDIRECT("'シフト一覧（転載）'!"&amp;AI38&amp;":AK100")&lt;&gt;"休み"),1,0),0)),0),"")</f>
        <v>0</v>
      </c>
      <c r="AK39" s="21">
        <f ca="1">IF(AJ38=0,0,
IF(OR(AJ38="",COUNTIF(AJ38,"*保育無し*")),"",
IF(MOD(AJ39-AJ38,1)*24&gt;=8,1,
IF(MOD(AJ39-AJ38,1)*24&gt;=6,0.75,0))))</f>
        <v>0</v>
      </c>
      <c r="AL39" s="21">
        <f t="array" aca="1" ref="AL39" ca="1">IFERROR(IF(AK38&lt;&gt;0,INDEX(
INDIRECT("'シフト一覧（転載）'!"&amp;AK38&amp;":AK100"),1+1,
MATCH(1,INDEX((LEN(INDIRECT("'シフト一覧（転載）'!"&amp;AK38&amp;":AK100"))&gt;0)
*(INDIRECT("'シフト一覧（転載）'!"&amp;AK38&amp;":AK100")&lt;&gt;"休み"),1,0),0)),0),"")</f>
        <v>0</v>
      </c>
      <c r="AM39" s="21">
        <f ca="1">IF(AL38=0,0,
IF(OR(AL38="",COUNTIF(AL38,"*保育無し*")),"",
IF(MOD(AL39-AL38,1)*24&gt;=8,1,
IF(MOD(AL39-AL38,1)*24&gt;=6,0.75,0))))</f>
        <v>0</v>
      </c>
      <c r="AN39" s="21">
        <f t="array" aca="1" ref="AN39" ca="1">IFERROR(IF(AM38&lt;&gt;0,INDEX(
INDIRECT("'シフト一覧（転載）'!"&amp;AM38&amp;":AK100"),1+1,
MATCH(1,INDEX((LEN(INDIRECT("'シフト一覧（転載）'!"&amp;AM38&amp;":AK100"))&gt;0)
*(INDIRECT("'シフト一覧（転載）'!"&amp;AM38&amp;":AK100")&lt;&gt;"休み"),1,0),0)),0),"")</f>
        <v>0</v>
      </c>
      <c r="AO39" s="21">
        <f ca="1">IF(AN38=0,0,
IF(OR(AN38="",COUNTIF(AN38,"*保育無し*")),"",
IF(MOD(AN39-AN38,1)*24&gt;=8,1,
IF(MOD(AN39-AN38,1)*24&gt;=6,0.75,0))))</f>
        <v>0</v>
      </c>
      <c r="AP39" s="21">
        <f t="array" aca="1" ref="AP39" ca="1">IFERROR(IF(AO38&lt;&gt;0,INDEX(
INDIRECT("'シフト一覧（転載）'!"&amp;AO38&amp;":AK100"),1+1,
MATCH(1,INDEX((LEN(INDIRECT("'シフト一覧（転載）'!"&amp;AO38&amp;":AK100"))&gt;0)
*(INDIRECT("'シフト一覧（転載）'!"&amp;AO38&amp;":AK100")&lt;&gt;"休み"),1,0),0)),0),"")</f>
        <v>0</v>
      </c>
      <c r="AQ39" s="21">
        <f ca="1">IF(AP38=0,0,
IF(OR(AP38="",COUNTIF(AP38,"*保育無し*")),"",
IF(MOD(AP39-AP38,1)*24&gt;=8,1,
IF(MOD(AP39-AP38,1)*24&gt;=6,0.75,0))))</f>
        <v>0</v>
      </c>
      <c r="AR39" s="21">
        <f t="array" aca="1" ref="AR39" ca="1">IFERROR(IF(AQ38&lt;&gt;0,INDEX(
INDIRECT("'シフト一覧（転載）'!"&amp;AQ38&amp;":AK100"),1+1,
MATCH(1,INDEX((LEN(INDIRECT("'シフト一覧（転載）'!"&amp;AQ38&amp;":AK100"))&gt;0)
*(INDIRECT("'シフト一覧（転載）'!"&amp;AQ38&amp;":AK100")&lt;&gt;"休み"),1,0),0)),0),"")</f>
        <v>0</v>
      </c>
      <c r="AS39" s="21">
        <f ca="1">IF(AR38=0,0,
IF(OR(AR38="",COUNTIF(AR38,"*保育無し*")),"",
IF(MOD(AR39-AR38,1)*24&gt;=8,1,
IF(MOD(AR39-AR38,1)*24&gt;=6,0.75,0))))</f>
        <v>0</v>
      </c>
      <c r="AT39" s="21">
        <f t="array" aca="1" ref="AT39" ca="1">IFERROR(IF(AS38&lt;&gt;0,INDEX(
INDIRECT("'シフト一覧（転載）'!"&amp;AS38&amp;":AK100"),1+1,
MATCH(1,INDEX((LEN(INDIRECT("'シフト一覧（転載）'!"&amp;AS38&amp;":AK100"))&gt;0)
*(INDIRECT("'シフト一覧（転載）'!"&amp;AS38&amp;":AK100")&lt;&gt;"休み"),1,0),0)),0),"")</f>
        <v>0</v>
      </c>
      <c r="AU39" s="21">
        <f ca="1">IF(AT38=0,0,
IF(OR(AT38="",COUNTIF(AT38,"*保育無し*")),"",
IF(MOD(AT39-AT38,1)*24&gt;=8,1,
IF(MOD(AT39-AT38,1)*24&gt;=6,0.75,0))))</f>
        <v>0</v>
      </c>
      <c r="AV39" s="21">
        <f t="array" aca="1" ref="AV39" ca="1">IFERROR(IF(AU38&lt;&gt;0,INDEX(
INDIRECT("'シフト一覧（転載）'!"&amp;AU38&amp;":AK100"),1+1,
MATCH(1,INDEX((LEN(INDIRECT("'シフト一覧（転載）'!"&amp;AU38&amp;":AK100"))&gt;0)
*(INDIRECT("'シフト一覧（転載）'!"&amp;AU38&amp;":AK100")&lt;&gt;"休み"),1,0),0)),0),"")</f>
        <v>0</v>
      </c>
      <c r="AW39" s="21">
        <f ca="1">IF(AV38=0,0,
IF(OR(AV38="",COUNTIF(AV38,"*保育無し*")),"",
IF(MOD(AV39-AV38,1)*24&gt;=8,1,
IF(MOD(AV39-AV38,1)*24&gt;=6,0.75,0))))</f>
        <v>0</v>
      </c>
      <c r="AX39" s="21">
        <f t="array" aca="1" ref="AX39" ca="1">IFERROR(IF(AW38&lt;&gt;0,INDEX(
INDIRECT("'シフト一覧（転載）'!"&amp;AW38&amp;":AK100"),1+1,
MATCH(1,INDEX((LEN(INDIRECT("'シフト一覧（転載）'!"&amp;AW38&amp;":AK100"))&gt;0)
*(INDIRECT("'シフト一覧（転載）'!"&amp;AW38&amp;":AK100")&lt;&gt;"休み"),1,0),0)),0),"")</f>
        <v>0</v>
      </c>
      <c r="AY39" s="21">
        <f ca="1">IF(AX38=0,0,
IF(OR(AX38="",COUNTIF(AX38,"*保育無し*")),"",
IF(MOD(AX39-AX38,1)*24&gt;=8,1,
IF(MOD(AX39-AX38,1)*24&gt;=6,0.75,0))))</f>
        <v>0</v>
      </c>
      <c r="AZ39" s="21">
        <f t="array" aca="1" ref="AZ39" ca="1">IFERROR(IF(AY38&lt;&gt;0,INDEX(
INDIRECT("'シフト一覧（転載）'!"&amp;AY38&amp;":AK100"),1+1,
MATCH(1,INDEX((LEN(INDIRECT("'シフト一覧（転載）'!"&amp;AY38&amp;":AK100"))&gt;0)
*(INDIRECT("'シフト一覧（転載）'!"&amp;AY38&amp;":AK100")&lt;&gt;"休み"),1,0),0)),0),"")</f>
        <v>0</v>
      </c>
      <c r="BA39" s="21">
        <f ca="1">IF(AZ38=0,0,
IF(OR(AZ38="",COUNTIF(AZ38,"*保育無し*")),"",
IF(MOD(AZ39-AZ38,1)*24&gt;=8,1,
IF(MOD(AZ39-AZ38,1)*24&gt;=6,0.75,0))))</f>
        <v>0</v>
      </c>
      <c r="BB39" s="21">
        <f t="array" aca="1" ref="BB39" ca="1">IFERROR(IF(BA38&lt;&gt;0,INDEX(
INDIRECT("'シフト一覧（転載）'!"&amp;BA38&amp;":AK100"),1+1,
MATCH(1,INDEX((LEN(INDIRECT("'シフト一覧（転載）'!"&amp;BA38&amp;":AK100"))&gt;0)
*(INDIRECT("'シフト一覧（転載）'!"&amp;BA38&amp;":AK100")&lt;&gt;"休み"),1,0),0)),0),"")</f>
        <v>0</v>
      </c>
      <c r="BC39" s="21">
        <f ca="1">IF(BB38=0,0,
IF(OR(BB38="",COUNTIF(BB38,"*保育無し*")),"",
IF(MOD(BB39-BB38,1)*24&gt;=8,1,
IF(MOD(BB39-BB38,1)*24&gt;=6,0.75,0))))</f>
        <v>0</v>
      </c>
      <c r="BD39" s="21">
        <f t="array" aca="1" ref="BD39" ca="1">IFERROR(IF(BC38&lt;&gt;0,INDEX(
INDIRECT("'シフト一覧（転載）'!"&amp;BC38&amp;":AK100"),1+1,
MATCH(1,INDEX((LEN(INDIRECT("'シフト一覧（転載）'!"&amp;BC38&amp;":AK100"))&gt;0)
*(INDIRECT("'シフト一覧（転載）'!"&amp;BC38&amp;":AK100")&lt;&gt;"休み"),1,0),0)),0),"")</f>
        <v>0</v>
      </c>
      <c r="BE39" s="21">
        <f ca="1">IF(BD38=0,0,
IF(OR(BD38="",COUNTIF(BD38,"*保育無し*")),"",
IF(MOD(BD39-BD38,1)*24&gt;=8,1,
IF(MOD(BD39-BD38,1)*24&gt;=6,0.75,0))))</f>
        <v>0</v>
      </c>
      <c r="BF39" s="21">
        <f t="array" aca="1" ref="BF39" ca="1">IFERROR(IF(BE38&lt;&gt;0,INDEX(
INDIRECT("'シフト一覧（転載）'!"&amp;BE38&amp;":AK100"),1+1,
MATCH(1,INDEX((LEN(INDIRECT("'シフト一覧（転載）'!"&amp;BE38&amp;":AK100"))&gt;0)
*(INDIRECT("'シフト一覧（転載）'!"&amp;BE38&amp;":AK100")&lt;&gt;"休み"),1,0),0)),0),"")</f>
        <v>0</v>
      </c>
      <c r="BG39" s="21">
        <f ca="1">IF(BF38=0,0,
IF(OR(BF38="",COUNTIF(BF38,"*保育無し*")),"",
IF(MOD(BF39-BF38,1)*24&gt;=8,1,
IF(MOD(BF39-BF38,1)*24&gt;=6,0.75,0))))</f>
        <v>0</v>
      </c>
      <c r="BH39" s="21">
        <f t="array" aca="1" ref="BH39" ca="1">IFERROR(IF(BG38&lt;&gt;0,INDEX(
INDIRECT("'シフト一覧（転載）'!"&amp;BG38&amp;":AK100"),1+1,
MATCH(1,INDEX((LEN(INDIRECT("'シフト一覧（転載）'!"&amp;BG38&amp;":AK100"))&gt;0)
*(INDIRECT("'シフト一覧（転載）'!"&amp;BG38&amp;":AK100")&lt;&gt;"休み"),1,0),0)),0),"")</f>
        <v>0</v>
      </c>
      <c r="BI39" s="21">
        <f ca="1">IF(BH38=0,0,
IF(OR(BH38="",COUNTIF(BH38,"*保育無し*")),"",
IF(MOD(BH39-BH38,1)*24&gt;=8,1,
IF(MOD(BH39-BH38,1)*24&gt;=6,0.75,0))))</f>
        <v>0</v>
      </c>
      <c r="BJ39" s="21">
        <f t="array" aca="1" ref="BJ39" ca="1">IFERROR(IF(BI38&lt;&gt;0,INDEX(
INDIRECT("'シフト一覧（転載）'!"&amp;BI38&amp;":AK100"),1+1,
MATCH(1,INDEX((LEN(INDIRECT("'シフト一覧（転載）'!"&amp;BI38&amp;":AK100"))&gt;0)
*(INDIRECT("'シフト一覧（転載）'!"&amp;BI38&amp;":AK100")&lt;&gt;"休み"),1,0),0)),0),"")</f>
        <v>0</v>
      </c>
      <c r="BK39" s="21">
        <f ca="1">IF(BJ38=0,0,
IF(OR(BJ38="",COUNTIF(BJ38,"*保育無し*")),"",
IF(MOD(BJ39-BJ38,1)*24&gt;=8,1,
IF(MOD(BJ39-BJ38,1)*24&gt;=6,0.75,0))))</f>
        <v>0</v>
      </c>
      <c r="BL39" s="21">
        <f t="array" aca="1" ref="BL39" ca="1">IFERROR(IF(BK38&lt;&gt;0,INDEX(
INDIRECT("'シフト一覧（転載）'!"&amp;BK38&amp;":AK100"),1+1,
MATCH(1,INDEX((LEN(INDIRECT("'シフト一覧（転載）'!"&amp;BK38&amp;":AK100"))&gt;0)
*(INDIRECT("'シフト一覧（転載）'!"&amp;BK38&amp;":AK100")&lt;&gt;"休み"),1,0),0)),0),"")</f>
        <v>0</v>
      </c>
      <c r="BM39" s="21">
        <f ca="1">IF(BL38=0,0,
IF(OR(BL38="",COUNTIF(BL38,"*保育無し*")),"",
IF(MOD(BL39-BL38,1)*24&gt;=8,1,
IF(MOD(BL39-BL38,1)*24&gt;=6,0.75,0))))</f>
        <v>0</v>
      </c>
      <c r="BN39" s="21">
        <f t="array" aca="1" ref="BN39" ca="1">IFERROR(IF(BM38&lt;&gt;0,INDEX(
INDIRECT("'シフト一覧（転載）'!"&amp;BM38&amp;":AK100"),1+1,
MATCH(1,INDEX((LEN(INDIRECT("'シフト一覧（転載）'!"&amp;BM38&amp;":AK100"))&gt;0)
*(INDIRECT("'シフト一覧（転載）'!"&amp;BM38&amp;":AK100")&lt;&gt;"休み"),1,0),0)),0),"")</f>
        <v>0</v>
      </c>
      <c r="BO39" s="21">
        <f ca="1">IF(BN38=0,0,
IF(OR(BN38="",COUNTIF(BN38,"*保育無し*")),"",
IF(MOD(BN39-BN38,1)*24&gt;=8,1,
IF(MOD(BN39-BN38,1)*24&gt;=6,0.75,0))))</f>
        <v>0</v>
      </c>
      <c r="BP39" s="21">
        <f t="array" aca="1" ref="BP39" ca="1">IFERROR(IF(BO38&lt;&gt;0,INDEX(
INDIRECT("'シフト一覧（転載）'!"&amp;BO38&amp;":AK100"),1+1,
MATCH(1,INDEX((LEN(INDIRECT("'シフト一覧（転載）'!"&amp;BO38&amp;":AK100"))&gt;0)
*(INDIRECT("'シフト一覧（転載）'!"&amp;BO38&amp;":AK100")&lt;&gt;"休み"),1,0),0)),0),"")</f>
        <v>0</v>
      </c>
      <c r="BQ39" s="21">
        <f ca="1">IF(BP38=0,0,
IF(OR(BP38="",COUNTIF(BP38,"*保育無し*")),"",
IF(MOD(BP39-BP38,1)*24&gt;=8,1,
IF(MOD(BP39-BP38,1)*24&gt;=6,0.75,0))))</f>
        <v>0</v>
      </c>
      <c r="BR39" s="21">
        <f t="array" aca="1" ref="BR39" ca="1">IFERROR(IF(BQ38&lt;&gt;0,INDEX(
INDIRECT("'シフト一覧（転載）'!"&amp;BQ38&amp;":AK100"),1+1,
MATCH(1,INDEX((LEN(INDIRECT("'シフト一覧（転載）'!"&amp;BQ38&amp;":AK100"))&gt;0)
*(INDIRECT("'シフト一覧（転載）'!"&amp;BQ38&amp;":AK100")&lt;&gt;"休み"),1,0),0)),0),"")</f>
        <v>0</v>
      </c>
      <c r="BS39" s="21">
        <f ca="1">IF(BR38=0,0,
IF(OR(BR38="",COUNTIF(BR38,"*保育無し*")),"",
IF(MOD(BR39-BR38,1)*24&gt;=8,1,
IF(MOD(BR39-BR38,1)*24&gt;=6,0.75,0))))</f>
        <v>0</v>
      </c>
      <c r="BT39" s="21">
        <f t="array" aca="1" ref="BT39" ca="1">IFERROR(IF(BS38&lt;&gt;0,INDEX(
INDIRECT("'シフト一覧（転載）'!"&amp;BS38&amp;":AK100"),1+1,
MATCH(1,INDEX((LEN(INDIRECT("'シフト一覧（転載）'!"&amp;BS38&amp;":AK100"))&gt;0)
*(INDIRECT("'シフト一覧（転載）'!"&amp;BS38&amp;":AK100")&lt;&gt;"休み"),1,0),0)),0),"")</f>
        <v>0</v>
      </c>
      <c r="BU39" s="21">
        <f ca="1">IF(BT38=0,0,
IF(OR(BT38="",COUNTIF(BT38,"*保育無し*")),"",
IF(MOD(BT39-BT38,1)*24&gt;=8,1,
IF(MOD(BT39-BT38,1)*24&gt;=6,0.75,0))))</f>
        <v>0</v>
      </c>
      <c r="BV39" s="21">
        <f t="array" aca="1" ref="BV39" ca="1">IFERROR(IF(BU38&lt;&gt;0,INDEX(
INDIRECT("'シフト一覧（転載）'!"&amp;BU38&amp;":AK100"),1+1,
MATCH(1,INDEX((LEN(INDIRECT("'シフト一覧（転載）'!"&amp;BU38&amp;":AK100"))&gt;0)
*(INDIRECT("'シフト一覧（転載）'!"&amp;BU38&amp;":AK100")&lt;&gt;"休み"),1,0),0)),0),"")</f>
        <v>0</v>
      </c>
      <c r="BW39" s="21">
        <f ca="1">IF(BV38=0,0,
IF(OR(BV38="",COUNTIF(BV38,"*保育無し*")),"",
IF(MOD(BV39-BV38,1)*24&gt;=8,1,
IF(MOD(BV39-BV38,1)*24&gt;=6,0.75,0))))</f>
        <v>0</v>
      </c>
      <c r="BX39" s="21">
        <f t="array" aca="1" ref="BX39" ca="1">IFERROR(IF(BW38&lt;&gt;0,INDEX(
INDIRECT("'シフト一覧（転載）'!"&amp;BW38&amp;":AK100"),1+1,
MATCH(1,INDEX((LEN(INDIRECT("'シフト一覧（転載）'!"&amp;BW38&amp;":AK100"))&gt;0)
*(INDIRECT("'シフト一覧（転載）'!"&amp;BW38&amp;":AK100")&lt;&gt;"休み"),1,0),0)),0),"")</f>
        <v>0</v>
      </c>
      <c r="BY39" s="21">
        <f ca="1">IF(BX38=0,0,
IF(OR(BX38="",COUNTIF(BX38,"*保育無し*")),"",
IF(MOD(BX39-BX38,1)*24&gt;=8,1,
IF(MOD(BX39-BX38,1)*24&gt;=6,0.75,0))))</f>
        <v>0</v>
      </c>
    </row>
    <row r="40" spans="1:77" ht="19.8" customHeight="1" x14ac:dyDescent="0.2">
      <c r="A40" s="43">
        <f>IF(A39&lt;&gt;0,IF($B$9&gt;A39,A39+1,0),0)</f>
        <v>0</v>
      </c>
      <c r="B40" s="48" t="str" cm="1">
        <f t="array" aca="1" ref="B40" ca="1">IFERROR(_xlfn.TEXTJOIN("", TRUE, IF(ISERR(MID(INDIRECT("'Page_" &amp; A40 &amp; "'!C2"), ROW(INDIRECT("1:" &amp; LEN(INDIRECT("'Page_" &amp; A40 &amp; "'!C2")))), 1)*1), MID(INDIRECT("'Page_" &amp; A40 &amp; "'!C2"), ROW(INDIRECT("1:" &amp; LEN(INDIRECT("'Page_" &amp; A40 &amp; "'!C2")))), 1), "")),"")</f>
        <v/>
      </c>
      <c r="C40" s="49" t="str" cm="1">
        <f t="array" aca="1" ref="C40" ca="1">IFERROR(IF(INDIRECT("'Page_" &amp; A40 &amp; "'!E2")&lt;&gt;"",INDIRECT("'Page_" &amp; A40 &amp; "'!E2"),INDIRECT("'Page_" &amp; A40 &amp; "'!D2")),"")</f>
        <v/>
      </c>
      <c r="D40" s="58" t="str" cm="1">
        <f t="array" aca="1" ref="D40" ca="1">IFERROR(IF(INDIRECT("'Page_" &amp; A40 &amp; "'!Q3")&lt;&gt;"",INDIRECT("'Page_" &amp; A40 &amp; "'!Q3"),INDIRECT("'Page_" &amp; A40 &amp; "'!P3")),"")</f>
        <v/>
      </c>
      <c r="E40" s="39">
        <f t="shared" ca="1" si="2"/>
        <v>0</v>
      </c>
      <c r="F40" s="28" t="str">
        <f t="shared" ca="1" si="3"/>
        <v/>
      </c>
      <c r="G40" s="25" t="str">
        <f t="shared" ca="1" si="11"/>
        <v/>
      </c>
      <c r="H40" s="63" t="str" cm="1">
        <f t="array" aca="1" ref="H40" ca="1">IF(B40&lt;&gt;"",IFERROR(INDEX('シフト一覧（転載）'!$C$8:$C$100,
MATCH(1, (ISNUMBER(SEARCH(B40,'シフト一覧（転載）'!$A$8:$A$100)))
*(ISNUMBER(SEARCH($F$9,'シフト一覧（転載）'!$B$8:$B$100))), 0)),""),"")</f>
        <v/>
      </c>
      <c r="I40" s="54" t="str">
        <f t="shared" ca="1" si="12"/>
        <v/>
      </c>
      <c r="J40" s="25" t="str" cm="1">
        <f t="array" aca="1" ref="J40" ca="1">IF(B40&lt;&gt;"",IFERROR(SUM(INDIRECT("'Page_" &amp; A40 &amp; "'!K"&amp;MATCH("有休",INDIRECT("'Page_" &amp; A40 &amp; "'!K:K"),0)+2&amp;"")
+INDIRECT("'Page_" &amp; A40 &amp; "'!L"&amp;MATCH("特休",INDIRECT("'Page_" &amp; A40 &amp; "'!L:L"),0)+2&amp;""))*24,0),"")</f>
        <v/>
      </c>
      <c r="K40" s="59"/>
      <c r="M40" s="103" t="str" cm="1">
        <f t="array" aca="1" ref="M4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0" s="101" t="str">
        <f t="shared" ref="N40" ca="1" si="19">IF(M40&lt;&gt;"",VLOOKUP(M40,$B$12:$C$41,2,FALSE),"")</f>
        <v/>
      </c>
      <c r="O40" s="106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20">
        <f t="array" aca="1" ref="P40" ca="1">IFERROR(IF(M40&lt;&gt;"",INDEX('シフト一覧（転載）'!$F$8:$AK$100,
    MATCH(1,(ISNUMBER(SEARCH(M40,'シフト一覧（転載）'!$A$8:$A$100)))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MATCH(1,(ISNUMBER(SEARCH(M40,'シフト一覧（転載）'!$A$8:$A$100)))
                *(ISNUMBER(SEARCH($F$9,'シフト一覧（転載）'!$B$8:$B$100))),
                0),0),0)),0),$F$9&amp;"保育無し")</f>
        <v>0</v>
      </c>
      <c r="Q40" s="20">
        <f t="array" aca="1" ref="Q40" ca="1">IFERROR(IF(COUNTIF(P40,"*無*"),"",IF(M40&lt;&gt;"",ADDRESS(
    MATCH(1,(ISNUMBER(SEARCH(M40,'シフト一覧（転載）'!$A$8:$A$100)))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MATCH(1,(ISNUMBER(SEARCH(M40,'シフト一覧（転載）'!$A$8:$A$100)))
                *(ISNUMBER(SEARCH($F$9,'シフト一覧（転載）'!$B$8:$B$100))),0),0),0) + 6,4),0)),0)</f>
        <v>0</v>
      </c>
      <c r="R40" s="20">
        <f t="array" aca="1" ref="R40" ca="1">IFERROR(IF(Q40&lt;&gt;"",IF(Q40&lt;&gt;0,INDEX(
INDIRECT("'シフト一覧（転載）'!"&amp;Q40&amp;":AK100"),1,
MATCH(1,INDEX((LEN(INDIRECT("'シフト一覧（転載）'!"&amp;Q40&amp;":AK100"))&gt;0)
*(INDIRECT("'シフト一覧（転載）'!"&amp;Q40&amp;":AK100")&lt;&gt;"休み"),1,0),0)),0),""),$F$9&amp;"保育無し")</f>
        <v>0</v>
      </c>
      <c r="S40" s="20">
        <f t="array" aca="1" ref="S40" ca="1">IFERROR(IF(Q40&lt;&gt;0,ADDRESS(ROW(INDIRECT(Q40)),
    COLUMN(INDIRECT(Q40)) - 1 +
    MATCH(1,INDEX((LEN(INDIRECT("'シフト一覧（転載）'!"&amp;Q40&amp;":AK100"))&gt;0)
            *(INDIRECT("'シフト一覧（転載）'!"&amp;Q40&amp;":AK100")&lt;&gt;"休み"),
            1,0),0)+1,4),0),"")</f>
        <v>0</v>
      </c>
      <c r="T40" s="20">
        <f t="array" aca="1" ref="T40" ca="1">IFERROR(IF(S40&lt;&gt;"",IF(S40&lt;&gt;0,INDEX(
INDIRECT("'シフト一覧（転載）'!"&amp;S40&amp;":AK100"),1,
MATCH(1,INDEX((LEN(INDIRECT("'シフト一覧（転載）'!"&amp;S40&amp;":AK100"))&gt;0)
*(INDIRECT("'シフト一覧（転載）'!"&amp;S40&amp;":AK100")&lt;&gt;"休み"),1,0),0)),0),""),$F$9&amp;"保育無し")</f>
        <v>0</v>
      </c>
      <c r="U40" s="20">
        <f t="array" aca="1" ref="U40" ca="1">IFERROR(IF(S40&lt;&gt;0,ADDRESS(ROW(INDIRECT(S40)),
    COLUMN(INDIRECT(S40)) - 1 +
    MATCH(1,INDEX((LEN(INDIRECT("'シフト一覧（転載）'!"&amp;S40&amp;":AK100"))&gt;0)
            *(INDIRECT("'シフト一覧（転載）'!"&amp;S40&amp;":AK100")&lt;&gt;"休み"),
            1,0),0)+1,4),0),"")</f>
        <v>0</v>
      </c>
      <c r="V40" s="20">
        <f t="array" aca="1" ref="V40" ca="1">IFERROR(IF(U40&lt;&gt;"",IF(U40&lt;&gt;0,INDEX(
INDIRECT("'シフト一覧（転載）'!"&amp;U40&amp;":AK100"),1,
MATCH(1,INDEX((LEN(INDIRECT("'シフト一覧（転載）'!"&amp;U40&amp;":AK100"))&gt;0)
*(INDIRECT("'シフト一覧（転載）'!"&amp;U40&amp;":AK100")&lt;&gt;"休み"),1,0),0)),0),""),$F$9&amp;"保育無し")</f>
        <v>0</v>
      </c>
      <c r="W40" s="20">
        <f t="array" aca="1" ref="W40" ca="1">IFERROR(IF(U40&lt;&gt;0,ADDRESS(ROW(INDIRECT(U40)),
    COLUMN(INDIRECT(U40)) - 1 +
    MATCH(1,INDEX((LEN(INDIRECT("'シフト一覧（転載）'!"&amp;U40&amp;":AK100"))&gt;0)
            *(INDIRECT("'シフト一覧（転載）'!"&amp;U40&amp;":AK100")&lt;&gt;"休み"),
            1,0),0)+1,4),0),"")</f>
        <v>0</v>
      </c>
      <c r="X40" s="20">
        <f t="array" aca="1" ref="X40" ca="1">IFERROR(IF(W40&lt;&gt;"",IF(W40&lt;&gt;0,INDEX(
INDIRECT("'シフト一覧（転載）'!"&amp;W40&amp;":AK100"),1,
MATCH(1,INDEX((LEN(INDIRECT("'シフト一覧（転載）'!"&amp;W40&amp;":AK100"))&gt;0)
*(INDIRECT("'シフト一覧（転載）'!"&amp;W40&amp;":AK100")&lt;&gt;"休み"),1,0),0)),0),""),$F$9&amp;"保育無し")</f>
        <v>0</v>
      </c>
      <c r="Y40" s="20">
        <f t="array" aca="1" ref="Y40" ca="1">IFERROR(IF(W40&lt;&gt;0,ADDRESS(ROW(INDIRECT(W40)),
    COLUMN(INDIRECT(W40)) - 1 +
    MATCH(1,INDEX((LEN(INDIRECT("'シフト一覧（転載）'!"&amp;W40&amp;":AK100"))&gt;0)
            *(INDIRECT("'シフト一覧（転載）'!"&amp;W40&amp;":AK100")&lt;&gt;"休み"),
            1,0),0)+1,4),0),"")</f>
        <v>0</v>
      </c>
      <c r="Z40" s="20">
        <f t="array" aca="1" ref="Z40" ca="1">IFERROR(IF(Y40&lt;&gt;"",IF(Y40&lt;&gt;0,INDEX(
INDIRECT("'シフト一覧（転載）'!"&amp;Y40&amp;":AK100"),1,
MATCH(1,INDEX((LEN(INDIRECT("'シフト一覧（転載）'!"&amp;Y40&amp;":AK100"))&gt;0)
*(INDIRECT("'シフト一覧（転載）'!"&amp;Y40&amp;":AK100")&lt;&gt;"休み"),1,0),0)),0),""),$F$9&amp;"保育無し")</f>
        <v>0</v>
      </c>
      <c r="AA40" s="20">
        <f t="array" aca="1" ref="AA40" ca="1">IFERROR(IF(Y40&lt;&gt;0,ADDRESS(ROW(INDIRECT(Y40)),
    COLUMN(INDIRECT(Y40)) - 1 +
    MATCH(1,INDEX((LEN(INDIRECT("'シフト一覧（転載）'!"&amp;Y40&amp;":AK100"))&gt;0)
            *(INDIRECT("'シフト一覧（転載）'!"&amp;Y40&amp;":AK100")&lt;&gt;"休み"),
            1,0),0)+1,4),0),"")</f>
        <v>0</v>
      </c>
      <c r="AB40" s="20">
        <f t="array" aca="1" ref="AB40" ca="1">IFERROR(IF(AA40&lt;&gt;"",IF(AA40&lt;&gt;0,INDEX(
INDIRECT("'シフト一覧（転載）'!"&amp;AA40&amp;":AK100"),1,
MATCH(1,INDEX((LEN(INDIRECT("'シフト一覧（転載）'!"&amp;AA40&amp;":AK100"))&gt;0)
*(INDIRECT("'シフト一覧（転載）'!"&amp;AA40&amp;":AK100")&lt;&gt;"休み"),1,0),0)),0),""),$F$9&amp;"保育無し")</f>
        <v>0</v>
      </c>
      <c r="AC40" s="20">
        <f t="array" aca="1" ref="AC40" ca="1">IFERROR(IF(AA40&lt;&gt;0,ADDRESS(ROW(INDIRECT(AA40)),
    COLUMN(INDIRECT(AA40)) - 1 +
    MATCH(1,INDEX((LEN(INDIRECT("'シフト一覧（転載）'!"&amp;AA40&amp;":AK100"))&gt;0)
            *(INDIRECT("'シフト一覧（転載）'!"&amp;AA40&amp;":AK100")&lt;&gt;"休み"),
            1,0),0)+1,4),0),"")</f>
        <v>0</v>
      </c>
      <c r="AD40" s="20">
        <f t="array" aca="1" ref="AD40" ca="1">IFERROR(IF(AC40&lt;&gt;"",IF(AC40&lt;&gt;0,INDEX(
INDIRECT("'シフト一覧（転載）'!"&amp;AC40&amp;":AK100"),1,
MATCH(1,INDEX((LEN(INDIRECT("'シフト一覧（転載）'!"&amp;AC40&amp;":AK100"))&gt;0)
*(INDIRECT("'シフト一覧（転載）'!"&amp;AC40&amp;":AK100")&lt;&gt;"休み"),1,0),0)),0),""),$F$9&amp;"保育無し")</f>
        <v>0</v>
      </c>
      <c r="AE40" s="20">
        <f t="array" aca="1" ref="AE40" ca="1">IFERROR(IF(AC40&lt;&gt;0,ADDRESS(ROW(INDIRECT(AC40)),
    COLUMN(INDIRECT(AC40)) - 1 +
    MATCH(1,INDEX((LEN(INDIRECT("'シフト一覧（転載）'!"&amp;AC40&amp;":AK100"))&gt;0)
            *(INDIRECT("'シフト一覧（転載）'!"&amp;AC40&amp;":AK100")&lt;&gt;"休み"),
            1,0),0)+1,4),0),"")</f>
        <v>0</v>
      </c>
      <c r="AF40" s="20">
        <f t="array" aca="1" ref="AF40" ca="1">IFERROR(IF(AE40&lt;&gt;"",IF(AE40&lt;&gt;0,INDEX(
INDIRECT("'シフト一覧（転載）'!"&amp;AE40&amp;":AK100"),1,
MATCH(1,INDEX((LEN(INDIRECT("'シフト一覧（転載）'!"&amp;AE40&amp;":AK100"))&gt;0)
*(INDIRECT("'シフト一覧（転載）'!"&amp;AE40&amp;":AK100")&lt;&gt;"休み"),1,0),0)),0),""),$F$9&amp;"保育無し")</f>
        <v>0</v>
      </c>
      <c r="AG40" s="20">
        <f t="array" aca="1" ref="AG40" ca="1">IFERROR(IF(AE40&lt;&gt;0,ADDRESS(ROW(INDIRECT(AE40)),
    COLUMN(INDIRECT(AE40)) - 1 +
    MATCH(1,INDEX((LEN(INDIRECT("'シフト一覧（転載）'!"&amp;AE40&amp;":AK100"))&gt;0)
            *(INDIRECT("'シフト一覧（転載）'!"&amp;AE40&amp;":AK100")&lt;&gt;"休み"),
            1,0),0)+1,4),0),"")</f>
        <v>0</v>
      </c>
      <c r="AH40" s="20">
        <f t="array" aca="1" ref="AH40" ca="1">IFERROR(IF(AG40&lt;&gt;"",IF(AG40&lt;&gt;0,INDEX(
INDIRECT("'シフト一覧（転載）'!"&amp;AG40&amp;":AK100"),1,
MATCH(1,INDEX((LEN(INDIRECT("'シフト一覧（転載）'!"&amp;AG40&amp;":AK100"))&gt;0)
*(INDIRECT("'シフト一覧（転載）'!"&amp;AG40&amp;":AK100")&lt;&gt;"休み"),1,0),0)),0),""),$F$9&amp;"保育無し")</f>
        <v>0</v>
      </c>
      <c r="AI40" s="20">
        <f t="array" aca="1" ref="AI40" ca="1">IFERROR(IF(AG40&lt;&gt;0,ADDRESS(ROW(INDIRECT(AG40)),
    COLUMN(INDIRECT(AG40)) - 1 +
    MATCH(1,INDEX((LEN(INDIRECT("'シフト一覧（転載）'!"&amp;AG40&amp;":AK100"))&gt;0)
            *(INDIRECT("'シフト一覧（転載）'!"&amp;AG40&amp;":AK100")&lt;&gt;"休み"),
            1,0),0)+1,4),0),"")</f>
        <v>0</v>
      </c>
      <c r="AJ40" s="20">
        <f t="array" aca="1" ref="AJ40" ca="1">IFERROR(IF(AI40&lt;&gt;"",IF(AI40&lt;&gt;0,INDEX(
INDIRECT("'シフト一覧（転載）'!"&amp;AI40&amp;":AK100"),1,
MATCH(1,INDEX((LEN(INDIRECT("'シフト一覧（転載）'!"&amp;AI40&amp;":AK100"))&gt;0)
*(INDIRECT("'シフト一覧（転載）'!"&amp;AI40&amp;":AK100")&lt;&gt;"休み"),1,0),0)),0),""),$F$9&amp;"保育無し")</f>
        <v>0</v>
      </c>
      <c r="AK40" s="20">
        <f t="array" aca="1" ref="AK40" ca="1">IFERROR(IF(AI40&lt;&gt;0,ADDRESS(ROW(INDIRECT(AI40)),
    COLUMN(INDIRECT(AI40)) - 1 +
    MATCH(1,INDEX((LEN(INDIRECT("'シフト一覧（転載）'!"&amp;AI40&amp;":AK100"))&gt;0)
            *(INDIRECT("'シフト一覧（転載）'!"&amp;AI40&amp;":AK100")&lt;&gt;"休み"),
            1,0),0)+1,4),0),"")</f>
        <v>0</v>
      </c>
      <c r="AL40" s="20">
        <f t="array" aca="1" ref="AL40" ca="1">IFERROR(IF(AK40&lt;&gt;"",IF(AK40&lt;&gt;0,INDEX(
INDIRECT("'シフト一覧（転載）'!"&amp;AK40&amp;":AK100"),1,
MATCH(1,INDEX((LEN(INDIRECT("'シフト一覧（転載）'!"&amp;AK40&amp;":AK100"))&gt;0)
*(INDIRECT("'シフト一覧（転載）'!"&amp;AK40&amp;":AK100")&lt;&gt;"休み"),1,0),0)),0),""),$F$9&amp;"保育無し")</f>
        <v>0</v>
      </c>
      <c r="AM40" s="20">
        <f t="array" aca="1" ref="AM40" ca="1">IFERROR(IF(AK40&lt;&gt;0,ADDRESS(ROW(INDIRECT(AK40)),
    COLUMN(INDIRECT(AK40)) - 1 +
    MATCH(1,INDEX((LEN(INDIRECT("'シフト一覧（転載）'!"&amp;AK40&amp;":AK100"))&gt;0)
            *(INDIRECT("'シフト一覧（転載）'!"&amp;AK40&amp;":AK100")&lt;&gt;"休み"),
            1,0),0)+1,4),0),"")</f>
        <v>0</v>
      </c>
      <c r="AN40" s="20">
        <f t="array" aca="1" ref="AN40" ca="1">IFERROR(IF(AM40&lt;&gt;"",IF(AM40&lt;&gt;0,INDEX(
INDIRECT("'シフト一覧（転載）'!"&amp;AM40&amp;":AK100"),1,
MATCH(1,INDEX((LEN(INDIRECT("'シフト一覧（転載）'!"&amp;AM40&amp;":AK100"))&gt;0)
*(INDIRECT("'シフト一覧（転載）'!"&amp;AM40&amp;":AK100")&lt;&gt;"休み"),1,0),0)),0),""),$F$9&amp;"保育無し")</f>
        <v>0</v>
      </c>
      <c r="AO40" s="20">
        <f t="array" aca="1" ref="AO40" ca="1">IFERROR(IF(AM40&lt;&gt;0,ADDRESS(ROW(INDIRECT(AM40)),
    COLUMN(INDIRECT(AM40)) - 1 +
    MATCH(1,INDEX((LEN(INDIRECT("'シフト一覧（転載）'!"&amp;AM40&amp;":AK100"))&gt;0)
            *(INDIRECT("'シフト一覧（転載）'!"&amp;AM40&amp;":AK100")&lt;&gt;"休み"),
            1,0),0)+1,4),0),"")</f>
        <v>0</v>
      </c>
      <c r="AP40" s="20">
        <f t="array" aca="1" ref="AP40" ca="1">IFERROR(IF(AO40&lt;&gt;"",IF(AO40&lt;&gt;0,INDEX(
INDIRECT("'シフト一覧（転載）'!"&amp;AO40&amp;":AK100"),1,
MATCH(1,INDEX((LEN(INDIRECT("'シフト一覧（転載）'!"&amp;AO40&amp;":AK100"))&gt;0)
*(INDIRECT("'シフト一覧（転載）'!"&amp;AO40&amp;":AK100")&lt;&gt;"休み"),1,0),0)),0),""),$F$9&amp;"保育無し")</f>
        <v>0</v>
      </c>
      <c r="AQ40" s="20">
        <f t="array" aca="1" ref="AQ40" ca="1">IFERROR(IF(AO40&lt;&gt;0,ADDRESS(ROW(INDIRECT(AO40)),
    COLUMN(INDIRECT(AO40)) - 1 +
    MATCH(1,INDEX((LEN(INDIRECT("'シフト一覧（転載）'!"&amp;AO40&amp;":AK100"))&gt;0)
            *(INDIRECT("'シフト一覧（転載）'!"&amp;AO40&amp;":AK100")&lt;&gt;"休み"),
            1,0),0)+1,4),0),"")</f>
        <v>0</v>
      </c>
      <c r="AR40" s="20">
        <f t="array" aca="1" ref="AR40" ca="1">IFERROR(IF(AQ40&lt;&gt;"",IF(AQ40&lt;&gt;0,INDEX(
INDIRECT("'シフト一覧（転載）'!"&amp;AQ40&amp;":AK100"),1,
MATCH(1,INDEX((LEN(INDIRECT("'シフト一覧（転載）'!"&amp;AQ40&amp;":AK100"))&gt;0)
*(INDIRECT("'シフト一覧（転載）'!"&amp;AQ40&amp;":AK100")&lt;&gt;"休み"),1,0),0)),0),""),$F$9&amp;"保育無し")</f>
        <v>0</v>
      </c>
      <c r="AS40" s="20">
        <f t="array" aca="1" ref="AS40" ca="1">IFERROR(IF(AQ40&lt;&gt;0,ADDRESS(ROW(INDIRECT(AQ40)),
    COLUMN(INDIRECT(AQ40)) - 1 +
    MATCH(1,INDEX((LEN(INDIRECT("'シフト一覧（転載）'!"&amp;AQ40&amp;":AK100"))&gt;0)
            *(INDIRECT("'シフト一覧（転載）'!"&amp;AQ40&amp;":AK100")&lt;&gt;"休み"),
            1,0),0)+1,4),0),"")</f>
        <v>0</v>
      </c>
      <c r="AT40" s="20">
        <f t="array" aca="1" ref="AT40" ca="1">IFERROR(IF(AS40&lt;&gt;"",IF(AS40&lt;&gt;0,INDEX(
INDIRECT("'シフト一覧（転載）'!"&amp;AS40&amp;":AK100"),1,
MATCH(1,INDEX((LEN(INDIRECT("'シフト一覧（転載）'!"&amp;AS40&amp;":AK100"))&gt;0)
*(INDIRECT("'シフト一覧（転載）'!"&amp;AS40&amp;":AK100")&lt;&gt;"休み"),1,0),0)),0),""),$F$9&amp;"保育無し")</f>
        <v>0</v>
      </c>
      <c r="AU40" s="20">
        <f t="array" aca="1" ref="AU40" ca="1">IFERROR(IF(AS40&lt;&gt;0,ADDRESS(ROW(INDIRECT(AS40)),
    COLUMN(INDIRECT(AS40)) - 1 +
    MATCH(1,INDEX((LEN(INDIRECT("'シフト一覧（転載）'!"&amp;AS40&amp;":AK100"))&gt;0)
            *(INDIRECT("'シフト一覧（転載）'!"&amp;AS40&amp;":AK100")&lt;&gt;"休み"),
            1,0),0)+1,4),0),"")</f>
        <v>0</v>
      </c>
      <c r="AV40" s="20">
        <f t="array" aca="1" ref="AV40" ca="1">IFERROR(IF(AU40&lt;&gt;"",IF(AU40&lt;&gt;0,INDEX(
INDIRECT("'シフト一覧（転載）'!"&amp;AU40&amp;":AK100"),1,
MATCH(1,INDEX((LEN(INDIRECT("'シフト一覧（転載）'!"&amp;AU40&amp;":AK100"))&gt;0)
*(INDIRECT("'シフト一覧（転載）'!"&amp;AU40&amp;":AK100")&lt;&gt;"休み"),1,0),0)),0),""),$F$9&amp;"保育無し")</f>
        <v>0</v>
      </c>
      <c r="AW40" s="20">
        <f t="array" aca="1" ref="AW40" ca="1">IFERROR(IF(AU40&lt;&gt;0,ADDRESS(ROW(INDIRECT(AU40)),
    COLUMN(INDIRECT(AU40)) - 1 +
    MATCH(1,INDEX((LEN(INDIRECT("'シフト一覧（転載）'!"&amp;AU40&amp;":AK100"))&gt;0)
            *(INDIRECT("'シフト一覧（転載）'!"&amp;AU40&amp;":AK100")&lt;&gt;"休み"),
            1,0),0)+1,4),0),"")</f>
        <v>0</v>
      </c>
      <c r="AX40" s="20">
        <f t="array" aca="1" ref="AX40" ca="1">IFERROR(IF(AW40&lt;&gt;"",IF(AW40&lt;&gt;0,INDEX(
INDIRECT("'シフト一覧（転載）'!"&amp;AW40&amp;":AK100"),1,
MATCH(1,INDEX((LEN(INDIRECT("'シフト一覧（転載）'!"&amp;AW40&amp;":AK100"))&gt;0)
*(INDIRECT("'シフト一覧（転載）'!"&amp;AW40&amp;":AK100")&lt;&gt;"休み"),1,0),0)),0),""),$F$9&amp;"保育無し")</f>
        <v>0</v>
      </c>
      <c r="AY40" s="20">
        <f t="array" aca="1" ref="AY40" ca="1">IFERROR(IF(AW40&lt;&gt;0,ADDRESS(ROW(INDIRECT(AW40)),
    COLUMN(INDIRECT(AW40)) - 1 +
    MATCH(1,INDEX((LEN(INDIRECT("'シフト一覧（転載）'!"&amp;AW40&amp;":AK100"))&gt;0)
            *(INDIRECT("'シフト一覧（転載）'!"&amp;AW40&amp;":AK100")&lt;&gt;"休み"),
            1,0),0)+1,4),0),"")</f>
        <v>0</v>
      </c>
      <c r="AZ40" s="20">
        <f t="array" aca="1" ref="AZ40" ca="1">IFERROR(IF(AY40&lt;&gt;"",IF(AY40&lt;&gt;0,INDEX(
INDIRECT("'シフト一覧（転載）'!"&amp;AY40&amp;":AK100"),1,
MATCH(1,INDEX((LEN(INDIRECT("'シフト一覧（転載）'!"&amp;AY40&amp;":AK100"))&gt;0)
*(INDIRECT("'シフト一覧（転載）'!"&amp;AY40&amp;":AK100")&lt;&gt;"休み"),1,0),0)),0),""),$F$9&amp;"保育無し")</f>
        <v>0</v>
      </c>
      <c r="BA40" s="20">
        <f t="array" aca="1" ref="BA40" ca="1">IFERROR(IF(AY40&lt;&gt;0,ADDRESS(ROW(INDIRECT(AY40)),
    COLUMN(INDIRECT(AY40)) - 1 +
    MATCH(1,INDEX((LEN(INDIRECT("'シフト一覧（転載）'!"&amp;AY40&amp;":AK100"))&gt;0)
            *(INDIRECT("'シフト一覧（転載）'!"&amp;AY40&amp;":AK100")&lt;&gt;"休み"),
            1,0),0)+1,4),0),"")</f>
        <v>0</v>
      </c>
      <c r="BB40" s="20">
        <f t="array" aca="1" ref="BB40" ca="1">IFERROR(IF(BA40&lt;&gt;"",IF(BA40&lt;&gt;0,INDEX(
INDIRECT("'シフト一覧（転載）'!"&amp;BA40&amp;":AK100"),1,
MATCH(1,INDEX((LEN(INDIRECT("'シフト一覧（転載）'!"&amp;BA40&amp;":AK100"))&gt;0)
*(INDIRECT("'シフト一覧（転載）'!"&amp;BA40&amp;":AK100")&lt;&gt;"休み"),1,0),0)),0),""),$F$9&amp;"保育無し")</f>
        <v>0</v>
      </c>
      <c r="BC40" s="20">
        <f t="array" aca="1" ref="BC40" ca="1">IFERROR(IF(BA40&lt;&gt;0,ADDRESS(ROW(INDIRECT(BA40)),
    COLUMN(INDIRECT(BA40)) - 1 +
    MATCH(1,INDEX((LEN(INDIRECT("'シフト一覧（転載）'!"&amp;BA40&amp;":AK100"))&gt;0)
            *(INDIRECT("'シフト一覧（転載）'!"&amp;BA40&amp;":AK100")&lt;&gt;"休み"),
            1,0),0)+1,4),0),"")</f>
        <v>0</v>
      </c>
      <c r="BD40" s="20">
        <f t="array" aca="1" ref="BD40" ca="1">IFERROR(IF(BC40&lt;&gt;"",IF(BC40&lt;&gt;0,INDEX(
INDIRECT("'シフト一覧（転載）'!"&amp;BC40&amp;":AK100"),1,
MATCH(1,INDEX((LEN(INDIRECT("'シフト一覧（転載）'!"&amp;BC40&amp;":AK100"))&gt;0)
*(INDIRECT("'シフト一覧（転載）'!"&amp;BC40&amp;":AK100")&lt;&gt;"休み"),1,0),0)),0),""),$F$9&amp;"保育無し")</f>
        <v>0</v>
      </c>
      <c r="BE40" s="20">
        <f t="array" aca="1" ref="BE40" ca="1">IFERROR(IF(BC40&lt;&gt;0,ADDRESS(ROW(INDIRECT(BC40)),
    COLUMN(INDIRECT(BC40)) - 1 +
    MATCH(1,INDEX((LEN(INDIRECT("'シフト一覧（転載）'!"&amp;BC40&amp;":AK100"))&gt;0)
            *(INDIRECT("'シフト一覧（転載）'!"&amp;BC40&amp;":AK100")&lt;&gt;"休み"),
            1,0),0)+1,4),0),"")</f>
        <v>0</v>
      </c>
      <c r="BF40" s="20">
        <f t="array" aca="1" ref="BF40" ca="1">IFERROR(IF(BE40&lt;&gt;"",IF(BE40&lt;&gt;0,INDEX(
INDIRECT("'シフト一覧（転載）'!"&amp;BE40&amp;":AK100"),1,
MATCH(1,INDEX((LEN(INDIRECT("'シフト一覧（転載）'!"&amp;BE40&amp;":AK100"))&gt;0)
*(INDIRECT("'シフト一覧（転載）'!"&amp;BE40&amp;":AK100")&lt;&gt;"休み"),1,0),0)),0),""),$F$9&amp;"保育無し")</f>
        <v>0</v>
      </c>
      <c r="BG40" s="20">
        <f t="array" aca="1" ref="BG40" ca="1">IFERROR(IF(BE40&lt;&gt;0,ADDRESS(ROW(INDIRECT(BE40)),
    COLUMN(INDIRECT(BE40)) - 1 +
    MATCH(1,INDEX((LEN(INDIRECT("'シフト一覧（転載）'!"&amp;BE40&amp;":AK100"))&gt;0)
            *(INDIRECT("'シフト一覧（転載）'!"&amp;BE40&amp;":AK100")&lt;&gt;"休み"),
            1,0),0)+1,4),0),"")</f>
        <v>0</v>
      </c>
      <c r="BH40" s="20">
        <f t="array" aca="1" ref="BH40" ca="1">IFERROR(IF(BG40&lt;&gt;"",IF(BG40&lt;&gt;0,INDEX(
INDIRECT("'シフト一覧（転載）'!"&amp;BG40&amp;":AK100"),1,
MATCH(1,INDEX((LEN(INDIRECT("'シフト一覧（転載）'!"&amp;BG40&amp;":AK100"))&gt;0)
*(INDIRECT("'シフト一覧（転載）'!"&amp;BG40&amp;":AK100")&lt;&gt;"休み"),1,0),0)),0),""),$F$9&amp;"保育無し")</f>
        <v>0</v>
      </c>
      <c r="BI40" s="20">
        <f t="array" aca="1" ref="BI40" ca="1">IFERROR(IF(BG40&lt;&gt;0,ADDRESS(ROW(INDIRECT(BG40)),
    COLUMN(INDIRECT(BG40)) - 1 +
    MATCH(1,INDEX((LEN(INDIRECT("'シフト一覧（転載）'!"&amp;BG40&amp;":AK100"))&gt;0)
            *(INDIRECT("'シフト一覧（転載）'!"&amp;BG40&amp;":AK100")&lt;&gt;"休み"),
            1,0),0)+1,4),0),"")</f>
        <v>0</v>
      </c>
      <c r="BJ40" s="20">
        <f t="array" aca="1" ref="BJ40" ca="1">IFERROR(IF(BI40&lt;&gt;"",IF(BI40&lt;&gt;0,INDEX(
INDIRECT("'シフト一覧（転載）'!"&amp;BI40&amp;":AK100"),1,
MATCH(1,INDEX((LEN(INDIRECT("'シフト一覧（転載）'!"&amp;BI40&amp;":AK100"))&gt;0)
*(INDIRECT("'シフト一覧（転載）'!"&amp;BI40&amp;":AK100")&lt;&gt;"休み"),1,0),0)),0),""),$F$9&amp;"保育無し")</f>
        <v>0</v>
      </c>
      <c r="BK40" s="20">
        <f t="array" aca="1" ref="BK40" ca="1">IFERROR(IF(BI40&lt;&gt;0,ADDRESS(ROW(INDIRECT(BI40)),
    COLUMN(INDIRECT(BI40)) - 1 +
    MATCH(1,INDEX((LEN(INDIRECT("'シフト一覧（転載）'!"&amp;BI40&amp;":AK100"))&gt;0)
            *(INDIRECT("'シフト一覧（転載）'!"&amp;BI40&amp;":AK100")&lt;&gt;"休み"),
            1,0),0)+1,4),0),"")</f>
        <v>0</v>
      </c>
      <c r="BL40" s="20">
        <f t="array" aca="1" ref="BL40" ca="1">IFERROR(IF(BK40&lt;&gt;"",IF(BK40&lt;&gt;0,INDEX(
INDIRECT("'シフト一覧（転載）'!"&amp;BK40&amp;":AK100"),1,
MATCH(1,INDEX((LEN(INDIRECT("'シフト一覧（転載）'!"&amp;BK40&amp;":AK100"))&gt;0)
*(INDIRECT("'シフト一覧（転載）'!"&amp;BK40&amp;":AK100")&lt;&gt;"休み"),1,0),0)),0),""),$F$9&amp;"保育無し")</f>
        <v>0</v>
      </c>
      <c r="BM40" s="20">
        <f t="array" aca="1" ref="BM40" ca="1">IFERROR(IF(BK40&lt;&gt;0,ADDRESS(ROW(INDIRECT(BK40)),
    COLUMN(INDIRECT(BK40)) - 1 +
    MATCH(1,INDEX((LEN(INDIRECT("'シフト一覧（転載）'!"&amp;BK40&amp;":AK100"))&gt;0)
            *(INDIRECT("'シフト一覧（転載）'!"&amp;BK40&amp;":AK100")&lt;&gt;"休み"),
            1,0),0)+1,4),0),"")</f>
        <v>0</v>
      </c>
      <c r="BN40" s="20">
        <f t="array" aca="1" ref="BN40" ca="1">IFERROR(IF(BM40&lt;&gt;"",IF(BM40&lt;&gt;0,INDEX(
INDIRECT("'シフト一覧（転載）'!"&amp;BM40&amp;":AK100"),1,
MATCH(1,INDEX((LEN(INDIRECT("'シフト一覧（転載）'!"&amp;BM40&amp;":AK100"))&gt;0)
*(INDIRECT("'シフト一覧（転載）'!"&amp;BM40&amp;":AK100")&lt;&gt;"休み"),1,0),0)),0),""),$F$9&amp;"保育無し")</f>
        <v>0</v>
      </c>
      <c r="BO40" s="20">
        <f t="array" aca="1" ref="BO40" ca="1">IFERROR(IF(BM40&lt;&gt;0,ADDRESS(ROW(INDIRECT(BM40)),
    COLUMN(INDIRECT(BM40)) - 1 +
    MATCH(1,INDEX((LEN(INDIRECT("'シフト一覧（転載）'!"&amp;BM40&amp;":AK100"))&gt;0)
            *(INDIRECT("'シフト一覧（転載）'!"&amp;BM40&amp;":AK100")&lt;&gt;"休み"),
            1,0),0)+1,4),0),"")</f>
        <v>0</v>
      </c>
      <c r="BP40" s="20">
        <f t="array" aca="1" ref="BP40" ca="1">IFERROR(IF(BO40&lt;&gt;"",IF(BO40&lt;&gt;0,INDEX(
INDIRECT("'シフト一覧（転載）'!"&amp;BO40&amp;":AK100"),1,
MATCH(1,INDEX((LEN(INDIRECT("'シフト一覧（転載）'!"&amp;BO40&amp;":AK100"))&gt;0)
*(INDIRECT("'シフト一覧（転載）'!"&amp;BO40&amp;":AK100")&lt;&gt;"休み"),1,0),0)),0),""),$F$9&amp;"保育無し")</f>
        <v>0</v>
      </c>
      <c r="BQ40" s="20">
        <f t="array" aca="1" ref="BQ40" ca="1">IFERROR(IF(BO40&lt;&gt;0,ADDRESS(ROW(INDIRECT(BO40)),
    COLUMN(INDIRECT(BO40)) - 1 +
    MATCH(1,INDEX((LEN(INDIRECT("'シフト一覧（転載）'!"&amp;BO40&amp;":AK100"))&gt;0)
            *(INDIRECT("'シフト一覧（転載）'!"&amp;BO40&amp;":AK100")&lt;&gt;"休み"),
            1,0),0)+1,4),0),"")</f>
        <v>0</v>
      </c>
      <c r="BR40" s="20">
        <f t="array" aca="1" ref="BR40" ca="1">IFERROR(IF(BQ40&lt;&gt;"",IF(BQ40&lt;&gt;0,INDEX(
INDIRECT("'シフト一覧（転載）'!"&amp;BQ40&amp;":AK100"),1,
MATCH(1,INDEX((LEN(INDIRECT("'シフト一覧（転載）'!"&amp;BQ40&amp;":AK100"))&gt;0)
*(INDIRECT("'シフト一覧（転載）'!"&amp;BQ40&amp;":AK100")&lt;&gt;"休み"),1,0),0)),0),""),$F$9&amp;"保育無し")</f>
        <v>0</v>
      </c>
      <c r="BS40" s="20">
        <f t="array" aca="1" ref="BS40" ca="1">IFERROR(IF(BQ40&lt;&gt;0,ADDRESS(ROW(INDIRECT(BQ40)),
    COLUMN(INDIRECT(BQ40)) - 1 +
    MATCH(1,INDEX((LEN(INDIRECT("'シフト一覧（転載）'!"&amp;BQ40&amp;":AK100"))&gt;0)
            *(INDIRECT("'シフト一覧（転載）'!"&amp;BQ40&amp;":AK100")&lt;&gt;"休み"),
            1,0),0)+1,4),0),"")</f>
        <v>0</v>
      </c>
      <c r="BT40" s="20">
        <f t="array" aca="1" ref="BT40" ca="1">IFERROR(IF(BS40&lt;&gt;"",IF(BS40&lt;&gt;0,INDEX(
INDIRECT("'シフト一覧（転載）'!"&amp;BS40&amp;":AK100"),1,
MATCH(1,INDEX((LEN(INDIRECT("'シフト一覧（転載）'!"&amp;BS40&amp;":AK100"))&gt;0)
*(INDIRECT("'シフト一覧（転載）'!"&amp;BS40&amp;":AK100")&lt;&gt;"休み"),1,0),0)),0),""),$F$9&amp;"保育無し")</f>
        <v>0</v>
      </c>
      <c r="BU40" s="20">
        <f t="array" aca="1" ref="BU40" ca="1">IFERROR(IF(BS40&lt;&gt;0,ADDRESS(ROW(INDIRECT(BS40)),
    COLUMN(INDIRECT(BS40)) - 1 +
    MATCH(1,INDEX((LEN(INDIRECT("'シフト一覧（転載）'!"&amp;BS40&amp;":AK100"))&gt;0)
            *(INDIRECT("'シフト一覧（転載）'!"&amp;BS40&amp;":AK100")&lt;&gt;"休み"),
            1,0),0)+1,4),0),"")</f>
        <v>0</v>
      </c>
      <c r="BV40" s="20">
        <f t="array" aca="1" ref="BV40" ca="1">IFERROR(IF(BU40&lt;&gt;"",IF(BU40&lt;&gt;0,INDEX(
INDIRECT("'シフト一覧（転載）'!"&amp;BU40&amp;":AK100"),1,
MATCH(1,INDEX((LEN(INDIRECT("'シフト一覧（転載）'!"&amp;BU40&amp;":AK100"))&gt;0)
*(INDIRECT("'シフト一覧（転載）'!"&amp;BU40&amp;":AK100")&lt;&gt;"休み"),1,0),0)),0),""),$F$9&amp;"保育無し")</f>
        <v>0</v>
      </c>
      <c r="BW40" s="20">
        <f t="array" aca="1" ref="BW40" ca="1">IFERROR(IF(BU40&lt;&gt;0,ADDRESS(ROW(INDIRECT(BU40)),
    COLUMN(INDIRECT(BU40)) - 1 +
    MATCH(1,INDEX((LEN(INDIRECT("'シフト一覧（転載）'!"&amp;BU40&amp;":AK100"))&gt;0)
            *(INDIRECT("'シフト一覧（転載）'!"&amp;BU40&amp;":AK100")&lt;&gt;"休み"),
            1,0),0)+1,4),0),"")</f>
        <v>0</v>
      </c>
      <c r="BX40" s="20">
        <f t="array" aca="1" ref="BX40" ca="1">IFERROR(IF(BW40&lt;&gt;"",IF(BW40&lt;&gt;0,INDEX(
INDIRECT("'シフト一覧（転載）'!"&amp;BW40&amp;":AK100"),1,
MATCH(1,INDEX((LEN(INDIRECT("'シフト一覧（転載）'!"&amp;BW40&amp;":AK100"))&gt;0)
*(INDIRECT("'シフト一覧（転載）'!"&amp;BW40&amp;":AK100")&lt;&gt;"休み"),1,0),0)),0),""),$F$9&amp;"保育無し")</f>
        <v>0</v>
      </c>
      <c r="BY40" s="20">
        <f t="array" aca="1" ref="BY40" ca="1">IFERROR(IF(BW40&lt;&gt;0,ADDRESS(ROW(INDIRECT(BW40)),
    COLUMN(INDIRECT(BW40)) - 1 +
    MATCH(1,INDEX((LEN(INDIRECT("'シフト一覧（転載）'!"&amp;BW40&amp;":AK100"))&gt;0)
            *(INDIRECT("'シフト一覧（転載）'!"&amp;BW40&amp;":AK100")&lt;&gt;"休み"),
            1,0),0)+1,4),0),"")</f>
        <v>0</v>
      </c>
    </row>
    <row r="41" spans="1:77" ht="19.8" customHeight="1" x14ac:dyDescent="0.2">
      <c r="A41" s="44">
        <f>IF(A40&lt;&gt;0,IF($B$9&gt;A40,A40+1,0),0)</f>
        <v>0</v>
      </c>
      <c r="B41" s="50" t="str" cm="1">
        <f t="array" aca="1" ref="B41" ca="1">IFERROR(_xlfn.TEXTJOIN("", TRUE, IF(ISERR(MID(INDIRECT("'Page_" &amp; A41 &amp; "'!C2"), ROW(INDIRECT("1:" &amp; LEN(INDIRECT("'Page_" &amp; A41 &amp; "'!C2")))), 1)*1), MID(INDIRECT("'Page_" &amp; A41 &amp; "'!C2"), ROW(INDIRECT("1:" &amp; LEN(INDIRECT("'Page_" &amp; A41 &amp; "'!C2")))), 1), "")),"")</f>
        <v/>
      </c>
      <c r="C41" s="51" t="str" cm="1">
        <f t="array" aca="1" ref="C41" ca="1">IFERROR(IF(INDIRECT("'Page_" &amp; A41 &amp; "'!E2")&lt;&gt;"",INDIRECT("'Page_" &amp; A41 &amp; "'!E2"),INDIRECT("'Page_" &amp; A41 &amp; "'!D2")),"")</f>
        <v/>
      </c>
      <c r="D41" s="60" t="str" cm="1">
        <f t="array" aca="1" ref="D41" ca="1">IFERROR(IF(INDIRECT("'Page_" &amp; A41 &amp; "'!Q3")&lt;&gt;"",INDIRECT("'Page_" &amp; A41 &amp; "'!Q3"),INDIRECT("'Page_" &amp; A41 &amp; "'!P3")),"")</f>
        <v/>
      </c>
      <c r="E41" s="40">
        <f t="shared" ca="1" si="2"/>
        <v>0</v>
      </c>
      <c r="F41" s="29" t="str">
        <f t="shared" ca="1" si="3"/>
        <v/>
      </c>
      <c r="G41" s="26" t="str">
        <f t="shared" ca="1" si="11"/>
        <v/>
      </c>
      <c r="H41" s="64" t="str" cm="1">
        <f t="array" aca="1" ref="H41" ca="1">IF(B41&lt;&gt;"",IFERROR(INDEX('シフト一覧（転載）'!$C$8:$C$100,
MATCH(1, (ISNUMBER(SEARCH(B41,'シフト一覧（転載）'!$A$8:$A$100)))
*(ISNUMBER(SEARCH($F$9,'シフト一覧（転載）'!$B$8:$B$100))), 0)),""),"")</f>
        <v/>
      </c>
      <c r="I41" s="55" t="str">
        <f t="shared" ca="1" si="12"/>
        <v/>
      </c>
      <c r="J41" s="26" t="str" cm="1">
        <f t="array" aca="1" ref="J41" ca="1">IF(B41&lt;&gt;"",IFERROR(SUM(INDIRECT("'Page_" &amp; A41 &amp; "'!K"&amp;MATCH("有休",INDIRECT("'Page_" &amp; A41 &amp; "'!K:K"),0)+2&amp;"")
+INDIRECT("'Page_" &amp; A41 &amp; "'!L"&amp;MATCH("特休",INDIRECT("'Page_" &amp; A41 &amp; "'!L:L"),0)+2&amp;""))*24,0),"")</f>
        <v/>
      </c>
      <c r="K41" s="61"/>
      <c r="M41" s="104"/>
      <c r="N41" s="102"/>
      <c r="O41" s="107"/>
      <c r="P41" s="21">
        <f t="array" aca="1" ref="P41" ca="1">IFERROR(IF(M40&lt;&gt;"",INDEX('シフト一覧（転載）'!$F$8:$AK$100,
    MATCH(1,(ISNUMBER(SEARCH(M40,'シフト一覧（転載）'!$A$8:$A$100)))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MATCH(1,(ISNUMBER(SEARCH(M40,'シフト一覧（転載）'!$A$8:$A$100)))
                *(ISNUMBER(SEARCH($F$9,'シフト一覧（転載）'!$B$8:$B$100))),
                0),0),0)),0),"")</f>
        <v>0</v>
      </c>
      <c r="Q41" s="21">
        <f ca="1">IF(P40=0,0,
IF(OR(P40="",COUNTIF(P40,"*保育無し*")),"",
IF(MOD(P41-P40,1)*24&gt;=8,1,
IF(MOD(P41-P40,1)*24&gt;=6,0.75,0))))</f>
        <v>0</v>
      </c>
      <c r="R41" s="21">
        <f t="array" aca="1" ref="R41" ca="1">IFERROR(IF(Q40&lt;&gt;0,INDEX(
INDIRECT("'シフト一覧（転載）'!"&amp;Q40&amp;":AK100"),1+1,
MATCH(1,INDEX((LEN(INDIRECT("'シフト一覧（転載）'!"&amp;Q40&amp;":AK100"))&gt;0)
*(INDIRECT("'シフト一覧（転載）'!"&amp;Q40&amp;":AK100")&lt;&gt;"休み"),1,0),0)),0),"")</f>
        <v>0</v>
      </c>
      <c r="S41" s="21">
        <f ca="1">IF(R40=0,0,
IF(OR(R40="",COUNTIF(R40,"*保育無し*")),"",
IF(MOD(R41-R40,1)*24&gt;=8,1,
IF(MOD(R41-R40,1)*24&gt;=6,0.75,0))))</f>
        <v>0</v>
      </c>
      <c r="T41" s="21">
        <f t="array" aca="1" ref="T41" ca="1">IFERROR(IF(S40&lt;&gt;0,INDEX(
INDIRECT("'シフト一覧（転載）'!"&amp;S40&amp;":AK100"),1+1,
MATCH(1,INDEX((LEN(INDIRECT("'シフト一覧（転載）'!"&amp;S40&amp;":AK100"))&gt;0)
*(INDIRECT("'シフト一覧（転載）'!"&amp;S40&amp;":AK100")&lt;&gt;"休み"),1,0),0)),0),"")</f>
        <v>0</v>
      </c>
      <c r="U41" s="21">
        <f ca="1">IF(T40=0,0,
IF(OR(T40="",COUNTIF(T40,"*保育無し*")),"",
IF(MOD(T41-T40,1)*24&gt;=8,1,
IF(MOD(T41-T40,1)*24&gt;=6,0.75,0))))</f>
        <v>0</v>
      </c>
      <c r="V41" s="21">
        <f t="array" aca="1" ref="V41" ca="1">IFERROR(IF(U40&lt;&gt;0,INDEX(
INDIRECT("'シフト一覧（転載）'!"&amp;U40&amp;":AK100"),1+1,
MATCH(1,INDEX((LEN(INDIRECT("'シフト一覧（転載）'!"&amp;U40&amp;":AK100"))&gt;0)
*(INDIRECT("'シフト一覧（転載）'!"&amp;U40&amp;":AK100")&lt;&gt;"休み"),1,0),0)),0),"")</f>
        <v>0</v>
      </c>
      <c r="W41" s="21">
        <f ca="1">IF(V40=0,0,
IF(OR(V40="",COUNTIF(V40,"*保育無し*")),"",
IF(MOD(V41-V40,1)*24&gt;=8,1,
IF(MOD(V41-V40,1)*24&gt;=6,0.75,0))))</f>
        <v>0</v>
      </c>
      <c r="X41" s="21">
        <f t="array" aca="1" ref="X41" ca="1">IFERROR(IF(W40&lt;&gt;0,INDEX(
INDIRECT("'シフト一覧（転載）'!"&amp;W40&amp;":AK100"),1+1,
MATCH(1,INDEX((LEN(INDIRECT("'シフト一覧（転載）'!"&amp;W40&amp;":AK100"))&gt;0)
*(INDIRECT("'シフト一覧（転載）'!"&amp;W40&amp;":AK100")&lt;&gt;"休み"),1,0),0)),0),"")</f>
        <v>0</v>
      </c>
      <c r="Y41" s="21">
        <f ca="1">IF(X40=0,0,
IF(OR(X40="",COUNTIF(X40,"*保育無し*")),"",
IF(MOD(X41-X40,1)*24&gt;=8,1,
IF(MOD(X41-X40,1)*24&gt;=6,0.75,0))))</f>
        <v>0</v>
      </c>
      <c r="Z41" s="21">
        <f t="array" aca="1" ref="Z41" ca="1">IFERROR(IF(Y40&lt;&gt;0,INDEX(
INDIRECT("'シフト一覧（転載）'!"&amp;Y40&amp;":AK100"),1+1,
MATCH(1,INDEX((LEN(INDIRECT("'シフト一覧（転載）'!"&amp;Y40&amp;":AK100"))&gt;0)
*(INDIRECT("'シフト一覧（転載）'!"&amp;Y40&amp;":AK100")&lt;&gt;"休み"),1,0),0)),0),"")</f>
        <v>0</v>
      </c>
      <c r="AA41" s="21">
        <f ca="1">IF(Z40=0,0,
IF(OR(Z40="",COUNTIF(Z40,"*保育無し*")),"",
IF(MOD(Z41-Z40,1)*24&gt;=8,1,
IF(MOD(Z41-Z40,1)*24&gt;=6,0.75,0))))</f>
        <v>0</v>
      </c>
      <c r="AB41" s="21">
        <f t="array" aca="1" ref="AB41" ca="1">IFERROR(IF(AA40&lt;&gt;0,INDEX(
INDIRECT("'シフト一覧（転載）'!"&amp;AA40&amp;":AK100"),1+1,
MATCH(1,INDEX((LEN(INDIRECT("'シフト一覧（転載）'!"&amp;AA40&amp;":AK100"))&gt;0)
*(INDIRECT("'シフト一覧（転載）'!"&amp;AA40&amp;":AK100")&lt;&gt;"休み"),1,0),0)),0),"")</f>
        <v>0</v>
      </c>
      <c r="AC41" s="21">
        <f ca="1">IF(AB40=0,0,
IF(OR(AB40="",COUNTIF(AB40,"*保育無し*")),"",
IF(MOD(AB41-AB40,1)*24&gt;=8,1,
IF(MOD(AB41-AB40,1)*24&gt;=6,0.75,0))))</f>
        <v>0</v>
      </c>
      <c r="AD41" s="21">
        <f t="array" aca="1" ref="AD41" ca="1">IFERROR(IF(AC40&lt;&gt;0,INDEX(
INDIRECT("'シフト一覧（転載）'!"&amp;AC40&amp;":AK100"),1+1,
MATCH(1,INDEX((LEN(INDIRECT("'シフト一覧（転載）'!"&amp;AC40&amp;":AK100"))&gt;0)
*(INDIRECT("'シフト一覧（転載）'!"&amp;AC40&amp;":AK100")&lt;&gt;"休み"),1,0),0)),0),"")</f>
        <v>0</v>
      </c>
      <c r="AE41" s="21">
        <f ca="1">IF(AD40=0,0,
IF(OR(AD40="",COUNTIF(AD40,"*保育無し*")),"",
IF(MOD(AD41-AD40,1)*24&gt;=8,1,
IF(MOD(AD41-AD40,1)*24&gt;=6,0.75,0))))</f>
        <v>0</v>
      </c>
      <c r="AF41" s="21">
        <f t="array" aca="1" ref="AF41" ca="1">IFERROR(IF(AE40&lt;&gt;0,INDEX(
INDIRECT("'シフト一覧（転載）'!"&amp;AE40&amp;":AK100"),1+1,
MATCH(1,INDEX((LEN(INDIRECT("'シフト一覧（転載）'!"&amp;AE40&amp;":AK100"))&gt;0)
*(INDIRECT("'シフト一覧（転載）'!"&amp;AE40&amp;":AK100")&lt;&gt;"休み"),1,0),0)),0),"")</f>
        <v>0</v>
      </c>
      <c r="AG41" s="21">
        <f ca="1">IF(AF40=0,0,
IF(OR(AF40="",COUNTIF(AF40,"*保育無し*")),"",
IF(MOD(AF41-AF40,1)*24&gt;=8,1,
IF(MOD(AF41-AF40,1)*24&gt;=6,0.75,0))))</f>
        <v>0</v>
      </c>
      <c r="AH41" s="21">
        <f t="array" aca="1" ref="AH41" ca="1">IFERROR(IF(AG40&lt;&gt;0,INDEX(
INDIRECT("'シフト一覧（転載）'!"&amp;AG40&amp;":AK100"),1+1,
MATCH(1,INDEX((LEN(INDIRECT("'シフト一覧（転載）'!"&amp;AG40&amp;":AK100"))&gt;0)
*(INDIRECT("'シフト一覧（転載）'!"&amp;AG40&amp;":AK100")&lt;&gt;"休み"),1,0),0)),0),"")</f>
        <v>0</v>
      </c>
      <c r="AI41" s="21">
        <f ca="1">IF(AH40=0,0,
IF(OR(AH40="",COUNTIF(AH40,"*保育無し*")),"",
IF(MOD(AH41-AH40,1)*24&gt;=8,1,
IF(MOD(AH41-AH40,1)*24&gt;=6,0.75,0))))</f>
        <v>0</v>
      </c>
      <c r="AJ41" s="21">
        <f t="array" aca="1" ref="AJ41" ca="1">IFERROR(IF(AI40&lt;&gt;0,INDEX(
INDIRECT("'シフト一覧（転載）'!"&amp;AI40&amp;":AK100"),1+1,
MATCH(1,INDEX((LEN(INDIRECT("'シフト一覧（転載）'!"&amp;AI40&amp;":AK100"))&gt;0)
*(INDIRECT("'シフト一覧（転載）'!"&amp;AI40&amp;":AK100")&lt;&gt;"休み"),1,0),0)),0),"")</f>
        <v>0</v>
      </c>
      <c r="AK41" s="21">
        <f ca="1">IF(AJ40=0,0,
IF(OR(AJ40="",COUNTIF(AJ40,"*保育無し*")),"",
IF(MOD(AJ41-AJ40,1)*24&gt;=8,1,
IF(MOD(AJ41-AJ40,1)*24&gt;=6,0.75,0))))</f>
        <v>0</v>
      </c>
      <c r="AL41" s="21">
        <f t="array" aca="1" ref="AL41" ca="1">IFERROR(IF(AK40&lt;&gt;0,INDEX(
INDIRECT("'シフト一覧（転載）'!"&amp;AK40&amp;":AK100"),1+1,
MATCH(1,INDEX((LEN(INDIRECT("'シフト一覧（転載）'!"&amp;AK40&amp;":AK100"))&gt;0)
*(INDIRECT("'シフト一覧（転載）'!"&amp;AK40&amp;":AK100")&lt;&gt;"休み"),1,0),0)),0),"")</f>
        <v>0</v>
      </c>
      <c r="AM41" s="21">
        <f ca="1">IF(AL40=0,0,
IF(OR(AL40="",COUNTIF(AL40,"*保育無し*")),"",
IF(MOD(AL41-AL40,1)*24&gt;=8,1,
IF(MOD(AL41-AL40,1)*24&gt;=6,0.75,0))))</f>
        <v>0</v>
      </c>
      <c r="AN41" s="21">
        <f t="array" aca="1" ref="AN41" ca="1">IFERROR(IF(AM40&lt;&gt;0,INDEX(
INDIRECT("'シフト一覧（転載）'!"&amp;AM40&amp;":AK100"),1+1,
MATCH(1,INDEX((LEN(INDIRECT("'シフト一覧（転載）'!"&amp;AM40&amp;":AK100"))&gt;0)
*(INDIRECT("'シフト一覧（転載）'!"&amp;AM40&amp;":AK100")&lt;&gt;"休み"),1,0),0)),0),"")</f>
        <v>0</v>
      </c>
      <c r="AO41" s="21">
        <f ca="1">IF(AN40=0,0,
IF(OR(AN40="",COUNTIF(AN40,"*保育無し*")),"",
IF(MOD(AN41-AN40,1)*24&gt;=8,1,
IF(MOD(AN41-AN40,1)*24&gt;=6,0.75,0))))</f>
        <v>0</v>
      </c>
      <c r="AP41" s="21">
        <f t="array" aca="1" ref="AP41" ca="1">IFERROR(IF(AO40&lt;&gt;0,INDEX(
INDIRECT("'シフト一覧（転載）'!"&amp;AO40&amp;":AK100"),1+1,
MATCH(1,INDEX((LEN(INDIRECT("'シフト一覧（転載）'!"&amp;AO40&amp;":AK100"))&gt;0)
*(INDIRECT("'シフト一覧（転載）'!"&amp;AO40&amp;":AK100")&lt;&gt;"休み"),1,0),0)),0),"")</f>
        <v>0</v>
      </c>
      <c r="AQ41" s="21">
        <f ca="1">IF(AP40=0,0,
IF(OR(AP40="",COUNTIF(AP40,"*保育無し*")),"",
IF(MOD(AP41-AP40,1)*24&gt;=8,1,
IF(MOD(AP41-AP40,1)*24&gt;=6,0.75,0))))</f>
        <v>0</v>
      </c>
      <c r="AR41" s="21">
        <f t="array" aca="1" ref="AR41" ca="1">IFERROR(IF(AQ40&lt;&gt;0,INDEX(
INDIRECT("'シフト一覧（転載）'!"&amp;AQ40&amp;":AK100"),1+1,
MATCH(1,INDEX((LEN(INDIRECT("'シフト一覧（転載）'!"&amp;AQ40&amp;":AK100"))&gt;0)
*(INDIRECT("'シフト一覧（転載）'!"&amp;AQ40&amp;":AK100")&lt;&gt;"休み"),1,0),0)),0),"")</f>
        <v>0</v>
      </c>
      <c r="AS41" s="21">
        <f ca="1">IF(AR40=0,0,
IF(OR(AR40="",COUNTIF(AR40,"*保育無し*")),"",
IF(MOD(AR41-AR40,1)*24&gt;=8,1,
IF(MOD(AR41-AR40,1)*24&gt;=6,0.75,0))))</f>
        <v>0</v>
      </c>
      <c r="AT41" s="21">
        <f t="array" aca="1" ref="AT41" ca="1">IFERROR(IF(AS40&lt;&gt;0,INDEX(
INDIRECT("'シフト一覧（転載）'!"&amp;AS40&amp;":AK100"),1+1,
MATCH(1,INDEX((LEN(INDIRECT("'シフト一覧（転載）'!"&amp;AS40&amp;":AK100"))&gt;0)
*(INDIRECT("'シフト一覧（転載）'!"&amp;AS40&amp;":AK100")&lt;&gt;"休み"),1,0),0)),0),"")</f>
        <v>0</v>
      </c>
      <c r="AU41" s="21">
        <f ca="1">IF(AT40=0,0,
IF(OR(AT40="",COUNTIF(AT40,"*保育無し*")),"",
IF(MOD(AT41-AT40,1)*24&gt;=8,1,
IF(MOD(AT41-AT40,1)*24&gt;=6,0.75,0))))</f>
        <v>0</v>
      </c>
      <c r="AV41" s="21">
        <f t="array" aca="1" ref="AV41" ca="1">IFERROR(IF(AU40&lt;&gt;0,INDEX(
INDIRECT("'シフト一覧（転載）'!"&amp;AU40&amp;":AK100"),1+1,
MATCH(1,INDEX((LEN(INDIRECT("'シフト一覧（転載）'!"&amp;AU40&amp;":AK100"))&gt;0)
*(INDIRECT("'シフト一覧（転載）'!"&amp;AU40&amp;":AK100")&lt;&gt;"休み"),1,0),0)),0),"")</f>
        <v>0</v>
      </c>
      <c r="AW41" s="21">
        <f ca="1">IF(AV40=0,0,
IF(OR(AV40="",COUNTIF(AV40,"*保育無し*")),"",
IF(MOD(AV41-AV40,1)*24&gt;=8,1,
IF(MOD(AV41-AV40,1)*24&gt;=6,0.75,0))))</f>
        <v>0</v>
      </c>
      <c r="AX41" s="21">
        <f t="array" aca="1" ref="AX41" ca="1">IFERROR(IF(AW40&lt;&gt;0,INDEX(
INDIRECT("'シフト一覧（転載）'!"&amp;AW40&amp;":AK100"),1+1,
MATCH(1,INDEX((LEN(INDIRECT("'シフト一覧（転載）'!"&amp;AW40&amp;":AK100"))&gt;0)
*(INDIRECT("'シフト一覧（転載）'!"&amp;AW40&amp;":AK100")&lt;&gt;"休み"),1,0),0)),0),"")</f>
        <v>0</v>
      </c>
      <c r="AY41" s="21">
        <f ca="1">IF(AX40=0,0,
IF(OR(AX40="",COUNTIF(AX40,"*保育無し*")),"",
IF(MOD(AX41-AX40,1)*24&gt;=8,1,
IF(MOD(AX41-AX40,1)*24&gt;=6,0.75,0))))</f>
        <v>0</v>
      </c>
      <c r="AZ41" s="21">
        <f t="array" aca="1" ref="AZ41" ca="1">IFERROR(IF(AY40&lt;&gt;0,INDEX(
INDIRECT("'シフト一覧（転載）'!"&amp;AY40&amp;":AK100"),1+1,
MATCH(1,INDEX((LEN(INDIRECT("'シフト一覧（転載）'!"&amp;AY40&amp;":AK100"))&gt;0)
*(INDIRECT("'シフト一覧（転載）'!"&amp;AY40&amp;":AK100")&lt;&gt;"休み"),1,0),0)),0),"")</f>
        <v>0</v>
      </c>
      <c r="BA41" s="21">
        <f ca="1">IF(AZ40=0,0,
IF(OR(AZ40="",COUNTIF(AZ40,"*保育無し*")),"",
IF(MOD(AZ41-AZ40,1)*24&gt;=8,1,
IF(MOD(AZ41-AZ40,1)*24&gt;=6,0.75,0))))</f>
        <v>0</v>
      </c>
      <c r="BB41" s="21">
        <f t="array" aca="1" ref="BB41" ca="1">IFERROR(IF(BA40&lt;&gt;0,INDEX(
INDIRECT("'シフト一覧（転載）'!"&amp;BA40&amp;":AK100"),1+1,
MATCH(1,INDEX((LEN(INDIRECT("'シフト一覧（転載）'!"&amp;BA40&amp;":AK100"))&gt;0)
*(INDIRECT("'シフト一覧（転載）'!"&amp;BA40&amp;":AK100")&lt;&gt;"休み"),1,0),0)),0),"")</f>
        <v>0</v>
      </c>
      <c r="BC41" s="21">
        <f ca="1">IF(BB40=0,0,
IF(OR(BB40="",COUNTIF(BB40,"*保育無し*")),"",
IF(MOD(BB41-BB40,1)*24&gt;=8,1,
IF(MOD(BB41-BB40,1)*24&gt;=6,0.75,0))))</f>
        <v>0</v>
      </c>
      <c r="BD41" s="21">
        <f t="array" aca="1" ref="BD41" ca="1">IFERROR(IF(BC40&lt;&gt;0,INDEX(
INDIRECT("'シフト一覧（転載）'!"&amp;BC40&amp;":AK100"),1+1,
MATCH(1,INDEX((LEN(INDIRECT("'シフト一覧（転載）'!"&amp;BC40&amp;":AK100"))&gt;0)
*(INDIRECT("'シフト一覧（転載）'!"&amp;BC40&amp;":AK100")&lt;&gt;"休み"),1,0),0)),0),"")</f>
        <v>0</v>
      </c>
      <c r="BE41" s="21">
        <f ca="1">IF(BD40=0,0,
IF(OR(BD40="",COUNTIF(BD40,"*保育無し*")),"",
IF(MOD(BD41-BD40,1)*24&gt;=8,1,
IF(MOD(BD41-BD40,1)*24&gt;=6,0.75,0))))</f>
        <v>0</v>
      </c>
      <c r="BF41" s="21">
        <f t="array" aca="1" ref="BF41" ca="1">IFERROR(IF(BE40&lt;&gt;0,INDEX(
INDIRECT("'シフト一覧（転載）'!"&amp;BE40&amp;":AK100"),1+1,
MATCH(1,INDEX((LEN(INDIRECT("'シフト一覧（転載）'!"&amp;BE40&amp;":AK100"))&gt;0)
*(INDIRECT("'シフト一覧（転載）'!"&amp;BE40&amp;":AK100")&lt;&gt;"休み"),1,0),0)),0),"")</f>
        <v>0</v>
      </c>
      <c r="BG41" s="21">
        <f ca="1">IF(BF40=0,0,
IF(OR(BF40="",COUNTIF(BF40,"*保育無し*")),"",
IF(MOD(BF41-BF40,1)*24&gt;=8,1,
IF(MOD(BF41-BF40,1)*24&gt;=6,0.75,0))))</f>
        <v>0</v>
      </c>
      <c r="BH41" s="21">
        <f t="array" aca="1" ref="BH41" ca="1">IFERROR(IF(BG40&lt;&gt;0,INDEX(
INDIRECT("'シフト一覧（転載）'!"&amp;BG40&amp;":AK100"),1+1,
MATCH(1,INDEX((LEN(INDIRECT("'シフト一覧（転載）'!"&amp;BG40&amp;":AK100"))&gt;0)
*(INDIRECT("'シフト一覧（転載）'!"&amp;BG40&amp;":AK100")&lt;&gt;"休み"),1,0),0)),0),"")</f>
        <v>0</v>
      </c>
      <c r="BI41" s="21">
        <f ca="1">IF(BH40=0,0,
IF(OR(BH40="",COUNTIF(BH40,"*保育無し*")),"",
IF(MOD(BH41-BH40,1)*24&gt;=8,1,
IF(MOD(BH41-BH40,1)*24&gt;=6,0.75,0))))</f>
        <v>0</v>
      </c>
      <c r="BJ41" s="21">
        <f t="array" aca="1" ref="BJ41" ca="1">IFERROR(IF(BI40&lt;&gt;0,INDEX(
INDIRECT("'シフト一覧（転載）'!"&amp;BI40&amp;":AK100"),1+1,
MATCH(1,INDEX((LEN(INDIRECT("'シフト一覧（転載）'!"&amp;BI40&amp;":AK100"))&gt;0)
*(INDIRECT("'シフト一覧（転載）'!"&amp;BI40&amp;":AK100")&lt;&gt;"休み"),1,0),0)),0),"")</f>
        <v>0</v>
      </c>
      <c r="BK41" s="21">
        <f ca="1">IF(BJ40=0,0,
IF(OR(BJ40="",COUNTIF(BJ40,"*保育無し*")),"",
IF(MOD(BJ41-BJ40,1)*24&gt;=8,1,
IF(MOD(BJ41-BJ40,1)*24&gt;=6,0.75,0))))</f>
        <v>0</v>
      </c>
      <c r="BL41" s="21">
        <f t="array" aca="1" ref="BL41" ca="1">IFERROR(IF(BK40&lt;&gt;0,INDEX(
INDIRECT("'シフト一覧（転載）'!"&amp;BK40&amp;":AK100"),1+1,
MATCH(1,INDEX((LEN(INDIRECT("'シフト一覧（転載）'!"&amp;BK40&amp;":AK100"))&gt;0)
*(INDIRECT("'シフト一覧（転載）'!"&amp;BK40&amp;":AK100")&lt;&gt;"休み"),1,0),0)),0),"")</f>
        <v>0</v>
      </c>
      <c r="BM41" s="21">
        <f ca="1">IF(BL40=0,0,
IF(OR(BL40="",COUNTIF(BL40,"*保育無し*")),"",
IF(MOD(BL41-BL40,1)*24&gt;=8,1,
IF(MOD(BL41-BL40,1)*24&gt;=6,0.75,0))))</f>
        <v>0</v>
      </c>
      <c r="BN41" s="21">
        <f t="array" aca="1" ref="BN41" ca="1">IFERROR(IF(BM40&lt;&gt;0,INDEX(
INDIRECT("'シフト一覧（転載）'!"&amp;BM40&amp;":AK100"),1+1,
MATCH(1,INDEX((LEN(INDIRECT("'シフト一覧（転載）'!"&amp;BM40&amp;":AK100"))&gt;0)
*(INDIRECT("'シフト一覧（転載）'!"&amp;BM40&amp;":AK100")&lt;&gt;"休み"),1,0),0)),0),"")</f>
        <v>0</v>
      </c>
      <c r="BO41" s="21">
        <f ca="1">IF(BN40=0,0,
IF(OR(BN40="",COUNTIF(BN40,"*保育無し*")),"",
IF(MOD(BN41-BN40,1)*24&gt;=8,1,
IF(MOD(BN41-BN40,1)*24&gt;=6,0.75,0))))</f>
        <v>0</v>
      </c>
      <c r="BP41" s="21">
        <f t="array" aca="1" ref="BP41" ca="1">IFERROR(IF(BO40&lt;&gt;0,INDEX(
INDIRECT("'シフト一覧（転載）'!"&amp;BO40&amp;":AK100"),1+1,
MATCH(1,INDEX((LEN(INDIRECT("'シフト一覧（転載）'!"&amp;BO40&amp;":AK100"))&gt;0)
*(INDIRECT("'シフト一覧（転載）'!"&amp;BO40&amp;":AK100")&lt;&gt;"休み"),1,0),0)),0),"")</f>
        <v>0</v>
      </c>
      <c r="BQ41" s="21">
        <f ca="1">IF(BP40=0,0,
IF(OR(BP40="",COUNTIF(BP40,"*保育無し*")),"",
IF(MOD(BP41-BP40,1)*24&gt;=8,1,
IF(MOD(BP41-BP40,1)*24&gt;=6,0.75,0))))</f>
        <v>0</v>
      </c>
      <c r="BR41" s="21">
        <f t="array" aca="1" ref="BR41" ca="1">IFERROR(IF(BQ40&lt;&gt;0,INDEX(
INDIRECT("'シフト一覧（転載）'!"&amp;BQ40&amp;":AK100"),1+1,
MATCH(1,INDEX((LEN(INDIRECT("'シフト一覧（転載）'!"&amp;BQ40&amp;":AK100"))&gt;0)
*(INDIRECT("'シフト一覧（転載）'!"&amp;BQ40&amp;":AK100")&lt;&gt;"休み"),1,0),0)),0),"")</f>
        <v>0</v>
      </c>
      <c r="BS41" s="21">
        <f ca="1">IF(BR40=0,0,
IF(OR(BR40="",COUNTIF(BR40,"*保育無し*")),"",
IF(MOD(BR41-BR40,1)*24&gt;=8,1,
IF(MOD(BR41-BR40,1)*24&gt;=6,0.75,0))))</f>
        <v>0</v>
      </c>
      <c r="BT41" s="21">
        <f t="array" aca="1" ref="BT41" ca="1">IFERROR(IF(BS40&lt;&gt;0,INDEX(
INDIRECT("'シフト一覧（転載）'!"&amp;BS40&amp;":AK100"),1+1,
MATCH(1,INDEX((LEN(INDIRECT("'シフト一覧（転載）'!"&amp;BS40&amp;":AK100"))&gt;0)
*(INDIRECT("'シフト一覧（転載）'!"&amp;BS40&amp;":AK100")&lt;&gt;"休み"),1,0),0)),0),"")</f>
        <v>0</v>
      </c>
      <c r="BU41" s="21">
        <f ca="1">IF(BT40=0,0,
IF(OR(BT40="",COUNTIF(BT40,"*保育無し*")),"",
IF(MOD(BT41-BT40,1)*24&gt;=8,1,
IF(MOD(BT41-BT40,1)*24&gt;=6,0.75,0))))</f>
        <v>0</v>
      </c>
      <c r="BV41" s="21">
        <f t="array" aca="1" ref="BV41" ca="1">IFERROR(IF(BU40&lt;&gt;0,INDEX(
INDIRECT("'シフト一覧（転載）'!"&amp;BU40&amp;":AK100"),1+1,
MATCH(1,INDEX((LEN(INDIRECT("'シフト一覧（転載）'!"&amp;BU40&amp;":AK100"))&gt;0)
*(INDIRECT("'シフト一覧（転載）'!"&amp;BU40&amp;":AK100")&lt;&gt;"休み"),1,0),0)),0),"")</f>
        <v>0</v>
      </c>
      <c r="BW41" s="21">
        <f ca="1">IF(BV40=0,0,
IF(OR(BV40="",COUNTIF(BV40,"*保育無し*")),"",
IF(MOD(BV41-BV40,1)*24&gt;=8,1,
IF(MOD(BV41-BV40,1)*24&gt;=6,0.75,0))))</f>
        <v>0</v>
      </c>
      <c r="BX41" s="21">
        <f t="array" aca="1" ref="BX41" ca="1">IFERROR(IF(BW40&lt;&gt;0,INDEX(
INDIRECT("'シフト一覧（転載）'!"&amp;BW40&amp;":AK100"),1+1,
MATCH(1,INDEX((LEN(INDIRECT("'シフト一覧（転載）'!"&amp;BW40&amp;":AK100"))&gt;0)
*(INDIRECT("'シフト一覧（転載）'!"&amp;BW40&amp;":AK100")&lt;&gt;"休み"),1,0),0)),0),"")</f>
        <v>0</v>
      </c>
      <c r="BY41" s="21">
        <f ca="1">IF(BX40=0,0,
IF(OR(BX40="",COUNTIF(BX40,"*保育無し*")),"",
IF(MOD(BX41-BX40,1)*24&gt;=8,1,
IF(MOD(BX41-BX40,1)*24&gt;=6,0.75,0))))</f>
        <v>0</v>
      </c>
    </row>
    <row r="42" spans="1:77" ht="19.8" customHeight="1" x14ac:dyDescent="0.2">
      <c r="M42" s="103" t="str" cm="1">
        <f t="array" aca="1" ref="M4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2" s="101" t="str">
        <f t="shared" ref="N42" ca="1" si="20">IF(M42&lt;&gt;"",VLOOKUP(M42,$B$12:$C$41,2,FALSE),"")</f>
        <v/>
      </c>
      <c r="O42" s="106" cm="1">
        <f t="array" aca="1" ref="O42" ca="1">IF(COUNTIF(P42,"*保育無*"),0,
SUM(IF(
MOD(COLUMN(INDIRECT("P"&amp; ROW() &amp; ":" &amp; ADDRESS(ROW(), IFERROR(MATCH("*保育無し*", INDIRECT("P"&amp; ROW() &amp; ":BY" &amp; ROW()), 0) + COLUMN(P42) - 2, COLUMN(BX42) + 1), 4))) - COLUMN(P42), 2) = 0,
MOD(INDIRECT("P"&amp; ROW()+1 &amp; ":" &amp; ADDRESS(ROW()+1, IFERROR(MATCH("*保育無し*", INDIRECT("P"&amp; ROW() &amp; ":BY" &amp; ROW()), 0) + COLUMN(P42) - 2, COLUMN(BX42) + 1), 4)) - INDIRECT("P"&amp; ROW() &amp; ":" &amp; ADDRESS(ROW(), IFERROR(MATCH("*保育無し*", INDIRECT("P"&amp; ROW() &amp; ":BY" &amp; ROW()), 0) + COLUMN(P42) - 2, COLUMN(BX42) + 1), 4)),1),0))*24
-SUM(_xlfn._xlws.FILTER(P43:BX43, MOD(COLUMN(P43:BX43) - COLUMN(P43), 2) = 1)))</f>
        <v>0</v>
      </c>
      <c r="P42" s="20">
        <f t="array" aca="1" ref="P42" ca="1">IFERROR(IF(M42&lt;&gt;"",INDEX('シフト一覧（転載）'!$F$8:$AK$100,
    MATCH(1,(ISNUMBER(SEARCH(M42,'シフト一覧（転載）'!$A$8:$A$100)))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MATCH(1,(ISNUMBER(SEARCH(M42,'シフト一覧（転載）'!$A$8:$A$100)))
                *(ISNUMBER(SEARCH($F$9,'シフト一覧（転載）'!$B$8:$B$100))),
                0),0),0)),0),$F$9&amp;"保育無し")</f>
        <v>0</v>
      </c>
      <c r="Q42" s="20">
        <f t="array" aca="1" ref="Q42" ca="1">IFERROR(IF(COUNTIF(P42,"*無*"),"",IF(M42&lt;&gt;"",ADDRESS(
    MATCH(1,(ISNUMBER(SEARCH(M42,'シフト一覧（転載）'!$A$8:$A$100)))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MATCH(1,(ISNUMBER(SEARCH(M42,'シフト一覧（転載）'!$A$8:$A$100)))
                *(ISNUMBER(SEARCH($F$9,'シフト一覧（転載）'!$B$8:$B$100))),0),0),0) + 6,4),0)),0)</f>
        <v>0</v>
      </c>
      <c r="R42" s="20">
        <f t="array" aca="1" ref="R42" ca="1">IFERROR(IF(Q42&lt;&gt;"",IF(Q42&lt;&gt;0,INDEX(
INDIRECT("'シフト一覧（転載）'!"&amp;Q42&amp;":AK100"),1,
MATCH(1,INDEX((LEN(INDIRECT("'シフト一覧（転載）'!"&amp;Q42&amp;":AK100"))&gt;0)
*(INDIRECT("'シフト一覧（転載）'!"&amp;Q42&amp;":AK100")&lt;&gt;"休み"),1,0),0)),0),""),$F$9&amp;"保育無し")</f>
        <v>0</v>
      </c>
      <c r="S42" s="20">
        <f t="array" aca="1" ref="S42" ca="1">IFERROR(IF(Q42&lt;&gt;0,ADDRESS(ROW(INDIRECT(Q42)),
    COLUMN(INDIRECT(Q42)) - 1 +
    MATCH(1,INDEX((LEN(INDIRECT("'シフト一覧（転載）'!"&amp;Q42&amp;":AK100"))&gt;0)
            *(INDIRECT("'シフト一覧（転載）'!"&amp;Q42&amp;":AK100")&lt;&gt;"休み"),
            1,0),0)+1,4),0),"")</f>
        <v>0</v>
      </c>
      <c r="T42" s="20">
        <f t="array" aca="1" ref="T42" ca="1">IFERROR(IF(S42&lt;&gt;"",IF(S42&lt;&gt;0,INDEX(
INDIRECT("'シフト一覧（転載）'!"&amp;S42&amp;":AK100"),1,
MATCH(1,INDEX((LEN(INDIRECT("'シフト一覧（転載）'!"&amp;S42&amp;":AK100"))&gt;0)
*(INDIRECT("'シフト一覧（転載）'!"&amp;S42&amp;":AK100")&lt;&gt;"休み"),1,0),0)),0),""),$F$9&amp;"保育無し")</f>
        <v>0</v>
      </c>
      <c r="U42" s="20">
        <f t="array" aca="1" ref="U42" ca="1">IFERROR(IF(S42&lt;&gt;0,ADDRESS(ROW(INDIRECT(S42)),
    COLUMN(INDIRECT(S42)) - 1 +
    MATCH(1,INDEX((LEN(INDIRECT("'シフト一覧（転載）'!"&amp;S42&amp;":AK100"))&gt;0)
            *(INDIRECT("'シフト一覧（転載）'!"&amp;S42&amp;":AK100")&lt;&gt;"休み"),
            1,0),0)+1,4),0),"")</f>
        <v>0</v>
      </c>
      <c r="V42" s="20">
        <f t="array" aca="1" ref="V42" ca="1">IFERROR(IF(U42&lt;&gt;"",IF(U42&lt;&gt;0,INDEX(
INDIRECT("'シフト一覧（転載）'!"&amp;U42&amp;":AK100"),1,
MATCH(1,INDEX((LEN(INDIRECT("'シフト一覧（転載）'!"&amp;U42&amp;":AK100"))&gt;0)
*(INDIRECT("'シフト一覧（転載）'!"&amp;U42&amp;":AK100")&lt;&gt;"休み"),1,0),0)),0),""),$F$9&amp;"保育無し")</f>
        <v>0</v>
      </c>
      <c r="W42" s="20">
        <f t="array" aca="1" ref="W42" ca="1">IFERROR(IF(U42&lt;&gt;0,ADDRESS(ROW(INDIRECT(U42)),
    COLUMN(INDIRECT(U42)) - 1 +
    MATCH(1,INDEX((LEN(INDIRECT("'シフト一覧（転載）'!"&amp;U42&amp;":AK100"))&gt;0)
            *(INDIRECT("'シフト一覧（転載）'!"&amp;U42&amp;":AK100")&lt;&gt;"休み"),
            1,0),0)+1,4),0),"")</f>
        <v>0</v>
      </c>
      <c r="X42" s="20">
        <f t="array" aca="1" ref="X42" ca="1">IFERROR(IF(W42&lt;&gt;"",IF(W42&lt;&gt;0,INDEX(
INDIRECT("'シフト一覧（転載）'!"&amp;W42&amp;":AK100"),1,
MATCH(1,INDEX((LEN(INDIRECT("'シフト一覧（転載）'!"&amp;W42&amp;":AK100"))&gt;0)
*(INDIRECT("'シフト一覧（転載）'!"&amp;W42&amp;":AK100")&lt;&gt;"休み"),1,0),0)),0),""),$F$9&amp;"保育無し")</f>
        <v>0</v>
      </c>
      <c r="Y42" s="20">
        <f t="array" aca="1" ref="Y42" ca="1">IFERROR(IF(W42&lt;&gt;0,ADDRESS(ROW(INDIRECT(W42)),
    COLUMN(INDIRECT(W42)) - 1 +
    MATCH(1,INDEX((LEN(INDIRECT("'シフト一覧（転載）'!"&amp;W42&amp;":AK100"))&gt;0)
            *(INDIRECT("'シフト一覧（転載）'!"&amp;W42&amp;":AK100")&lt;&gt;"休み"),
            1,0),0)+1,4),0),"")</f>
        <v>0</v>
      </c>
      <c r="Z42" s="20">
        <f t="array" aca="1" ref="Z42" ca="1">IFERROR(IF(Y42&lt;&gt;"",IF(Y42&lt;&gt;0,INDEX(
INDIRECT("'シフト一覧（転載）'!"&amp;Y42&amp;":AK100"),1,
MATCH(1,INDEX((LEN(INDIRECT("'シフト一覧（転載）'!"&amp;Y42&amp;":AK100"))&gt;0)
*(INDIRECT("'シフト一覧（転載）'!"&amp;Y42&amp;":AK100")&lt;&gt;"休み"),1,0),0)),0),""),$F$9&amp;"保育無し")</f>
        <v>0</v>
      </c>
      <c r="AA42" s="20">
        <f t="array" aca="1" ref="AA42" ca="1">IFERROR(IF(Y42&lt;&gt;0,ADDRESS(ROW(INDIRECT(Y42)),
    COLUMN(INDIRECT(Y42)) - 1 +
    MATCH(1,INDEX((LEN(INDIRECT("'シフト一覧（転載）'!"&amp;Y42&amp;":AK100"))&gt;0)
            *(INDIRECT("'シフト一覧（転載）'!"&amp;Y42&amp;":AK100")&lt;&gt;"休み"),
            1,0),0)+1,4),0),"")</f>
        <v>0</v>
      </c>
      <c r="AB42" s="20">
        <f t="array" aca="1" ref="AB42" ca="1">IFERROR(IF(AA42&lt;&gt;"",IF(AA42&lt;&gt;0,INDEX(
INDIRECT("'シフト一覧（転載）'!"&amp;AA42&amp;":AK100"),1,
MATCH(1,INDEX((LEN(INDIRECT("'シフト一覧（転載）'!"&amp;AA42&amp;":AK100"))&gt;0)
*(INDIRECT("'シフト一覧（転載）'!"&amp;AA42&amp;":AK100")&lt;&gt;"休み"),1,0),0)),0),""),$F$9&amp;"保育無し")</f>
        <v>0</v>
      </c>
      <c r="AC42" s="20">
        <f t="array" aca="1" ref="AC42" ca="1">IFERROR(IF(AA42&lt;&gt;0,ADDRESS(ROW(INDIRECT(AA42)),
    COLUMN(INDIRECT(AA42)) - 1 +
    MATCH(1,INDEX((LEN(INDIRECT("'シフト一覧（転載）'!"&amp;AA42&amp;":AK100"))&gt;0)
            *(INDIRECT("'シフト一覧（転載）'!"&amp;AA42&amp;":AK100")&lt;&gt;"休み"),
            1,0),0)+1,4),0),"")</f>
        <v>0</v>
      </c>
      <c r="AD42" s="20">
        <f t="array" aca="1" ref="AD42" ca="1">IFERROR(IF(AC42&lt;&gt;"",IF(AC42&lt;&gt;0,INDEX(
INDIRECT("'シフト一覧（転載）'!"&amp;AC42&amp;":AK100"),1,
MATCH(1,INDEX((LEN(INDIRECT("'シフト一覧（転載）'!"&amp;AC42&amp;":AK100"))&gt;0)
*(INDIRECT("'シフト一覧（転載）'!"&amp;AC42&amp;":AK100")&lt;&gt;"休み"),1,0),0)),0),""),$F$9&amp;"保育無し")</f>
        <v>0</v>
      </c>
      <c r="AE42" s="20">
        <f t="array" aca="1" ref="AE42" ca="1">IFERROR(IF(AC42&lt;&gt;0,ADDRESS(ROW(INDIRECT(AC42)),
    COLUMN(INDIRECT(AC42)) - 1 +
    MATCH(1,INDEX((LEN(INDIRECT("'シフト一覧（転載）'!"&amp;AC42&amp;":AK100"))&gt;0)
            *(INDIRECT("'シフト一覧（転載）'!"&amp;AC42&amp;":AK100")&lt;&gt;"休み"),
            1,0),0)+1,4),0),"")</f>
        <v>0</v>
      </c>
      <c r="AF42" s="20">
        <f t="array" aca="1" ref="AF42" ca="1">IFERROR(IF(AE42&lt;&gt;"",IF(AE42&lt;&gt;0,INDEX(
INDIRECT("'シフト一覧（転載）'!"&amp;AE42&amp;":AK100"),1,
MATCH(1,INDEX((LEN(INDIRECT("'シフト一覧（転載）'!"&amp;AE42&amp;":AK100"))&gt;0)
*(INDIRECT("'シフト一覧（転載）'!"&amp;AE42&amp;":AK100")&lt;&gt;"休み"),1,0),0)),0),""),$F$9&amp;"保育無し")</f>
        <v>0</v>
      </c>
      <c r="AG42" s="20">
        <f t="array" aca="1" ref="AG42" ca="1">IFERROR(IF(AE42&lt;&gt;0,ADDRESS(ROW(INDIRECT(AE42)),
    COLUMN(INDIRECT(AE42)) - 1 +
    MATCH(1,INDEX((LEN(INDIRECT("'シフト一覧（転載）'!"&amp;AE42&amp;":AK100"))&gt;0)
            *(INDIRECT("'シフト一覧（転載）'!"&amp;AE42&amp;":AK100")&lt;&gt;"休み"),
            1,0),0)+1,4),0),"")</f>
        <v>0</v>
      </c>
      <c r="AH42" s="20">
        <f t="array" aca="1" ref="AH42" ca="1">IFERROR(IF(AG42&lt;&gt;"",IF(AG42&lt;&gt;0,INDEX(
INDIRECT("'シフト一覧（転載）'!"&amp;AG42&amp;":AK100"),1,
MATCH(1,INDEX((LEN(INDIRECT("'シフト一覧（転載）'!"&amp;AG42&amp;":AK100"))&gt;0)
*(INDIRECT("'シフト一覧（転載）'!"&amp;AG42&amp;":AK100")&lt;&gt;"休み"),1,0),0)),0),""),$F$9&amp;"保育無し")</f>
        <v>0</v>
      </c>
      <c r="AI42" s="20">
        <f t="array" aca="1" ref="AI42" ca="1">IFERROR(IF(AG42&lt;&gt;0,ADDRESS(ROW(INDIRECT(AG42)),
    COLUMN(INDIRECT(AG42)) - 1 +
    MATCH(1,INDEX((LEN(INDIRECT("'シフト一覧（転載）'!"&amp;AG42&amp;":AK100"))&gt;0)
            *(INDIRECT("'シフト一覧（転載）'!"&amp;AG42&amp;":AK100")&lt;&gt;"休み"),
            1,0),0)+1,4),0),"")</f>
        <v>0</v>
      </c>
      <c r="AJ42" s="20">
        <f t="array" aca="1" ref="AJ42" ca="1">IFERROR(IF(AI42&lt;&gt;"",IF(AI42&lt;&gt;0,INDEX(
INDIRECT("'シフト一覧（転載）'!"&amp;AI42&amp;":AK100"),1,
MATCH(1,INDEX((LEN(INDIRECT("'シフト一覧（転載）'!"&amp;AI42&amp;":AK100"))&gt;0)
*(INDIRECT("'シフト一覧（転載）'!"&amp;AI42&amp;":AK100")&lt;&gt;"休み"),1,0),0)),0),""),$F$9&amp;"保育無し")</f>
        <v>0</v>
      </c>
      <c r="AK42" s="20">
        <f t="array" aca="1" ref="AK42" ca="1">IFERROR(IF(AI42&lt;&gt;0,ADDRESS(ROW(INDIRECT(AI42)),
    COLUMN(INDIRECT(AI42)) - 1 +
    MATCH(1,INDEX((LEN(INDIRECT("'シフト一覧（転載）'!"&amp;AI42&amp;":AK100"))&gt;0)
            *(INDIRECT("'シフト一覧（転載）'!"&amp;AI42&amp;":AK100")&lt;&gt;"休み"),
            1,0),0)+1,4),0),"")</f>
        <v>0</v>
      </c>
      <c r="AL42" s="20">
        <f t="array" aca="1" ref="AL42" ca="1">IFERROR(IF(AK42&lt;&gt;"",IF(AK42&lt;&gt;0,INDEX(
INDIRECT("'シフト一覧（転載）'!"&amp;AK42&amp;":AK100"),1,
MATCH(1,INDEX((LEN(INDIRECT("'シフト一覧（転載）'!"&amp;AK42&amp;":AK100"))&gt;0)
*(INDIRECT("'シフト一覧（転載）'!"&amp;AK42&amp;":AK100")&lt;&gt;"休み"),1,0),0)),0),""),$F$9&amp;"保育無し")</f>
        <v>0</v>
      </c>
      <c r="AM42" s="20">
        <f t="array" aca="1" ref="AM42" ca="1">IFERROR(IF(AK42&lt;&gt;0,ADDRESS(ROW(INDIRECT(AK42)),
    COLUMN(INDIRECT(AK42)) - 1 +
    MATCH(1,INDEX((LEN(INDIRECT("'シフト一覧（転載）'!"&amp;AK42&amp;":AK100"))&gt;0)
            *(INDIRECT("'シフト一覧（転載）'!"&amp;AK42&amp;":AK100")&lt;&gt;"休み"),
            1,0),0)+1,4),0),"")</f>
        <v>0</v>
      </c>
      <c r="AN42" s="20">
        <f t="array" aca="1" ref="AN42" ca="1">IFERROR(IF(AM42&lt;&gt;"",IF(AM42&lt;&gt;0,INDEX(
INDIRECT("'シフト一覧（転載）'!"&amp;AM42&amp;":AK100"),1,
MATCH(1,INDEX((LEN(INDIRECT("'シフト一覧（転載）'!"&amp;AM42&amp;":AK100"))&gt;0)
*(INDIRECT("'シフト一覧（転載）'!"&amp;AM42&amp;":AK100")&lt;&gt;"休み"),1,0),0)),0),""),$F$9&amp;"保育無し")</f>
        <v>0</v>
      </c>
      <c r="AO42" s="20">
        <f t="array" aca="1" ref="AO42" ca="1">IFERROR(IF(AM42&lt;&gt;0,ADDRESS(ROW(INDIRECT(AM42)),
    COLUMN(INDIRECT(AM42)) - 1 +
    MATCH(1,INDEX((LEN(INDIRECT("'シフト一覧（転載）'!"&amp;AM42&amp;":AK100"))&gt;0)
            *(INDIRECT("'シフト一覧（転載）'!"&amp;AM42&amp;":AK100")&lt;&gt;"休み"),
            1,0),0)+1,4),0),"")</f>
        <v>0</v>
      </c>
      <c r="AP42" s="20">
        <f t="array" aca="1" ref="AP42" ca="1">IFERROR(IF(AO42&lt;&gt;"",IF(AO42&lt;&gt;0,INDEX(
INDIRECT("'シフト一覧（転載）'!"&amp;AO42&amp;":AK100"),1,
MATCH(1,INDEX((LEN(INDIRECT("'シフト一覧（転載）'!"&amp;AO42&amp;":AK100"))&gt;0)
*(INDIRECT("'シフト一覧（転載）'!"&amp;AO42&amp;":AK100")&lt;&gt;"休み"),1,0),0)),0),""),$F$9&amp;"保育無し")</f>
        <v>0</v>
      </c>
      <c r="AQ42" s="20">
        <f t="array" aca="1" ref="AQ42" ca="1">IFERROR(IF(AO42&lt;&gt;0,ADDRESS(ROW(INDIRECT(AO42)),
    COLUMN(INDIRECT(AO42)) - 1 +
    MATCH(1,INDEX((LEN(INDIRECT("'シフト一覧（転載）'!"&amp;AO42&amp;":AK100"))&gt;0)
            *(INDIRECT("'シフト一覧（転載）'!"&amp;AO42&amp;":AK100")&lt;&gt;"休み"),
            1,0),0)+1,4),0),"")</f>
        <v>0</v>
      </c>
      <c r="AR42" s="20">
        <f t="array" aca="1" ref="AR42" ca="1">IFERROR(IF(AQ42&lt;&gt;"",IF(AQ42&lt;&gt;0,INDEX(
INDIRECT("'シフト一覧（転載）'!"&amp;AQ42&amp;":AK100"),1,
MATCH(1,INDEX((LEN(INDIRECT("'シフト一覧（転載）'!"&amp;AQ42&amp;":AK100"))&gt;0)
*(INDIRECT("'シフト一覧（転載）'!"&amp;AQ42&amp;":AK100")&lt;&gt;"休み"),1,0),0)),0),""),$F$9&amp;"保育無し")</f>
        <v>0</v>
      </c>
      <c r="AS42" s="20">
        <f t="array" aca="1" ref="AS42" ca="1">IFERROR(IF(AQ42&lt;&gt;0,ADDRESS(ROW(INDIRECT(AQ42)),
    COLUMN(INDIRECT(AQ42)) - 1 +
    MATCH(1,INDEX((LEN(INDIRECT("'シフト一覧（転載）'!"&amp;AQ42&amp;":AK100"))&gt;0)
            *(INDIRECT("'シフト一覧（転載）'!"&amp;AQ42&amp;":AK100")&lt;&gt;"休み"),
            1,0),0)+1,4),0),"")</f>
        <v>0</v>
      </c>
      <c r="AT42" s="20">
        <f t="array" aca="1" ref="AT42" ca="1">IFERROR(IF(AS42&lt;&gt;"",IF(AS42&lt;&gt;0,INDEX(
INDIRECT("'シフト一覧（転載）'!"&amp;AS42&amp;":AK100"),1,
MATCH(1,INDEX((LEN(INDIRECT("'シフト一覧（転載）'!"&amp;AS42&amp;":AK100"))&gt;0)
*(INDIRECT("'シフト一覧（転載）'!"&amp;AS42&amp;":AK100")&lt;&gt;"休み"),1,0),0)),0),""),$F$9&amp;"保育無し")</f>
        <v>0</v>
      </c>
      <c r="AU42" s="20">
        <f t="array" aca="1" ref="AU42" ca="1">IFERROR(IF(AS42&lt;&gt;0,ADDRESS(ROW(INDIRECT(AS42)),
    COLUMN(INDIRECT(AS42)) - 1 +
    MATCH(1,INDEX((LEN(INDIRECT("'シフト一覧（転載）'!"&amp;AS42&amp;":AK100"))&gt;0)
            *(INDIRECT("'シフト一覧（転載）'!"&amp;AS42&amp;":AK100")&lt;&gt;"休み"),
            1,0),0)+1,4),0),"")</f>
        <v>0</v>
      </c>
      <c r="AV42" s="20">
        <f t="array" aca="1" ref="AV42" ca="1">IFERROR(IF(AU42&lt;&gt;"",IF(AU42&lt;&gt;0,INDEX(
INDIRECT("'シフト一覧（転載）'!"&amp;AU42&amp;":AK100"),1,
MATCH(1,INDEX((LEN(INDIRECT("'シフト一覧（転載）'!"&amp;AU42&amp;":AK100"))&gt;0)
*(INDIRECT("'シフト一覧（転載）'!"&amp;AU42&amp;":AK100")&lt;&gt;"休み"),1,0),0)),0),""),$F$9&amp;"保育無し")</f>
        <v>0</v>
      </c>
      <c r="AW42" s="20">
        <f t="array" aca="1" ref="AW42" ca="1">IFERROR(IF(AU42&lt;&gt;0,ADDRESS(ROW(INDIRECT(AU42)),
    COLUMN(INDIRECT(AU42)) - 1 +
    MATCH(1,INDEX((LEN(INDIRECT("'シフト一覧（転載）'!"&amp;AU42&amp;":AK100"))&gt;0)
            *(INDIRECT("'シフト一覧（転載）'!"&amp;AU42&amp;":AK100")&lt;&gt;"休み"),
            1,0),0)+1,4),0),"")</f>
        <v>0</v>
      </c>
      <c r="AX42" s="20">
        <f t="array" aca="1" ref="AX42" ca="1">IFERROR(IF(AW42&lt;&gt;"",IF(AW42&lt;&gt;0,INDEX(
INDIRECT("'シフト一覧（転載）'!"&amp;AW42&amp;":AK100"),1,
MATCH(1,INDEX((LEN(INDIRECT("'シフト一覧（転載）'!"&amp;AW42&amp;":AK100"))&gt;0)
*(INDIRECT("'シフト一覧（転載）'!"&amp;AW42&amp;":AK100")&lt;&gt;"休み"),1,0),0)),0),""),$F$9&amp;"保育無し")</f>
        <v>0</v>
      </c>
      <c r="AY42" s="20">
        <f t="array" aca="1" ref="AY42" ca="1">IFERROR(IF(AW42&lt;&gt;0,ADDRESS(ROW(INDIRECT(AW42)),
    COLUMN(INDIRECT(AW42)) - 1 +
    MATCH(1,INDEX((LEN(INDIRECT("'シフト一覧（転載）'!"&amp;AW42&amp;":AK100"))&gt;0)
            *(INDIRECT("'シフト一覧（転載）'!"&amp;AW42&amp;":AK100")&lt;&gt;"休み"),
            1,0),0)+1,4),0),"")</f>
        <v>0</v>
      </c>
      <c r="AZ42" s="20">
        <f t="array" aca="1" ref="AZ42" ca="1">IFERROR(IF(AY42&lt;&gt;"",IF(AY42&lt;&gt;0,INDEX(
INDIRECT("'シフト一覧（転載）'!"&amp;AY42&amp;":AK100"),1,
MATCH(1,INDEX((LEN(INDIRECT("'シフト一覧（転載）'!"&amp;AY42&amp;":AK100"))&gt;0)
*(INDIRECT("'シフト一覧（転載）'!"&amp;AY42&amp;":AK100")&lt;&gt;"休み"),1,0),0)),0),""),$F$9&amp;"保育無し")</f>
        <v>0</v>
      </c>
      <c r="BA42" s="20">
        <f t="array" aca="1" ref="BA42" ca="1">IFERROR(IF(AY42&lt;&gt;0,ADDRESS(ROW(INDIRECT(AY42)),
    COLUMN(INDIRECT(AY42)) - 1 +
    MATCH(1,INDEX((LEN(INDIRECT("'シフト一覧（転載）'!"&amp;AY42&amp;":AK100"))&gt;0)
            *(INDIRECT("'シフト一覧（転載）'!"&amp;AY42&amp;":AK100")&lt;&gt;"休み"),
            1,0),0)+1,4),0),"")</f>
        <v>0</v>
      </c>
      <c r="BB42" s="20">
        <f t="array" aca="1" ref="BB42" ca="1">IFERROR(IF(BA42&lt;&gt;"",IF(BA42&lt;&gt;0,INDEX(
INDIRECT("'シフト一覧（転載）'!"&amp;BA42&amp;":AK100"),1,
MATCH(1,INDEX((LEN(INDIRECT("'シフト一覧（転載）'!"&amp;BA42&amp;":AK100"))&gt;0)
*(INDIRECT("'シフト一覧（転載）'!"&amp;BA42&amp;":AK100")&lt;&gt;"休み"),1,0),0)),0),""),$F$9&amp;"保育無し")</f>
        <v>0</v>
      </c>
      <c r="BC42" s="20">
        <f t="array" aca="1" ref="BC42" ca="1">IFERROR(IF(BA42&lt;&gt;0,ADDRESS(ROW(INDIRECT(BA42)),
    COLUMN(INDIRECT(BA42)) - 1 +
    MATCH(1,INDEX((LEN(INDIRECT("'シフト一覧（転載）'!"&amp;BA42&amp;":AK100"))&gt;0)
            *(INDIRECT("'シフト一覧（転載）'!"&amp;BA42&amp;":AK100")&lt;&gt;"休み"),
            1,0),0)+1,4),0),"")</f>
        <v>0</v>
      </c>
      <c r="BD42" s="20">
        <f t="array" aca="1" ref="BD42" ca="1">IFERROR(IF(BC42&lt;&gt;"",IF(BC42&lt;&gt;0,INDEX(
INDIRECT("'シフト一覧（転載）'!"&amp;BC42&amp;":AK100"),1,
MATCH(1,INDEX((LEN(INDIRECT("'シフト一覧（転載）'!"&amp;BC42&amp;":AK100"))&gt;0)
*(INDIRECT("'シフト一覧（転載）'!"&amp;BC42&amp;":AK100")&lt;&gt;"休み"),1,0),0)),0),""),$F$9&amp;"保育無し")</f>
        <v>0</v>
      </c>
      <c r="BE42" s="20">
        <f t="array" aca="1" ref="BE42" ca="1">IFERROR(IF(BC42&lt;&gt;0,ADDRESS(ROW(INDIRECT(BC42)),
    COLUMN(INDIRECT(BC42)) - 1 +
    MATCH(1,INDEX((LEN(INDIRECT("'シフト一覧（転載）'!"&amp;BC42&amp;":AK100"))&gt;0)
            *(INDIRECT("'シフト一覧（転載）'!"&amp;BC42&amp;":AK100")&lt;&gt;"休み"),
            1,0),0)+1,4),0),"")</f>
        <v>0</v>
      </c>
      <c r="BF42" s="20">
        <f t="array" aca="1" ref="BF42" ca="1">IFERROR(IF(BE42&lt;&gt;"",IF(BE42&lt;&gt;0,INDEX(
INDIRECT("'シフト一覧（転載）'!"&amp;BE42&amp;":AK100"),1,
MATCH(1,INDEX((LEN(INDIRECT("'シフト一覧（転載）'!"&amp;BE42&amp;":AK100"))&gt;0)
*(INDIRECT("'シフト一覧（転載）'!"&amp;BE42&amp;":AK100")&lt;&gt;"休み"),1,0),0)),0),""),$F$9&amp;"保育無し")</f>
        <v>0</v>
      </c>
      <c r="BG42" s="20">
        <f t="array" aca="1" ref="BG42" ca="1">IFERROR(IF(BE42&lt;&gt;0,ADDRESS(ROW(INDIRECT(BE42)),
    COLUMN(INDIRECT(BE42)) - 1 +
    MATCH(1,INDEX((LEN(INDIRECT("'シフト一覧（転載）'!"&amp;BE42&amp;":AK100"))&gt;0)
            *(INDIRECT("'シフト一覧（転載）'!"&amp;BE42&amp;":AK100")&lt;&gt;"休み"),
            1,0),0)+1,4),0),"")</f>
        <v>0</v>
      </c>
      <c r="BH42" s="20">
        <f t="array" aca="1" ref="BH42" ca="1">IFERROR(IF(BG42&lt;&gt;"",IF(BG42&lt;&gt;0,INDEX(
INDIRECT("'シフト一覧（転載）'!"&amp;BG42&amp;":AK100"),1,
MATCH(1,INDEX((LEN(INDIRECT("'シフト一覧（転載）'!"&amp;BG42&amp;":AK100"))&gt;0)
*(INDIRECT("'シフト一覧（転載）'!"&amp;BG42&amp;":AK100")&lt;&gt;"休み"),1,0),0)),0),""),$F$9&amp;"保育無し")</f>
        <v>0</v>
      </c>
      <c r="BI42" s="20">
        <f t="array" aca="1" ref="BI42" ca="1">IFERROR(IF(BG42&lt;&gt;0,ADDRESS(ROW(INDIRECT(BG42)),
    COLUMN(INDIRECT(BG42)) - 1 +
    MATCH(1,INDEX((LEN(INDIRECT("'シフト一覧（転載）'!"&amp;BG42&amp;":AK100"))&gt;0)
            *(INDIRECT("'シフト一覧（転載）'!"&amp;BG42&amp;":AK100")&lt;&gt;"休み"),
            1,0),0)+1,4),0),"")</f>
        <v>0</v>
      </c>
      <c r="BJ42" s="20">
        <f t="array" aca="1" ref="BJ42" ca="1">IFERROR(IF(BI42&lt;&gt;"",IF(BI42&lt;&gt;0,INDEX(
INDIRECT("'シフト一覧（転載）'!"&amp;BI42&amp;":AK100"),1,
MATCH(1,INDEX((LEN(INDIRECT("'シフト一覧（転載）'!"&amp;BI42&amp;":AK100"))&gt;0)
*(INDIRECT("'シフト一覧（転載）'!"&amp;BI42&amp;":AK100")&lt;&gt;"休み"),1,0),0)),0),""),$F$9&amp;"保育無し")</f>
        <v>0</v>
      </c>
      <c r="BK42" s="20">
        <f t="array" aca="1" ref="BK42" ca="1">IFERROR(IF(BI42&lt;&gt;0,ADDRESS(ROW(INDIRECT(BI42)),
    COLUMN(INDIRECT(BI42)) - 1 +
    MATCH(1,INDEX((LEN(INDIRECT("'シフト一覧（転載）'!"&amp;BI42&amp;":AK100"))&gt;0)
            *(INDIRECT("'シフト一覧（転載）'!"&amp;BI42&amp;":AK100")&lt;&gt;"休み"),
            1,0),0)+1,4),0),"")</f>
        <v>0</v>
      </c>
      <c r="BL42" s="20">
        <f t="array" aca="1" ref="BL42" ca="1">IFERROR(IF(BK42&lt;&gt;"",IF(BK42&lt;&gt;0,INDEX(
INDIRECT("'シフト一覧（転載）'!"&amp;BK42&amp;":AK100"),1,
MATCH(1,INDEX((LEN(INDIRECT("'シフト一覧（転載）'!"&amp;BK42&amp;":AK100"))&gt;0)
*(INDIRECT("'シフト一覧（転載）'!"&amp;BK42&amp;":AK100")&lt;&gt;"休み"),1,0),0)),0),""),$F$9&amp;"保育無し")</f>
        <v>0</v>
      </c>
      <c r="BM42" s="20">
        <f t="array" aca="1" ref="BM42" ca="1">IFERROR(IF(BK42&lt;&gt;0,ADDRESS(ROW(INDIRECT(BK42)),
    COLUMN(INDIRECT(BK42)) - 1 +
    MATCH(1,INDEX((LEN(INDIRECT("'シフト一覧（転載）'!"&amp;BK42&amp;":AK100"))&gt;0)
            *(INDIRECT("'シフト一覧（転載）'!"&amp;BK42&amp;":AK100")&lt;&gt;"休み"),
            1,0),0)+1,4),0),"")</f>
        <v>0</v>
      </c>
      <c r="BN42" s="20">
        <f t="array" aca="1" ref="BN42" ca="1">IFERROR(IF(BM42&lt;&gt;"",IF(BM42&lt;&gt;0,INDEX(
INDIRECT("'シフト一覧（転載）'!"&amp;BM42&amp;":AK100"),1,
MATCH(1,INDEX((LEN(INDIRECT("'シフト一覧（転載）'!"&amp;BM42&amp;":AK100"))&gt;0)
*(INDIRECT("'シフト一覧（転載）'!"&amp;BM42&amp;":AK100")&lt;&gt;"休み"),1,0),0)),0),""),$F$9&amp;"保育無し")</f>
        <v>0</v>
      </c>
      <c r="BO42" s="20">
        <f t="array" aca="1" ref="BO42" ca="1">IFERROR(IF(BM42&lt;&gt;0,ADDRESS(ROW(INDIRECT(BM42)),
    COLUMN(INDIRECT(BM42)) - 1 +
    MATCH(1,INDEX((LEN(INDIRECT("'シフト一覧（転載）'!"&amp;BM42&amp;":AK100"))&gt;0)
            *(INDIRECT("'シフト一覧（転載）'!"&amp;BM42&amp;":AK100")&lt;&gt;"休み"),
            1,0),0)+1,4),0),"")</f>
        <v>0</v>
      </c>
      <c r="BP42" s="20">
        <f t="array" aca="1" ref="BP42" ca="1">IFERROR(IF(BO42&lt;&gt;"",IF(BO42&lt;&gt;0,INDEX(
INDIRECT("'シフト一覧（転載）'!"&amp;BO42&amp;":AK100"),1,
MATCH(1,INDEX((LEN(INDIRECT("'シフト一覧（転載）'!"&amp;BO42&amp;":AK100"))&gt;0)
*(INDIRECT("'シフト一覧（転載）'!"&amp;BO42&amp;":AK100")&lt;&gt;"休み"),1,0),0)),0),""),$F$9&amp;"保育無し")</f>
        <v>0</v>
      </c>
      <c r="BQ42" s="20">
        <f t="array" aca="1" ref="BQ42" ca="1">IFERROR(IF(BO42&lt;&gt;0,ADDRESS(ROW(INDIRECT(BO42)),
    COLUMN(INDIRECT(BO42)) - 1 +
    MATCH(1,INDEX((LEN(INDIRECT("'シフト一覧（転載）'!"&amp;BO42&amp;":AK100"))&gt;0)
            *(INDIRECT("'シフト一覧（転載）'!"&amp;BO42&amp;":AK100")&lt;&gt;"休み"),
            1,0),0)+1,4),0),"")</f>
        <v>0</v>
      </c>
      <c r="BR42" s="20">
        <f t="array" aca="1" ref="BR42" ca="1">IFERROR(IF(BQ42&lt;&gt;"",IF(BQ42&lt;&gt;0,INDEX(
INDIRECT("'シフト一覧（転載）'!"&amp;BQ42&amp;":AK100"),1,
MATCH(1,INDEX((LEN(INDIRECT("'シフト一覧（転載）'!"&amp;BQ42&amp;":AK100"))&gt;0)
*(INDIRECT("'シフト一覧（転載）'!"&amp;BQ42&amp;":AK100")&lt;&gt;"休み"),1,0),0)),0),""),$F$9&amp;"保育無し")</f>
        <v>0</v>
      </c>
      <c r="BS42" s="20">
        <f t="array" aca="1" ref="BS42" ca="1">IFERROR(IF(BQ42&lt;&gt;0,ADDRESS(ROW(INDIRECT(BQ42)),
    COLUMN(INDIRECT(BQ42)) - 1 +
    MATCH(1,INDEX((LEN(INDIRECT("'シフト一覧（転載）'!"&amp;BQ42&amp;":AK100"))&gt;0)
            *(INDIRECT("'シフト一覧（転載）'!"&amp;BQ42&amp;":AK100")&lt;&gt;"休み"),
            1,0),0)+1,4),0),"")</f>
        <v>0</v>
      </c>
      <c r="BT42" s="20">
        <f t="array" aca="1" ref="BT42" ca="1">IFERROR(IF(BS42&lt;&gt;"",IF(BS42&lt;&gt;0,INDEX(
INDIRECT("'シフト一覧（転載）'!"&amp;BS42&amp;":AK100"),1,
MATCH(1,INDEX((LEN(INDIRECT("'シフト一覧（転載）'!"&amp;BS42&amp;":AK100"))&gt;0)
*(INDIRECT("'シフト一覧（転載）'!"&amp;BS42&amp;":AK100")&lt;&gt;"休み"),1,0),0)),0),""),$F$9&amp;"保育無し")</f>
        <v>0</v>
      </c>
      <c r="BU42" s="20">
        <f t="array" aca="1" ref="BU42" ca="1">IFERROR(IF(BS42&lt;&gt;0,ADDRESS(ROW(INDIRECT(BS42)),
    COLUMN(INDIRECT(BS42)) - 1 +
    MATCH(1,INDEX((LEN(INDIRECT("'シフト一覧（転載）'!"&amp;BS42&amp;":AK100"))&gt;0)
            *(INDIRECT("'シフト一覧（転載）'!"&amp;BS42&amp;":AK100")&lt;&gt;"休み"),
            1,0),0)+1,4),0),"")</f>
        <v>0</v>
      </c>
      <c r="BV42" s="20">
        <f t="array" aca="1" ref="BV42" ca="1">IFERROR(IF(BU42&lt;&gt;"",IF(BU42&lt;&gt;0,INDEX(
INDIRECT("'シフト一覧（転載）'!"&amp;BU42&amp;":AK100"),1,
MATCH(1,INDEX((LEN(INDIRECT("'シフト一覧（転載）'!"&amp;BU42&amp;":AK100"))&gt;0)
*(INDIRECT("'シフト一覧（転載）'!"&amp;BU42&amp;":AK100")&lt;&gt;"休み"),1,0),0)),0),""),$F$9&amp;"保育無し")</f>
        <v>0</v>
      </c>
      <c r="BW42" s="20">
        <f t="array" aca="1" ref="BW42" ca="1">IFERROR(IF(BU42&lt;&gt;0,ADDRESS(ROW(INDIRECT(BU42)),
    COLUMN(INDIRECT(BU42)) - 1 +
    MATCH(1,INDEX((LEN(INDIRECT("'シフト一覧（転載）'!"&amp;BU42&amp;":AK100"))&gt;0)
            *(INDIRECT("'シフト一覧（転載）'!"&amp;BU42&amp;":AK100")&lt;&gt;"休み"),
            1,0),0)+1,4),0),"")</f>
        <v>0</v>
      </c>
      <c r="BX42" s="20">
        <f t="array" aca="1" ref="BX42" ca="1">IFERROR(IF(BW42&lt;&gt;"",IF(BW42&lt;&gt;0,INDEX(
INDIRECT("'シフト一覧（転載）'!"&amp;BW42&amp;":AK100"),1,
MATCH(1,INDEX((LEN(INDIRECT("'シフト一覧（転載）'!"&amp;BW42&amp;":AK100"))&gt;0)
*(INDIRECT("'シフト一覧（転載）'!"&amp;BW42&amp;":AK100")&lt;&gt;"休み"),1,0),0)),0),""),$F$9&amp;"保育無し")</f>
        <v>0</v>
      </c>
      <c r="BY42" s="20">
        <f t="array" aca="1" ref="BY42" ca="1">IFERROR(IF(BW42&lt;&gt;0,ADDRESS(ROW(INDIRECT(BW42)),
    COLUMN(INDIRECT(BW42)) - 1 +
    MATCH(1,INDEX((LEN(INDIRECT("'シフト一覧（転載）'!"&amp;BW42&amp;":AK100"))&gt;0)
            *(INDIRECT("'シフト一覧（転載）'!"&amp;BW42&amp;":AK100")&lt;&gt;"休み"),
            1,0),0)+1,4),0),"")</f>
        <v>0</v>
      </c>
    </row>
    <row r="43" spans="1:77" ht="19.8" customHeight="1" x14ac:dyDescent="0.2">
      <c r="M43" s="104"/>
      <c r="N43" s="102"/>
      <c r="O43" s="107"/>
      <c r="P43" s="21">
        <f t="array" aca="1" ref="P43" ca="1">IFERROR(IF(M42&lt;&gt;"",INDEX('シフト一覧（転載）'!$F$8:$AK$100,
    MATCH(1,(ISNUMBER(SEARCH(M42,'シフト一覧（転載）'!$A$8:$A$100)))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MATCH(1,(ISNUMBER(SEARCH(M42,'シフト一覧（転載）'!$A$8:$A$100)))
                *(ISNUMBER(SEARCH($F$9,'シフト一覧（転載）'!$B$8:$B$100))),
                0),0),0)),0),"")</f>
        <v>0</v>
      </c>
      <c r="Q43" s="21">
        <f ca="1">IF(P42=0,0,
IF(OR(P42="",COUNTIF(P42,"*保育無し*")),"",
IF(MOD(P43-P42,1)*24&gt;=8,1,
IF(MOD(P43-P42,1)*24&gt;=6,0.75,0))))</f>
        <v>0</v>
      </c>
      <c r="R43" s="21">
        <f t="array" aca="1" ref="R43" ca="1">IFERROR(IF(Q42&lt;&gt;0,INDEX(
INDIRECT("'シフト一覧（転載）'!"&amp;Q42&amp;":AK100"),1+1,
MATCH(1,INDEX((LEN(INDIRECT("'シフト一覧（転載）'!"&amp;Q42&amp;":AK100"))&gt;0)
*(INDIRECT("'シフト一覧（転載）'!"&amp;Q42&amp;":AK100")&lt;&gt;"休み"),1,0),0)),0),"")</f>
        <v>0</v>
      </c>
      <c r="S43" s="21">
        <f ca="1">IF(R42=0,0,
IF(OR(R42="",COUNTIF(R42,"*保育無し*")),"",
IF(MOD(R43-R42,1)*24&gt;=8,1,
IF(MOD(R43-R42,1)*24&gt;=6,0.75,0))))</f>
        <v>0</v>
      </c>
      <c r="T43" s="21">
        <f t="array" aca="1" ref="T43" ca="1">IFERROR(IF(S42&lt;&gt;0,INDEX(
INDIRECT("'シフト一覧（転載）'!"&amp;S42&amp;":AK100"),1+1,
MATCH(1,INDEX((LEN(INDIRECT("'シフト一覧（転載）'!"&amp;S42&amp;":AK100"))&gt;0)
*(INDIRECT("'シフト一覧（転載）'!"&amp;S42&amp;":AK100")&lt;&gt;"休み"),1,0),0)),0),"")</f>
        <v>0</v>
      </c>
      <c r="U43" s="21">
        <f ca="1">IF(T42=0,0,
IF(OR(T42="",COUNTIF(T42,"*保育無し*")),"",
IF(MOD(T43-T42,1)*24&gt;=8,1,
IF(MOD(T43-T42,1)*24&gt;=6,0.75,0))))</f>
        <v>0</v>
      </c>
      <c r="V43" s="21">
        <f t="array" aca="1" ref="V43" ca="1">IFERROR(IF(U42&lt;&gt;0,INDEX(
INDIRECT("'シフト一覧（転載）'!"&amp;U42&amp;":AK100"),1+1,
MATCH(1,INDEX((LEN(INDIRECT("'シフト一覧（転載）'!"&amp;U42&amp;":AK100"))&gt;0)
*(INDIRECT("'シフト一覧（転載）'!"&amp;U42&amp;":AK100")&lt;&gt;"休み"),1,0),0)),0),"")</f>
        <v>0</v>
      </c>
      <c r="W43" s="21">
        <f ca="1">IF(V42=0,0,
IF(OR(V42="",COUNTIF(V42,"*保育無し*")),"",
IF(MOD(V43-V42,1)*24&gt;=8,1,
IF(MOD(V43-V42,1)*24&gt;=6,0.75,0))))</f>
        <v>0</v>
      </c>
      <c r="X43" s="21">
        <f t="array" aca="1" ref="X43" ca="1">IFERROR(IF(W42&lt;&gt;0,INDEX(
INDIRECT("'シフト一覧（転載）'!"&amp;W42&amp;":AK100"),1+1,
MATCH(1,INDEX((LEN(INDIRECT("'シフト一覧（転載）'!"&amp;W42&amp;":AK100"))&gt;0)
*(INDIRECT("'シフト一覧（転載）'!"&amp;W42&amp;":AK100")&lt;&gt;"休み"),1,0),0)),0),"")</f>
        <v>0</v>
      </c>
      <c r="Y43" s="21">
        <f ca="1">IF(X42=0,0,
IF(OR(X42="",COUNTIF(X42,"*保育無し*")),"",
IF(MOD(X43-X42,1)*24&gt;=8,1,
IF(MOD(X43-X42,1)*24&gt;=6,0.75,0))))</f>
        <v>0</v>
      </c>
      <c r="Z43" s="21">
        <f t="array" aca="1" ref="Z43" ca="1">IFERROR(IF(Y42&lt;&gt;0,INDEX(
INDIRECT("'シフト一覧（転載）'!"&amp;Y42&amp;":AK100"),1+1,
MATCH(1,INDEX((LEN(INDIRECT("'シフト一覧（転載）'!"&amp;Y42&amp;":AK100"))&gt;0)
*(INDIRECT("'シフト一覧（転載）'!"&amp;Y42&amp;":AK100")&lt;&gt;"休み"),1,0),0)),0),"")</f>
        <v>0</v>
      </c>
      <c r="AA43" s="21">
        <f ca="1">IF(Z42=0,0,
IF(OR(Z42="",COUNTIF(Z42,"*保育無し*")),"",
IF(MOD(Z43-Z42,1)*24&gt;=8,1,
IF(MOD(Z43-Z42,1)*24&gt;=6,0.75,0))))</f>
        <v>0</v>
      </c>
      <c r="AB43" s="21">
        <f t="array" aca="1" ref="AB43" ca="1">IFERROR(IF(AA42&lt;&gt;0,INDEX(
INDIRECT("'シフト一覧（転載）'!"&amp;AA42&amp;":AK100"),1+1,
MATCH(1,INDEX((LEN(INDIRECT("'シフト一覧（転載）'!"&amp;AA42&amp;":AK100"))&gt;0)
*(INDIRECT("'シフト一覧（転載）'!"&amp;AA42&amp;":AK100")&lt;&gt;"休み"),1,0),0)),0),"")</f>
        <v>0</v>
      </c>
      <c r="AC43" s="21">
        <f ca="1">IF(AB42=0,0,
IF(OR(AB42="",COUNTIF(AB42,"*保育無し*")),"",
IF(MOD(AB43-AB42,1)*24&gt;=8,1,
IF(MOD(AB43-AB42,1)*24&gt;=6,0.75,0))))</f>
        <v>0</v>
      </c>
      <c r="AD43" s="21">
        <f t="array" aca="1" ref="AD43" ca="1">IFERROR(IF(AC42&lt;&gt;0,INDEX(
INDIRECT("'シフト一覧（転載）'!"&amp;AC42&amp;":AK100"),1+1,
MATCH(1,INDEX((LEN(INDIRECT("'シフト一覧（転載）'!"&amp;AC42&amp;":AK100"))&gt;0)
*(INDIRECT("'シフト一覧（転載）'!"&amp;AC42&amp;":AK100")&lt;&gt;"休み"),1,0),0)),0),"")</f>
        <v>0</v>
      </c>
      <c r="AE43" s="21">
        <f ca="1">IF(AD42=0,0,
IF(OR(AD42="",COUNTIF(AD42,"*保育無し*")),"",
IF(MOD(AD43-AD42,1)*24&gt;=8,1,
IF(MOD(AD43-AD42,1)*24&gt;=6,0.75,0))))</f>
        <v>0</v>
      </c>
      <c r="AF43" s="21">
        <f t="array" aca="1" ref="AF43" ca="1">IFERROR(IF(AE42&lt;&gt;0,INDEX(
INDIRECT("'シフト一覧（転載）'!"&amp;AE42&amp;":AK100"),1+1,
MATCH(1,INDEX((LEN(INDIRECT("'シフト一覧（転載）'!"&amp;AE42&amp;":AK100"))&gt;0)
*(INDIRECT("'シフト一覧（転載）'!"&amp;AE42&amp;":AK100")&lt;&gt;"休み"),1,0),0)),0),"")</f>
        <v>0</v>
      </c>
      <c r="AG43" s="21">
        <f ca="1">IF(AF42=0,0,
IF(OR(AF42="",COUNTIF(AF42,"*保育無し*")),"",
IF(MOD(AF43-AF42,1)*24&gt;=8,1,
IF(MOD(AF43-AF42,1)*24&gt;=6,0.75,0))))</f>
        <v>0</v>
      </c>
      <c r="AH43" s="21">
        <f t="array" aca="1" ref="AH43" ca="1">IFERROR(IF(AG42&lt;&gt;0,INDEX(
INDIRECT("'シフト一覧（転載）'!"&amp;AG42&amp;":AK100"),1+1,
MATCH(1,INDEX((LEN(INDIRECT("'シフト一覧（転載）'!"&amp;AG42&amp;":AK100"))&gt;0)
*(INDIRECT("'シフト一覧（転載）'!"&amp;AG42&amp;":AK100")&lt;&gt;"休み"),1,0),0)),0),"")</f>
        <v>0</v>
      </c>
      <c r="AI43" s="21">
        <f ca="1">IF(AH42=0,0,
IF(OR(AH42="",COUNTIF(AH42,"*保育無し*")),"",
IF(MOD(AH43-AH42,1)*24&gt;=8,1,
IF(MOD(AH43-AH42,1)*24&gt;=6,0.75,0))))</f>
        <v>0</v>
      </c>
      <c r="AJ43" s="21">
        <f t="array" aca="1" ref="AJ43" ca="1">IFERROR(IF(AI42&lt;&gt;0,INDEX(
INDIRECT("'シフト一覧（転載）'!"&amp;AI42&amp;":AK100"),1+1,
MATCH(1,INDEX((LEN(INDIRECT("'シフト一覧（転載）'!"&amp;AI42&amp;":AK100"))&gt;0)
*(INDIRECT("'シフト一覧（転載）'!"&amp;AI42&amp;":AK100")&lt;&gt;"休み"),1,0),0)),0),"")</f>
        <v>0</v>
      </c>
      <c r="AK43" s="21">
        <f ca="1">IF(AJ42=0,0,
IF(OR(AJ42="",COUNTIF(AJ42,"*保育無し*")),"",
IF(MOD(AJ43-AJ42,1)*24&gt;=8,1,
IF(MOD(AJ43-AJ42,1)*24&gt;=6,0.75,0))))</f>
        <v>0</v>
      </c>
      <c r="AL43" s="21">
        <f t="array" aca="1" ref="AL43" ca="1">IFERROR(IF(AK42&lt;&gt;0,INDEX(
INDIRECT("'シフト一覧（転載）'!"&amp;AK42&amp;":AK100"),1+1,
MATCH(1,INDEX((LEN(INDIRECT("'シフト一覧（転載）'!"&amp;AK42&amp;":AK100"))&gt;0)
*(INDIRECT("'シフト一覧（転載）'!"&amp;AK42&amp;":AK100")&lt;&gt;"休み"),1,0),0)),0),"")</f>
        <v>0</v>
      </c>
      <c r="AM43" s="21">
        <f ca="1">IF(AL42=0,0,
IF(OR(AL42="",COUNTIF(AL42,"*保育無し*")),"",
IF(MOD(AL43-AL42,1)*24&gt;=8,1,
IF(MOD(AL43-AL42,1)*24&gt;=6,0.75,0))))</f>
        <v>0</v>
      </c>
      <c r="AN43" s="21">
        <f t="array" aca="1" ref="AN43" ca="1">IFERROR(IF(AM42&lt;&gt;0,INDEX(
INDIRECT("'シフト一覧（転載）'!"&amp;AM42&amp;":AK100"),1+1,
MATCH(1,INDEX((LEN(INDIRECT("'シフト一覧（転載）'!"&amp;AM42&amp;":AK100"))&gt;0)
*(INDIRECT("'シフト一覧（転載）'!"&amp;AM42&amp;":AK100")&lt;&gt;"休み"),1,0),0)),0),"")</f>
        <v>0</v>
      </c>
      <c r="AO43" s="21">
        <f ca="1">IF(AN42=0,0,
IF(OR(AN42="",COUNTIF(AN42,"*保育無し*")),"",
IF(MOD(AN43-AN42,1)*24&gt;=8,1,
IF(MOD(AN43-AN42,1)*24&gt;=6,0.75,0))))</f>
        <v>0</v>
      </c>
      <c r="AP43" s="21">
        <f t="array" aca="1" ref="AP43" ca="1">IFERROR(IF(AO42&lt;&gt;0,INDEX(
INDIRECT("'シフト一覧（転載）'!"&amp;AO42&amp;":AK100"),1+1,
MATCH(1,INDEX((LEN(INDIRECT("'シフト一覧（転載）'!"&amp;AO42&amp;":AK100"))&gt;0)
*(INDIRECT("'シフト一覧（転載）'!"&amp;AO42&amp;":AK100")&lt;&gt;"休み"),1,0),0)),0),"")</f>
        <v>0</v>
      </c>
      <c r="AQ43" s="21">
        <f ca="1">IF(AP42=0,0,
IF(OR(AP42="",COUNTIF(AP42,"*保育無し*")),"",
IF(MOD(AP43-AP42,1)*24&gt;=8,1,
IF(MOD(AP43-AP42,1)*24&gt;=6,0.75,0))))</f>
        <v>0</v>
      </c>
      <c r="AR43" s="21">
        <f t="array" aca="1" ref="AR43" ca="1">IFERROR(IF(AQ42&lt;&gt;0,INDEX(
INDIRECT("'シフト一覧（転載）'!"&amp;AQ42&amp;":AK100"),1+1,
MATCH(1,INDEX((LEN(INDIRECT("'シフト一覧（転載）'!"&amp;AQ42&amp;":AK100"))&gt;0)
*(INDIRECT("'シフト一覧（転載）'!"&amp;AQ42&amp;":AK100")&lt;&gt;"休み"),1,0),0)),0),"")</f>
        <v>0</v>
      </c>
      <c r="AS43" s="21">
        <f ca="1">IF(AR42=0,0,
IF(OR(AR42="",COUNTIF(AR42,"*保育無し*")),"",
IF(MOD(AR43-AR42,1)*24&gt;=8,1,
IF(MOD(AR43-AR42,1)*24&gt;=6,0.75,0))))</f>
        <v>0</v>
      </c>
      <c r="AT43" s="21">
        <f t="array" aca="1" ref="AT43" ca="1">IFERROR(IF(AS42&lt;&gt;0,INDEX(
INDIRECT("'シフト一覧（転載）'!"&amp;AS42&amp;":AK100"),1+1,
MATCH(1,INDEX((LEN(INDIRECT("'シフト一覧（転載）'!"&amp;AS42&amp;":AK100"))&gt;0)
*(INDIRECT("'シフト一覧（転載）'!"&amp;AS42&amp;":AK100")&lt;&gt;"休み"),1,0),0)),0),"")</f>
        <v>0</v>
      </c>
      <c r="AU43" s="21">
        <f ca="1">IF(AT42=0,0,
IF(OR(AT42="",COUNTIF(AT42,"*保育無し*")),"",
IF(MOD(AT43-AT42,1)*24&gt;=8,1,
IF(MOD(AT43-AT42,1)*24&gt;=6,0.75,0))))</f>
        <v>0</v>
      </c>
      <c r="AV43" s="21">
        <f t="array" aca="1" ref="AV43" ca="1">IFERROR(IF(AU42&lt;&gt;0,INDEX(
INDIRECT("'シフト一覧（転載）'!"&amp;AU42&amp;":AK100"),1+1,
MATCH(1,INDEX((LEN(INDIRECT("'シフト一覧（転載）'!"&amp;AU42&amp;":AK100"))&gt;0)
*(INDIRECT("'シフト一覧（転載）'!"&amp;AU42&amp;":AK100")&lt;&gt;"休み"),1,0),0)),0),"")</f>
        <v>0</v>
      </c>
      <c r="AW43" s="21">
        <f ca="1">IF(AV42=0,0,
IF(OR(AV42="",COUNTIF(AV42,"*保育無し*")),"",
IF(MOD(AV43-AV42,1)*24&gt;=8,1,
IF(MOD(AV43-AV42,1)*24&gt;=6,0.75,0))))</f>
        <v>0</v>
      </c>
      <c r="AX43" s="21">
        <f t="array" aca="1" ref="AX43" ca="1">IFERROR(IF(AW42&lt;&gt;0,INDEX(
INDIRECT("'シフト一覧（転載）'!"&amp;AW42&amp;":AK100"),1+1,
MATCH(1,INDEX((LEN(INDIRECT("'シフト一覧（転載）'!"&amp;AW42&amp;":AK100"))&gt;0)
*(INDIRECT("'シフト一覧（転載）'!"&amp;AW42&amp;":AK100")&lt;&gt;"休み"),1,0),0)),0),"")</f>
        <v>0</v>
      </c>
      <c r="AY43" s="21">
        <f ca="1">IF(AX42=0,0,
IF(OR(AX42="",COUNTIF(AX42,"*保育無し*")),"",
IF(MOD(AX43-AX42,1)*24&gt;=8,1,
IF(MOD(AX43-AX42,1)*24&gt;=6,0.75,0))))</f>
        <v>0</v>
      </c>
      <c r="AZ43" s="21">
        <f t="array" aca="1" ref="AZ43" ca="1">IFERROR(IF(AY42&lt;&gt;0,INDEX(
INDIRECT("'シフト一覧（転載）'!"&amp;AY42&amp;":AK100"),1+1,
MATCH(1,INDEX((LEN(INDIRECT("'シフト一覧（転載）'!"&amp;AY42&amp;":AK100"))&gt;0)
*(INDIRECT("'シフト一覧（転載）'!"&amp;AY42&amp;":AK100")&lt;&gt;"休み"),1,0),0)),0),"")</f>
        <v>0</v>
      </c>
      <c r="BA43" s="21">
        <f ca="1">IF(AZ42=0,0,
IF(OR(AZ42="",COUNTIF(AZ42,"*保育無し*")),"",
IF(MOD(AZ43-AZ42,1)*24&gt;=8,1,
IF(MOD(AZ43-AZ42,1)*24&gt;=6,0.75,0))))</f>
        <v>0</v>
      </c>
      <c r="BB43" s="21">
        <f t="array" aca="1" ref="BB43" ca="1">IFERROR(IF(BA42&lt;&gt;0,INDEX(
INDIRECT("'シフト一覧（転載）'!"&amp;BA42&amp;":AK100"),1+1,
MATCH(1,INDEX((LEN(INDIRECT("'シフト一覧（転載）'!"&amp;BA42&amp;":AK100"))&gt;0)
*(INDIRECT("'シフト一覧（転載）'!"&amp;BA42&amp;":AK100")&lt;&gt;"休み"),1,0),0)),0),"")</f>
        <v>0</v>
      </c>
      <c r="BC43" s="21">
        <f ca="1">IF(BB42=0,0,
IF(OR(BB42="",COUNTIF(BB42,"*保育無し*")),"",
IF(MOD(BB43-BB42,1)*24&gt;=8,1,
IF(MOD(BB43-BB42,1)*24&gt;=6,0.75,0))))</f>
        <v>0</v>
      </c>
      <c r="BD43" s="21">
        <f t="array" aca="1" ref="BD43" ca="1">IFERROR(IF(BC42&lt;&gt;0,INDEX(
INDIRECT("'シフト一覧（転載）'!"&amp;BC42&amp;":AK100"),1+1,
MATCH(1,INDEX((LEN(INDIRECT("'シフト一覧（転載）'!"&amp;BC42&amp;":AK100"))&gt;0)
*(INDIRECT("'シフト一覧（転載）'!"&amp;BC42&amp;":AK100")&lt;&gt;"休み"),1,0),0)),0),"")</f>
        <v>0</v>
      </c>
      <c r="BE43" s="21">
        <f ca="1">IF(BD42=0,0,
IF(OR(BD42="",COUNTIF(BD42,"*保育無し*")),"",
IF(MOD(BD43-BD42,1)*24&gt;=8,1,
IF(MOD(BD43-BD42,1)*24&gt;=6,0.75,0))))</f>
        <v>0</v>
      </c>
      <c r="BF43" s="21">
        <f t="array" aca="1" ref="BF43" ca="1">IFERROR(IF(BE42&lt;&gt;0,INDEX(
INDIRECT("'シフト一覧（転載）'!"&amp;BE42&amp;":AK100"),1+1,
MATCH(1,INDEX((LEN(INDIRECT("'シフト一覧（転載）'!"&amp;BE42&amp;":AK100"))&gt;0)
*(INDIRECT("'シフト一覧（転載）'!"&amp;BE42&amp;":AK100")&lt;&gt;"休み"),1,0),0)),0),"")</f>
        <v>0</v>
      </c>
      <c r="BG43" s="21">
        <f ca="1">IF(BF42=0,0,
IF(OR(BF42="",COUNTIF(BF42,"*保育無し*")),"",
IF(MOD(BF43-BF42,1)*24&gt;=8,1,
IF(MOD(BF43-BF42,1)*24&gt;=6,0.75,0))))</f>
        <v>0</v>
      </c>
      <c r="BH43" s="21">
        <f t="array" aca="1" ref="BH43" ca="1">IFERROR(IF(BG42&lt;&gt;0,INDEX(
INDIRECT("'シフト一覧（転載）'!"&amp;BG42&amp;":AK100"),1+1,
MATCH(1,INDEX((LEN(INDIRECT("'シフト一覧（転載）'!"&amp;BG42&amp;":AK100"))&gt;0)
*(INDIRECT("'シフト一覧（転載）'!"&amp;BG42&amp;":AK100")&lt;&gt;"休み"),1,0),0)),0),"")</f>
        <v>0</v>
      </c>
      <c r="BI43" s="21">
        <f ca="1">IF(BH42=0,0,
IF(OR(BH42="",COUNTIF(BH42,"*保育無し*")),"",
IF(MOD(BH43-BH42,1)*24&gt;=8,1,
IF(MOD(BH43-BH42,1)*24&gt;=6,0.75,0))))</f>
        <v>0</v>
      </c>
      <c r="BJ43" s="21">
        <f t="array" aca="1" ref="BJ43" ca="1">IFERROR(IF(BI42&lt;&gt;0,INDEX(
INDIRECT("'シフト一覧（転載）'!"&amp;BI42&amp;":AK100"),1+1,
MATCH(1,INDEX((LEN(INDIRECT("'シフト一覧（転載）'!"&amp;BI42&amp;":AK100"))&gt;0)
*(INDIRECT("'シフト一覧（転載）'!"&amp;BI42&amp;":AK100")&lt;&gt;"休み"),1,0),0)),0),"")</f>
        <v>0</v>
      </c>
      <c r="BK43" s="21">
        <f ca="1">IF(BJ42=0,0,
IF(OR(BJ42="",COUNTIF(BJ42,"*保育無し*")),"",
IF(MOD(BJ43-BJ42,1)*24&gt;=8,1,
IF(MOD(BJ43-BJ42,1)*24&gt;=6,0.75,0))))</f>
        <v>0</v>
      </c>
      <c r="BL43" s="21">
        <f t="array" aca="1" ref="BL43" ca="1">IFERROR(IF(BK42&lt;&gt;0,INDEX(
INDIRECT("'シフト一覧（転載）'!"&amp;BK42&amp;":AK100"),1+1,
MATCH(1,INDEX((LEN(INDIRECT("'シフト一覧（転載）'!"&amp;BK42&amp;":AK100"))&gt;0)
*(INDIRECT("'シフト一覧（転載）'!"&amp;BK42&amp;":AK100")&lt;&gt;"休み"),1,0),0)),0),"")</f>
        <v>0</v>
      </c>
      <c r="BM43" s="21">
        <f ca="1">IF(BL42=0,0,
IF(OR(BL42="",COUNTIF(BL42,"*保育無し*")),"",
IF(MOD(BL43-BL42,1)*24&gt;=8,1,
IF(MOD(BL43-BL42,1)*24&gt;=6,0.75,0))))</f>
        <v>0</v>
      </c>
      <c r="BN43" s="21">
        <f t="array" aca="1" ref="BN43" ca="1">IFERROR(IF(BM42&lt;&gt;0,INDEX(
INDIRECT("'シフト一覧（転載）'!"&amp;BM42&amp;":AK100"),1+1,
MATCH(1,INDEX((LEN(INDIRECT("'シフト一覧（転載）'!"&amp;BM42&amp;":AK100"))&gt;0)
*(INDIRECT("'シフト一覧（転載）'!"&amp;BM42&amp;":AK100")&lt;&gt;"休み"),1,0),0)),0),"")</f>
        <v>0</v>
      </c>
      <c r="BO43" s="21">
        <f ca="1">IF(BN42=0,0,
IF(OR(BN42="",COUNTIF(BN42,"*保育無し*")),"",
IF(MOD(BN43-BN42,1)*24&gt;=8,1,
IF(MOD(BN43-BN42,1)*24&gt;=6,0.75,0))))</f>
        <v>0</v>
      </c>
      <c r="BP43" s="21">
        <f t="array" aca="1" ref="BP43" ca="1">IFERROR(IF(BO42&lt;&gt;0,INDEX(
INDIRECT("'シフト一覧（転載）'!"&amp;BO42&amp;":AK100"),1+1,
MATCH(1,INDEX((LEN(INDIRECT("'シフト一覧（転載）'!"&amp;BO42&amp;":AK100"))&gt;0)
*(INDIRECT("'シフト一覧（転載）'!"&amp;BO42&amp;":AK100")&lt;&gt;"休み"),1,0),0)),0),"")</f>
        <v>0</v>
      </c>
      <c r="BQ43" s="21">
        <f ca="1">IF(BP42=0,0,
IF(OR(BP42="",COUNTIF(BP42,"*保育無し*")),"",
IF(MOD(BP43-BP42,1)*24&gt;=8,1,
IF(MOD(BP43-BP42,1)*24&gt;=6,0.75,0))))</f>
        <v>0</v>
      </c>
      <c r="BR43" s="21">
        <f t="array" aca="1" ref="BR43" ca="1">IFERROR(IF(BQ42&lt;&gt;0,INDEX(
INDIRECT("'シフト一覧（転載）'!"&amp;BQ42&amp;":AK100"),1+1,
MATCH(1,INDEX((LEN(INDIRECT("'シフト一覧（転載）'!"&amp;BQ42&amp;":AK100"))&gt;0)
*(INDIRECT("'シフト一覧（転載）'!"&amp;BQ42&amp;":AK100")&lt;&gt;"休み"),1,0),0)),0),"")</f>
        <v>0</v>
      </c>
      <c r="BS43" s="21">
        <f ca="1">IF(BR42=0,0,
IF(OR(BR42="",COUNTIF(BR42,"*保育無し*")),"",
IF(MOD(BR43-BR42,1)*24&gt;=8,1,
IF(MOD(BR43-BR42,1)*24&gt;=6,0.75,0))))</f>
        <v>0</v>
      </c>
      <c r="BT43" s="21">
        <f t="array" aca="1" ref="BT43" ca="1">IFERROR(IF(BS42&lt;&gt;0,INDEX(
INDIRECT("'シフト一覧（転載）'!"&amp;BS42&amp;":AK100"),1+1,
MATCH(1,INDEX((LEN(INDIRECT("'シフト一覧（転載）'!"&amp;BS42&amp;":AK100"))&gt;0)
*(INDIRECT("'シフト一覧（転載）'!"&amp;BS42&amp;":AK100")&lt;&gt;"休み"),1,0),0)),0),"")</f>
        <v>0</v>
      </c>
      <c r="BU43" s="21">
        <f ca="1">IF(BT42=0,0,
IF(OR(BT42="",COUNTIF(BT42,"*保育無し*")),"",
IF(MOD(BT43-BT42,1)*24&gt;=8,1,
IF(MOD(BT43-BT42,1)*24&gt;=6,0.75,0))))</f>
        <v>0</v>
      </c>
      <c r="BV43" s="21">
        <f t="array" aca="1" ref="BV43" ca="1">IFERROR(IF(BU42&lt;&gt;0,INDEX(
INDIRECT("'シフト一覧（転載）'!"&amp;BU42&amp;":AK100"),1+1,
MATCH(1,INDEX((LEN(INDIRECT("'シフト一覧（転載）'!"&amp;BU42&amp;":AK100"))&gt;0)
*(INDIRECT("'シフト一覧（転載）'!"&amp;BU42&amp;":AK100")&lt;&gt;"休み"),1,0),0)),0),"")</f>
        <v>0</v>
      </c>
      <c r="BW43" s="21">
        <f ca="1">IF(BV42=0,0,
IF(OR(BV42="",COUNTIF(BV42,"*保育無し*")),"",
IF(MOD(BV43-BV42,1)*24&gt;=8,1,
IF(MOD(BV43-BV42,1)*24&gt;=6,0.75,0))))</f>
        <v>0</v>
      </c>
      <c r="BX43" s="21">
        <f t="array" aca="1" ref="BX43" ca="1">IFERROR(IF(BW42&lt;&gt;0,INDEX(
INDIRECT("'シフト一覧（転載）'!"&amp;BW42&amp;":AK100"),1+1,
MATCH(1,INDEX((LEN(INDIRECT("'シフト一覧（転載）'!"&amp;BW42&amp;":AK100"))&gt;0)
*(INDIRECT("'シフト一覧（転載）'!"&amp;BW42&amp;":AK100")&lt;&gt;"休み"),1,0),0)),0),"")</f>
        <v>0</v>
      </c>
      <c r="BY43" s="21">
        <f ca="1">IF(BX42=0,0,
IF(OR(BX42="",COUNTIF(BX42,"*保育無し*")),"",
IF(MOD(BX43-BX42,1)*24&gt;=8,1,
IF(MOD(BX43-BX42,1)*24&gt;=6,0.75,0))))</f>
        <v>0</v>
      </c>
    </row>
    <row r="44" spans="1:77" ht="19.8" customHeight="1" x14ac:dyDescent="0.2">
      <c r="M44" s="103" t="str" cm="1">
        <f t="array" aca="1" ref="M4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4" s="101" t="str">
        <f t="shared" ref="N44" ca="1" si="21">IF(M44&lt;&gt;"",VLOOKUP(M44,$B$12:$C$41,2,FALSE),"")</f>
        <v/>
      </c>
      <c r="O44" s="106" cm="1">
        <f t="array" aca="1" ref="O44" ca="1">IF(COUNTIF(P44,"*保育無*"),0,
SUM(IF(
MOD(COLUMN(INDIRECT("P"&amp; ROW() &amp; ":" &amp; ADDRESS(ROW(), IFERROR(MATCH("*保育無し*", INDIRECT("P"&amp; ROW() &amp; ":BY" &amp; ROW()), 0) + COLUMN(P44) - 2, COLUMN(BX44) + 1), 4))) - COLUMN(P44), 2) = 0,
MOD(INDIRECT("P"&amp; ROW()+1 &amp; ":" &amp; ADDRESS(ROW()+1, IFERROR(MATCH("*保育無し*", INDIRECT("P"&amp; ROW() &amp; ":BY" &amp; ROW()), 0) + COLUMN(P44) - 2, COLUMN(BX44) + 1), 4)) - INDIRECT("P"&amp; ROW() &amp; ":" &amp; ADDRESS(ROW(), IFERROR(MATCH("*保育無し*", INDIRECT("P"&amp; ROW() &amp; ":BY" &amp; ROW()), 0) + COLUMN(P44) - 2, COLUMN(BX44) + 1), 4)),1),0))*24
-SUM(_xlfn._xlws.FILTER(P45:BX45, MOD(COLUMN(P45:BX45) - COLUMN(P45), 2) = 1)))</f>
        <v>0</v>
      </c>
      <c r="P44" s="20">
        <f t="array" aca="1" ref="P44" ca="1">IFERROR(IF(M44&lt;&gt;"",INDEX('シフト一覧（転載）'!$F$8:$AK$100,
    MATCH(1,(ISNUMBER(SEARCH(M44,'シフト一覧（転載）'!$A$8:$A$100)))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MATCH(1,(ISNUMBER(SEARCH(M44,'シフト一覧（転載）'!$A$8:$A$100)))
                *(ISNUMBER(SEARCH($F$9,'シフト一覧（転載）'!$B$8:$B$100))),
                0),0),0)),0),$F$9&amp;"保育無し")</f>
        <v>0</v>
      </c>
      <c r="Q44" s="20">
        <f t="array" aca="1" ref="Q44" ca="1">IFERROR(IF(COUNTIF(P44,"*無*"),"",IF(M44&lt;&gt;"",ADDRESS(
    MATCH(1,(ISNUMBER(SEARCH(M44,'シフト一覧（転載）'!$A$8:$A$100)))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MATCH(1,(ISNUMBER(SEARCH(M44,'シフト一覧（転載）'!$A$8:$A$100)))
                *(ISNUMBER(SEARCH($F$9,'シフト一覧（転載）'!$B$8:$B$100))),0),0),0) + 6,4),0)),0)</f>
        <v>0</v>
      </c>
      <c r="R44" s="20">
        <f t="array" aca="1" ref="R44" ca="1">IFERROR(IF(Q44&lt;&gt;"",IF(Q44&lt;&gt;0,INDEX(
INDIRECT("'シフト一覧（転載）'!"&amp;Q44&amp;":AK100"),1,
MATCH(1,INDEX((LEN(INDIRECT("'シフト一覧（転載）'!"&amp;Q44&amp;":AK100"))&gt;0)
*(INDIRECT("'シフト一覧（転載）'!"&amp;Q44&amp;":AK100")&lt;&gt;"休み"),1,0),0)),0),""),$F$9&amp;"保育無し")</f>
        <v>0</v>
      </c>
      <c r="S44" s="20">
        <f t="array" aca="1" ref="S44" ca="1">IFERROR(IF(Q44&lt;&gt;0,ADDRESS(ROW(INDIRECT(Q44)),
    COLUMN(INDIRECT(Q44)) - 1 +
    MATCH(1,INDEX((LEN(INDIRECT("'シフト一覧（転載）'!"&amp;Q44&amp;":AK100"))&gt;0)
            *(INDIRECT("'シフト一覧（転載）'!"&amp;Q44&amp;":AK100")&lt;&gt;"休み"),
            1,0),0)+1,4),0),"")</f>
        <v>0</v>
      </c>
      <c r="T44" s="20">
        <f t="array" aca="1" ref="T44" ca="1">IFERROR(IF(S44&lt;&gt;"",IF(S44&lt;&gt;0,INDEX(
INDIRECT("'シフト一覧（転載）'!"&amp;S44&amp;":AK100"),1,
MATCH(1,INDEX((LEN(INDIRECT("'シフト一覧（転載）'!"&amp;S44&amp;":AK100"))&gt;0)
*(INDIRECT("'シフト一覧（転載）'!"&amp;S44&amp;":AK100")&lt;&gt;"休み"),1,0),0)),0),""),$F$9&amp;"保育無し")</f>
        <v>0</v>
      </c>
      <c r="U44" s="20">
        <f t="array" aca="1" ref="U44" ca="1">IFERROR(IF(S44&lt;&gt;0,ADDRESS(ROW(INDIRECT(S44)),
    COLUMN(INDIRECT(S44)) - 1 +
    MATCH(1,INDEX((LEN(INDIRECT("'シフト一覧（転載）'!"&amp;S44&amp;":AK100"))&gt;0)
            *(INDIRECT("'シフト一覧（転載）'!"&amp;S44&amp;":AK100")&lt;&gt;"休み"),
            1,0),0)+1,4),0),"")</f>
        <v>0</v>
      </c>
      <c r="V44" s="20">
        <f t="array" aca="1" ref="V44" ca="1">IFERROR(IF(U44&lt;&gt;"",IF(U44&lt;&gt;0,INDEX(
INDIRECT("'シフト一覧（転載）'!"&amp;U44&amp;":AK100"),1,
MATCH(1,INDEX((LEN(INDIRECT("'シフト一覧（転載）'!"&amp;U44&amp;":AK100"))&gt;0)
*(INDIRECT("'シフト一覧（転載）'!"&amp;U44&amp;":AK100")&lt;&gt;"休み"),1,0),0)),0),""),$F$9&amp;"保育無し")</f>
        <v>0</v>
      </c>
      <c r="W44" s="20">
        <f t="array" aca="1" ref="W44" ca="1">IFERROR(IF(U44&lt;&gt;0,ADDRESS(ROW(INDIRECT(U44)),
    COLUMN(INDIRECT(U44)) - 1 +
    MATCH(1,INDEX((LEN(INDIRECT("'シフト一覧（転載）'!"&amp;U44&amp;":AK100"))&gt;0)
            *(INDIRECT("'シフト一覧（転載）'!"&amp;U44&amp;":AK100")&lt;&gt;"休み"),
            1,0),0)+1,4),0),"")</f>
        <v>0</v>
      </c>
      <c r="X44" s="20">
        <f t="array" aca="1" ref="X44" ca="1">IFERROR(IF(W44&lt;&gt;"",IF(W44&lt;&gt;0,INDEX(
INDIRECT("'シフト一覧（転載）'!"&amp;W44&amp;":AK100"),1,
MATCH(1,INDEX((LEN(INDIRECT("'シフト一覧（転載）'!"&amp;W44&amp;":AK100"))&gt;0)
*(INDIRECT("'シフト一覧（転載）'!"&amp;W44&amp;":AK100")&lt;&gt;"休み"),1,0),0)),0),""),$F$9&amp;"保育無し")</f>
        <v>0</v>
      </c>
      <c r="Y44" s="20">
        <f t="array" aca="1" ref="Y44" ca="1">IFERROR(IF(W44&lt;&gt;0,ADDRESS(ROW(INDIRECT(W44)),
    COLUMN(INDIRECT(W44)) - 1 +
    MATCH(1,INDEX((LEN(INDIRECT("'シフト一覧（転載）'!"&amp;W44&amp;":AK100"))&gt;0)
            *(INDIRECT("'シフト一覧（転載）'!"&amp;W44&amp;":AK100")&lt;&gt;"休み"),
            1,0),0)+1,4),0),"")</f>
        <v>0</v>
      </c>
      <c r="Z44" s="20">
        <f t="array" aca="1" ref="Z44" ca="1">IFERROR(IF(Y44&lt;&gt;"",IF(Y44&lt;&gt;0,INDEX(
INDIRECT("'シフト一覧（転載）'!"&amp;Y44&amp;":AK100"),1,
MATCH(1,INDEX((LEN(INDIRECT("'シフト一覧（転載）'!"&amp;Y44&amp;":AK100"))&gt;0)
*(INDIRECT("'シフト一覧（転載）'!"&amp;Y44&amp;":AK100")&lt;&gt;"休み"),1,0),0)),0),""),$F$9&amp;"保育無し")</f>
        <v>0</v>
      </c>
      <c r="AA44" s="20">
        <f t="array" aca="1" ref="AA44" ca="1">IFERROR(IF(Y44&lt;&gt;0,ADDRESS(ROW(INDIRECT(Y44)),
    COLUMN(INDIRECT(Y44)) - 1 +
    MATCH(1,INDEX((LEN(INDIRECT("'シフト一覧（転載）'!"&amp;Y44&amp;":AK100"))&gt;0)
            *(INDIRECT("'シフト一覧（転載）'!"&amp;Y44&amp;":AK100")&lt;&gt;"休み"),
            1,0),0)+1,4),0),"")</f>
        <v>0</v>
      </c>
      <c r="AB44" s="20">
        <f t="array" aca="1" ref="AB44" ca="1">IFERROR(IF(AA44&lt;&gt;"",IF(AA44&lt;&gt;0,INDEX(
INDIRECT("'シフト一覧（転載）'!"&amp;AA44&amp;":AK100"),1,
MATCH(1,INDEX((LEN(INDIRECT("'シフト一覧（転載）'!"&amp;AA44&amp;":AK100"))&gt;0)
*(INDIRECT("'シフト一覧（転載）'!"&amp;AA44&amp;":AK100")&lt;&gt;"休み"),1,0),0)),0),""),$F$9&amp;"保育無し")</f>
        <v>0</v>
      </c>
      <c r="AC44" s="20">
        <f t="array" aca="1" ref="AC44" ca="1">IFERROR(IF(AA44&lt;&gt;0,ADDRESS(ROW(INDIRECT(AA44)),
    COLUMN(INDIRECT(AA44)) - 1 +
    MATCH(1,INDEX((LEN(INDIRECT("'シフト一覧（転載）'!"&amp;AA44&amp;":AK100"))&gt;0)
            *(INDIRECT("'シフト一覧（転載）'!"&amp;AA44&amp;":AK100")&lt;&gt;"休み"),
            1,0),0)+1,4),0),"")</f>
        <v>0</v>
      </c>
      <c r="AD44" s="20">
        <f t="array" aca="1" ref="AD44" ca="1">IFERROR(IF(AC44&lt;&gt;"",IF(AC44&lt;&gt;0,INDEX(
INDIRECT("'シフト一覧（転載）'!"&amp;AC44&amp;":AK100"),1,
MATCH(1,INDEX((LEN(INDIRECT("'シフト一覧（転載）'!"&amp;AC44&amp;":AK100"))&gt;0)
*(INDIRECT("'シフト一覧（転載）'!"&amp;AC44&amp;":AK100")&lt;&gt;"休み"),1,0),0)),0),""),$F$9&amp;"保育無し")</f>
        <v>0</v>
      </c>
      <c r="AE44" s="20">
        <f t="array" aca="1" ref="AE44" ca="1">IFERROR(IF(AC44&lt;&gt;0,ADDRESS(ROW(INDIRECT(AC44)),
    COLUMN(INDIRECT(AC44)) - 1 +
    MATCH(1,INDEX((LEN(INDIRECT("'シフト一覧（転載）'!"&amp;AC44&amp;":AK100"))&gt;0)
            *(INDIRECT("'シフト一覧（転載）'!"&amp;AC44&amp;":AK100")&lt;&gt;"休み"),
            1,0),0)+1,4),0),"")</f>
        <v>0</v>
      </c>
      <c r="AF44" s="20">
        <f t="array" aca="1" ref="AF44" ca="1">IFERROR(IF(AE44&lt;&gt;"",IF(AE44&lt;&gt;0,INDEX(
INDIRECT("'シフト一覧（転載）'!"&amp;AE44&amp;":AK100"),1,
MATCH(1,INDEX((LEN(INDIRECT("'シフト一覧（転載）'!"&amp;AE44&amp;":AK100"))&gt;0)
*(INDIRECT("'シフト一覧（転載）'!"&amp;AE44&amp;":AK100")&lt;&gt;"休み"),1,0),0)),0),""),$F$9&amp;"保育無し")</f>
        <v>0</v>
      </c>
      <c r="AG44" s="20">
        <f t="array" aca="1" ref="AG44" ca="1">IFERROR(IF(AE44&lt;&gt;0,ADDRESS(ROW(INDIRECT(AE44)),
    COLUMN(INDIRECT(AE44)) - 1 +
    MATCH(1,INDEX((LEN(INDIRECT("'シフト一覧（転載）'!"&amp;AE44&amp;":AK100"))&gt;0)
            *(INDIRECT("'シフト一覧（転載）'!"&amp;AE44&amp;":AK100")&lt;&gt;"休み"),
            1,0),0)+1,4),0),"")</f>
        <v>0</v>
      </c>
      <c r="AH44" s="20">
        <f t="array" aca="1" ref="AH44" ca="1">IFERROR(IF(AG44&lt;&gt;"",IF(AG44&lt;&gt;0,INDEX(
INDIRECT("'シフト一覧（転載）'!"&amp;AG44&amp;":AK100"),1,
MATCH(1,INDEX((LEN(INDIRECT("'シフト一覧（転載）'!"&amp;AG44&amp;":AK100"))&gt;0)
*(INDIRECT("'シフト一覧（転載）'!"&amp;AG44&amp;":AK100")&lt;&gt;"休み"),1,0),0)),0),""),$F$9&amp;"保育無し")</f>
        <v>0</v>
      </c>
      <c r="AI44" s="20">
        <f t="array" aca="1" ref="AI44" ca="1">IFERROR(IF(AG44&lt;&gt;0,ADDRESS(ROW(INDIRECT(AG44)),
    COLUMN(INDIRECT(AG44)) - 1 +
    MATCH(1,INDEX((LEN(INDIRECT("'シフト一覧（転載）'!"&amp;AG44&amp;":AK100"))&gt;0)
            *(INDIRECT("'シフト一覧（転載）'!"&amp;AG44&amp;":AK100")&lt;&gt;"休み"),
            1,0),0)+1,4),0),"")</f>
        <v>0</v>
      </c>
      <c r="AJ44" s="20">
        <f t="array" aca="1" ref="AJ44" ca="1">IFERROR(IF(AI44&lt;&gt;"",IF(AI44&lt;&gt;0,INDEX(
INDIRECT("'シフト一覧（転載）'!"&amp;AI44&amp;":AK100"),1,
MATCH(1,INDEX((LEN(INDIRECT("'シフト一覧（転載）'!"&amp;AI44&amp;":AK100"))&gt;0)
*(INDIRECT("'シフト一覧（転載）'!"&amp;AI44&amp;":AK100")&lt;&gt;"休み"),1,0),0)),0),""),$F$9&amp;"保育無し")</f>
        <v>0</v>
      </c>
      <c r="AK44" s="20">
        <f t="array" aca="1" ref="AK44" ca="1">IFERROR(IF(AI44&lt;&gt;0,ADDRESS(ROW(INDIRECT(AI44)),
    COLUMN(INDIRECT(AI44)) - 1 +
    MATCH(1,INDEX((LEN(INDIRECT("'シフト一覧（転載）'!"&amp;AI44&amp;":AK100"))&gt;0)
            *(INDIRECT("'シフト一覧（転載）'!"&amp;AI44&amp;":AK100")&lt;&gt;"休み"),
            1,0),0)+1,4),0),"")</f>
        <v>0</v>
      </c>
      <c r="AL44" s="20">
        <f t="array" aca="1" ref="AL44" ca="1">IFERROR(IF(AK44&lt;&gt;"",IF(AK44&lt;&gt;0,INDEX(
INDIRECT("'シフト一覧（転載）'!"&amp;AK44&amp;":AK100"),1,
MATCH(1,INDEX((LEN(INDIRECT("'シフト一覧（転載）'!"&amp;AK44&amp;":AK100"))&gt;0)
*(INDIRECT("'シフト一覧（転載）'!"&amp;AK44&amp;":AK100")&lt;&gt;"休み"),1,0),0)),0),""),$F$9&amp;"保育無し")</f>
        <v>0</v>
      </c>
      <c r="AM44" s="20">
        <f t="array" aca="1" ref="AM44" ca="1">IFERROR(IF(AK44&lt;&gt;0,ADDRESS(ROW(INDIRECT(AK44)),
    COLUMN(INDIRECT(AK44)) - 1 +
    MATCH(1,INDEX((LEN(INDIRECT("'シフト一覧（転載）'!"&amp;AK44&amp;":AK100"))&gt;0)
            *(INDIRECT("'シフト一覧（転載）'!"&amp;AK44&amp;":AK100")&lt;&gt;"休み"),
            1,0),0)+1,4),0),"")</f>
        <v>0</v>
      </c>
      <c r="AN44" s="20">
        <f t="array" aca="1" ref="AN44" ca="1">IFERROR(IF(AM44&lt;&gt;"",IF(AM44&lt;&gt;0,INDEX(
INDIRECT("'シフト一覧（転載）'!"&amp;AM44&amp;":AK100"),1,
MATCH(1,INDEX((LEN(INDIRECT("'シフト一覧（転載）'!"&amp;AM44&amp;":AK100"))&gt;0)
*(INDIRECT("'シフト一覧（転載）'!"&amp;AM44&amp;":AK100")&lt;&gt;"休み"),1,0),0)),0),""),$F$9&amp;"保育無し")</f>
        <v>0</v>
      </c>
      <c r="AO44" s="20">
        <f t="array" aca="1" ref="AO44" ca="1">IFERROR(IF(AM44&lt;&gt;0,ADDRESS(ROW(INDIRECT(AM44)),
    COLUMN(INDIRECT(AM44)) - 1 +
    MATCH(1,INDEX((LEN(INDIRECT("'シフト一覧（転載）'!"&amp;AM44&amp;":AK100"))&gt;0)
            *(INDIRECT("'シフト一覧（転載）'!"&amp;AM44&amp;":AK100")&lt;&gt;"休み"),
            1,0),0)+1,4),0),"")</f>
        <v>0</v>
      </c>
      <c r="AP44" s="20">
        <f t="array" aca="1" ref="AP44" ca="1">IFERROR(IF(AO44&lt;&gt;"",IF(AO44&lt;&gt;0,INDEX(
INDIRECT("'シフト一覧（転載）'!"&amp;AO44&amp;":AK100"),1,
MATCH(1,INDEX((LEN(INDIRECT("'シフト一覧（転載）'!"&amp;AO44&amp;":AK100"))&gt;0)
*(INDIRECT("'シフト一覧（転載）'!"&amp;AO44&amp;":AK100")&lt;&gt;"休み"),1,0),0)),0),""),$F$9&amp;"保育無し")</f>
        <v>0</v>
      </c>
      <c r="AQ44" s="20">
        <f t="array" aca="1" ref="AQ44" ca="1">IFERROR(IF(AO44&lt;&gt;0,ADDRESS(ROW(INDIRECT(AO44)),
    COLUMN(INDIRECT(AO44)) - 1 +
    MATCH(1,INDEX((LEN(INDIRECT("'シフト一覧（転載）'!"&amp;AO44&amp;":AK100"))&gt;0)
            *(INDIRECT("'シフト一覧（転載）'!"&amp;AO44&amp;":AK100")&lt;&gt;"休み"),
            1,0),0)+1,4),0),"")</f>
        <v>0</v>
      </c>
      <c r="AR44" s="20">
        <f t="array" aca="1" ref="AR44" ca="1">IFERROR(IF(AQ44&lt;&gt;"",IF(AQ44&lt;&gt;0,INDEX(
INDIRECT("'シフト一覧（転載）'!"&amp;AQ44&amp;":AK100"),1,
MATCH(1,INDEX((LEN(INDIRECT("'シフト一覧（転載）'!"&amp;AQ44&amp;":AK100"))&gt;0)
*(INDIRECT("'シフト一覧（転載）'!"&amp;AQ44&amp;":AK100")&lt;&gt;"休み"),1,0),0)),0),""),$F$9&amp;"保育無し")</f>
        <v>0</v>
      </c>
      <c r="AS44" s="20">
        <f t="array" aca="1" ref="AS44" ca="1">IFERROR(IF(AQ44&lt;&gt;0,ADDRESS(ROW(INDIRECT(AQ44)),
    COLUMN(INDIRECT(AQ44)) - 1 +
    MATCH(1,INDEX((LEN(INDIRECT("'シフト一覧（転載）'!"&amp;AQ44&amp;":AK100"))&gt;0)
            *(INDIRECT("'シフト一覧（転載）'!"&amp;AQ44&amp;":AK100")&lt;&gt;"休み"),
            1,0),0)+1,4),0),"")</f>
        <v>0</v>
      </c>
      <c r="AT44" s="20">
        <f t="array" aca="1" ref="AT44" ca="1">IFERROR(IF(AS44&lt;&gt;"",IF(AS44&lt;&gt;0,INDEX(
INDIRECT("'シフト一覧（転載）'!"&amp;AS44&amp;":AK100"),1,
MATCH(1,INDEX((LEN(INDIRECT("'シフト一覧（転載）'!"&amp;AS44&amp;":AK100"))&gt;0)
*(INDIRECT("'シフト一覧（転載）'!"&amp;AS44&amp;":AK100")&lt;&gt;"休み"),1,0),0)),0),""),$F$9&amp;"保育無し")</f>
        <v>0</v>
      </c>
      <c r="AU44" s="20">
        <f t="array" aca="1" ref="AU44" ca="1">IFERROR(IF(AS44&lt;&gt;0,ADDRESS(ROW(INDIRECT(AS44)),
    COLUMN(INDIRECT(AS44)) - 1 +
    MATCH(1,INDEX((LEN(INDIRECT("'シフト一覧（転載）'!"&amp;AS44&amp;":AK100"))&gt;0)
            *(INDIRECT("'シフト一覧（転載）'!"&amp;AS44&amp;":AK100")&lt;&gt;"休み"),
            1,0),0)+1,4),0),"")</f>
        <v>0</v>
      </c>
      <c r="AV44" s="20">
        <f t="array" aca="1" ref="AV44" ca="1">IFERROR(IF(AU44&lt;&gt;"",IF(AU44&lt;&gt;0,INDEX(
INDIRECT("'シフト一覧（転載）'!"&amp;AU44&amp;":AK100"),1,
MATCH(1,INDEX((LEN(INDIRECT("'シフト一覧（転載）'!"&amp;AU44&amp;":AK100"))&gt;0)
*(INDIRECT("'シフト一覧（転載）'!"&amp;AU44&amp;":AK100")&lt;&gt;"休み"),1,0),0)),0),""),$F$9&amp;"保育無し")</f>
        <v>0</v>
      </c>
      <c r="AW44" s="20">
        <f t="array" aca="1" ref="AW44" ca="1">IFERROR(IF(AU44&lt;&gt;0,ADDRESS(ROW(INDIRECT(AU44)),
    COLUMN(INDIRECT(AU44)) - 1 +
    MATCH(1,INDEX((LEN(INDIRECT("'シフト一覧（転載）'!"&amp;AU44&amp;":AK100"))&gt;0)
            *(INDIRECT("'シフト一覧（転載）'!"&amp;AU44&amp;":AK100")&lt;&gt;"休み"),
            1,0),0)+1,4),0),"")</f>
        <v>0</v>
      </c>
      <c r="AX44" s="20">
        <f t="array" aca="1" ref="AX44" ca="1">IFERROR(IF(AW44&lt;&gt;"",IF(AW44&lt;&gt;0,INDEX(
INDIRECT("'シフト一覧（転載）'!"&amp;AW44&amp;":AK100"),1,
MATCH(1,INDEX((LEN(INDIRECT("'シフト一覧（転載）'!"&amp;AW44&amp;":AK100"))&gt;0)
*(INDIRECT("'シフト一覧（転載）'!"&amp;AW44&amp;":AK100")&lt;&gt;"休み"),1,0),0)),0),""),$F$9&amp;"保育無し")</f>
        <v>0</v>
      </c>
      <c r="AY44" s="20">
        <f t="array" aca="1" ref="AY44" ca="1">IFERROR(IF(AW44&lt;&gt;0,ADDRESS(ROW(INDIRECT(AW44)),
    COLUMN(INDIRECT(AW44)) - 1 +
    MATCH(1,INDEX((LEN(INDIRECT("'シフト一覧（転載）'!"&amp;AW44&amp;":AK100"))&gt;0)
            *(INDIRECT("'シフト一覧（転載）'!"&amp;AW44&amp;":AK100")&lt;&gt;"休み"),
            1,0),0)+1,4),0),"")</f>
        <v>0</v>
      </c>
      <c r="AZ44" s="20">
        <f t="array" aca="1" ref="AZ44" ca="1">IFERROR(IF(AY44&lt;&gt;"",IF(AY44&lt;&gt;0,INDEX(
INDIRECT("'シフト一覧（転載）'!"&amp;AY44&amp;":AK100"),1,
MATCH(1,INDEX((LEN(INDIRECT("'シフト一覧（転載）'!"&amp;AY44&amp;":AK100"))&gt;0)
*(INDIRECT("'シフト一覧（転載）'!"&amp;AY44&amp;":AK100")&lt;&gt;"休み"),1,0),0)),0),""),$F$9&amp;"保育無し")</f>
        <v>0</v>
      </c>
      <c r="BA44" s="20">
        <f t="array" aca="1" ref="BA44" ca="1">IFERROR(IF(AY44&lt;&gt;0,ADDRESS(ROW(INDIRECT(AY44)),
    COLUMN(INDIRECT(AY44)) - 1 +
    MATCH(1,INDEX((LEN(INDIRECT("'シフト一覧（転載）'!"&amp;AY44&amp;":AK100"))&gt;0)
            *(INDIRECT("'シフト一覧（転載）'!"&amp;AY44&amp;":AK100")&lt;&gt;"休み"),
            1,0),0)+1,4),0),"")</f>
        <v>0</v>
      </c>
      <c r="BB44" s="20">
        <f t="array" aca="1" ref="BB44" ca="1">IFERROR(IF(BA44&lt;&gt;"",IF(BA44&lt;&gt;0,INDEX(
INDIRECT("'シフト一覧（転載）'!"&amp;BA44&amp;":AK100"),1,
MATCH(1,INDEX((LEN(INDIRECT("'シフト一覧（転載）'!"&amp;BA44&amp;":AK100"))&gt;0)
*(INDIRECT("'シフト一覧（転載）'!"&amp;BA44&amp;":AK100")&lt;&gt;"休み"),1,0),0)),0),""),$F$9&amp;"保育無し")</f>
        <v>0</v>
      </c>
      <c r="BC44" s="20">
        <f t="array" aca="1" ref="BC44" ca="1">IFERROR(IF(BA44&lt;&gt;0,ADDRESS(ROW(INDIRECT(BA44)),
    COLUMN(INDIRECT(BA44)) - 1 +
    MATCH(1,INDEX((LEN(INDIRECT("'シフト一覧（転載）'!"&amp;BA44&amp;":AK100"))&gt;0)
            *(INDIRECT("'シフト一覧（転載）'!"&amp;BA44&amp;":AK100")&lt;&gt;"休み"),
            1,0),0)+1,4),0),"")</f>
        <v>0</v>
      </c>
      <c r="BD44" s="20">
        <f t="array" aca="1" ref="BD44" ca="1">IFERROR(IF(BC44&lt;&gt;"",IF(BC44&lt;&gt;0,INDEX(
INDIRECT("'シフト一覧（転載）'!"&amp;BC44&amp;":AK100"),1,
MATCH(1,INDEX((LEN(INDIRECT("'シフト一覧（転載）'!"&amp;BC44&amp;":AK100"))&gt;0)
*(INDIRECT("'シフト一覧（転載）'!"&amp;BC44&amp;":AK100")&lt;&gt;"休み"),1,0),0)),0),""),$F$9&amp;"保育無し")</f>
        <v>0</v>
      </c>
      <c r="BE44" s="20">
        <f t="array" aca="1" ref="BE44" ca="1">IFERROR(IF(BC44&lt;&gt;0,ADDRESS(ROW(INDIRECT(BC44)),
    COLUMN(INDIRECT(BC44)) - 1 +
    MATCH(1,INDEX((LEN(INDIRECT("'シフト一覧（転載）'!"&amp;BC44&amp;":AK100"))&gt;0)
            *(INDIRECT("'シフト一覧（転載）'!"&amp;BC44&amp;":AK100")&lt;&gt;"休み"),
            1,0),0)+1,4),0),"")</f>
        <v>0</v>
      </c>
      <c r="BF44" s="20">
        <f t="array" aca="1" ref="BF44" ca="1">IFERROR(IF(BE44&lt;&gt;"",IF(BE44&lt;&gt;0,INDEX(
INDIRECT("'シフト一覧（転載）'!"&amp;BE44&amp;":AK100"),1,
MATCH(1,INDEX((LEN(INDIRECT("'シフト一覧（転載）'!"&amp;BE44&amp;":AK100"))&gt;0)
*(INDIRECT("'シフト一覧（転載）'!"&amp;BE44&amp;":AK100")&lt;&gt;"休み"),1,0),0)),0),""),$F$9&amp;"保育無し")</f>
        <v>0</v>
      </c>
      <c r="BG44" s="20">
        <f t="array" aca="1" ref="BG44" ca="1">IFERROR(IF(BE44&lt;&gt;0,ADDRESS(ROW(INDIRECT(BE44)),
    COLUMN(INDIRECT(BE44)) - 1 +
    MATCH(1,INDEX((LEN(INDIRECT("'シフト一覧（転載）'!"&amp;BE44&amp;":AK100"))&gt;0)
            *(INDIRECT("'シフト一覧（転載）'!"&amp;BE44&amp;":AK100")&lt;&gt;"休み"),
            1,0),0)+1,4),0),"")</f>
        <v>0</v>
      </c>
      <c r="BH44" s="20">
        <f t="array" aca="1" ref="BH44" ca="1">IFERROR(IF(BG44&lt;&gt;"",IF(BG44&lt;&gt;0,INDEX(
INDIRECT("'シフト一覧（転載）'!"&amp;BG44&amp;":AK100"),1,
MATCH(1,INDEX((LEN(INDIRECT("'シフト一覧（転載）'!"&amp;BG44&amp;":AK100"))&gt;0)
*(INDIRECT("'シフト一覧（転載）'!"&amp;BG44&amp;":AK100")&lt;&gt;"休み"),1,0),0)),0),""),$F$9&amp;"保育無し")</f>
        <v>0</v>
      </c>
      <c r="BI44" s="20">
        <f t="array" aca="1" ref="BI44" ca="1">IFERROR(IF(BG44&lt;&gt;0,ADDRESS(ROW(INDIRECT(BG44)),
    COLUMN(INDIRECT(BG44)) - 1 +
    MATCH(1,INDEX((LEN(INDIRECT("'シフト一覧（転載）'!"&amp;BG44&amp;":AK100"))&gt;0)
            *(INDIRECT("'シフト一覧（転載）'!"&amp;BG44&amp;":AK100")&lt;&gt;"休み"),
            1,0),0)+1,4),0),"")</f>
        <v>0</v>
      </c>
      <c r="BJ44" s="20">
        <f t="array" aca="1" ref="BJ44" ca="1">IFERROR(IF(BI44&lt;&gt;"",IF(BI44&lt;&gt;0,INDEX(
INDIRECT("'シフト一覧（転載）'!"&amp;BI44&amp;":AK100"),1,
MATCH(1,INDEX((LEN(INDIRECT("'シフト一覧（転載）'!"&amp;BI44&amp;":AK100"))&gt;0)
*(INDIRECT("'シフト一覧（転載）'!"&amp;BI44&amp;":AK100")&lt;&gt;"休み"),1,0),0)),0),""),$F$9&amp;"保育無し")</f>
        <v>0</v>
      </c>
      <c r="BK44" s="20">
        <f t="array" aca="1" ref="BK44" ca="1">IFERROR(IF(BI44&lt;&gt;0,ADDRESS(ROW(INDIRECT(BI44)),
    COLUMN(INDIRECT(BI44)) - 1 +
    MATCH(1,INDEX((LEN(INDIRECT("'シフト一覧（転載）'!"&amp;BI44&amp;":AK100"))&gt;0)
            *(INDIRECT("'シフト一覧（転載）'!"&amp;BI44&amp;":AK100")&lt;&gt;"休み"),
            1,0),0)+1,4),0),"")</f>
        <v>0</v>
      </c>
      <c r="BL44" s="20">
        <f t="array" aca="1" ref="BL44" ca="1">IFERROR(IF(BK44&lt;&gt;"",IF(BK44&lt;&gt;0,INDEX(
INDIRECT("'シフト一覧（転載）'!"&amp;BK44&amp;":AK100"),1,
MATCH(1,INDEX((LEN(INDIRECT("'シフト一覧（転載）'!"&amp;BK44&amp;":AK100"))&gt;0)
*(INDIRECT("'シフト一覧（転載）'!"&amp;BK44&amp;":AK100")&lt;&gt;"休み"),1,0),0)),0),""),$F$9&amp;"保育無し")</f>
        <v>0</v>
      </c>
      <c r="BM44" s="20">
        <f t="array" aca="1" ref="BM44" ca="1">IFERROR(IF(BK44&lt;&gt;0,ADDRESS(ROW(INDIRECT(BK44)),
    COLUMN(INDIRECT(BK44)) - 1 +
    MATCH(1,INDEX((LEN(INDIRECT("'シフト一覧（転載）'!"&amp;BK44&amp;":AK100"))&gt;0)
            *(INDIRECT("'シフト一覧（転載）'!"&amp;BK44&amp;":AK100")&lt;&gt;"休み"),
            1,0),0)+1,4),0),"")</f>
        <v>0</v>
      </c>
      <c r="BN44" s="20">
        <f t="array" aca="1" ref="BN44" ca="1">IFERROR(IF(BM44&lt;&gt;"",IF(BM44&lt;&gt;0,INDEX(
INDIRECT("'シフト一覧（転載）'!"&amp;BM44&amp;":AK100"),1,
MATCH(1,INDEX((LEN(INDIRECT("'シフト一覧（転載）'!"&amp;BM44&amp;":AK100"))&gt;0)
*(INDIRECT("'シフト一覧（転載）'!"&amp;BM44&amp;":AK100")&lt;&gt;"休み"),1,0),0)),0),""),$F$9&amp;"保育無し")</f>
        <v>0</v>
      </c>
      <c r="BO44" s="20">
        <f t="array" aca="1" ref="BO44" ca="1">IFERROR(IF(BM44&lt;&gt;0,ADDRESS(ROW(INDIRECT(BM44)),
    COLUMN(INDIRECT(BM44)) - 1 +
    MATCH(1,INDEX((LEN(INDIRECT("'シフト一覧（転載）'!"&amp;BM44&amp;":AK100"))&gt;0)
            *(INDIRECT("'シフト一覧（転載）'!"&amp;BM44&amp;":AK100")&lt;&gt;"休み"),
            1,0),0)+1,4),0),"")</f>
        <v>0</v>
      </c>
      <c r="BP44" s="20">
        <f t="array" aca="1" ref="BP44" ca="1">IFERROR(IF(BO44&lt;&gt;"",IF(BO44&lt;&gt;0,INDEX(
INDIRECT("'シフト一覧（転載）'!"&amp;BO44&amp;":AK100"),1,
MATCH(1,INDEX((LEN(INDIRECT("'シフト一覧（転載）'!"&amp;BO44&amp;":AK100"))&gt;0)
*(INDIRECT("'シフト一覧（転載）'!"&amp;BO44&amp;":AK100")&lt;&gt;"休み"),1,0),0)),0),""),$F$9&amp;"保育無し")</f>
        <v>0</v>
      </c>
      <c r="BQ44" s="20">
        <f t="array" aca="1" ref="BQ44" ca="1">IFERROR(IF(BO44&lt;&gt;0,ADDRESS(ROW(INDIRECT(BO44)),
    COLUMN(INDIRECT(BO44)) - 1 +
    MATCH(1,INDEX((LEN(INDIRECT("'シフト一覧（転載）'!"&amp;BO44&amp;":AK100"))&gt;0)
            *(INDIRECT("'シフト一覧（転載）'!"&amp;BO44&amp;":AK100")&lt;&gt;"休み"),
            1,0),0)+1,4),0),"")</f>
        <v>0</v>
      </c>
      <c r="BR44" s="20">
        <f t="array" aca="1" ref="BR44" ca="1">IFERROR(IF(BQ44&lt;&gt;"",IF(BQ44&lt;&gt;0,INDEX(
INDIRECT("'シフト一覧（転載）'!"&amp;BQ44&amp;":AK100"),1,
MATCH(1,INDEX((LEN(INDIRECT("'シフト一覧（転載）'!"&amp;BQ44&amp;":AK100"))&gt;0)
*(INDIRECT("'シフト一覧（転載）'!"&amp;BQ44&amp;":AK100")&lt;&gt;"休み"),1,0),0)),0),""),$F$9&amp;"保育無し")</f>
        <v>0</v>
      </c>
      <c r="BS44" s="20">
        <f t="array" aca="1" ref="BS44" ca="1">IFERROR(IF(BQ44&lt;&gt;0,ADDRESS(ROW(INDIRECT(BQ44)),
    COLUMN(INDIRECT(BQ44)) - 1 +
    MATCH(1,INDEX((LEN(INDIRECT("'シフト一覧（転載）'!"&amp;BQ44&amp;":AK100"))&gt;0)
            *(INDIRECT("'シフト一覧（転載）'!"&amp;BQ44&amp;":AK100")&lt;&gt;"休み"),
            1,0),0)+1,4),0),"")</f>
        <v>0</v>
      </c>
      <c r="BT44" s="20">
        <f t="array" aca="1" ref="BT44" ca="1">IFERROR(IF(BS44&lt;&gt;"",IF(BS44&lt;&gt;0,INDEX(
INDIRECT("'シフト一覧（転載）'!"&amp;BS44&amp;":AK100"),1,
MATCH(1,INDEX((LEN(INDIRECT("'シフト一覧（転載）'!"&amp;BS44&amp;":AK100"))&gt;0)
*(INDIRECT("'シフト一覧（転載）'!"&amp;BS44&amp;":AK100")&lt;&gt;"休み"),1,0),0)),0),""),$F$9&amp;"保育無し")</f>
        <v>0</v>
      </c>
      <c r="BU44" s="20">
        <f t="array" aca="1" ref="BU44" ca="1">IFERROR(IF(BS44&lt;&gt;0,ADDRESS(ROW(INDIRECT(BS44)),
    COLUMN(INDIRECT(BS44)) - 1 +
    MATCH(1,INDEX((LEN(INDIRECT("'シフト一覧（転載）'!"&amp;BS44&amp;":AK100"))&gt;0)
            *(INDIRECT("'シフト一覧（転載）'!"&amp;BS44&amp;":AK100")&lt;&gt;"休み"),
            1,0),0)+1,4),0),"")</f>
        <v>0</v>
      </c>
      <c r="BV44" s="20">
        <f t="array" aca="1" ref="BV44" ca="1">IFERROR(IF(BU44&lt;&gt;"",IF(BU44&lt;&gt;0,INDEX(
INDIRECT("'シフト一覧（転載）'!"&amp;BU44&amp;":AK100"),1,
MATCH(1,INDEX((LEN(INDIRECT("'シフト一覧（転載）'!"&amp;BU44&amp;":AK100"))&gt;0)
*(INDIRECT("'シフト一覧（転載）'!"&amp;BU44&amp;":AK100")&lt;&gt;"休み"),1,0),0)),0),""),$F$9&amp;"保育無し")</f>
        <v>0</v>
      </c>
      <c r="BW44" s="20">
        <f t="array" aca="1" ref="BW44" ca="1">IFERROR(IF(BU44&lt;&gt;0,ADDRESS(ROW(INDIRECT(BU44)),
    COLUMN(INDIRECT(BU44)) - 1 +
    MATCH(1,INDEX((LEN(INDIRECT("'シフト一覧（転載）'!"&amp;BU44&amp;":AK100"))&gt;0)
            *(INDIRECT("'シフト一覧（転載）'!"&amp;BU44&amp;":AK100")&lt;&gt;"休み"),
            1,0),0)+1,4),0),"")</f>
        <v>0</v>
      </c>
      <c r="BX44" s="20">
        <f t="array" aca="1" ref="BX44" ca="1">IFERROR(IF(BW44&lt;&gt;"",IF(BW44&lt;&gt;0,INDEX(
INDIRECT("'シフト一覧（転載）'!"&amp;BW44&amp;":AK100"),1,
MATCH(1,INDEX((LEN(INDIRECT("'シフト一覧（転載）'!"&amp;BW44&amp;":AK100"))&gt;0)
*(INDIRECT("'シフト一覧（転載）'!"&amp;BW44&amp;":AK100")&lt;&gt;"休み"),1,0),0)),0),""),$F$9&amp;"保育無し")</f>
        <v>0</v>
      </c>
      <c r="BY44" s="20">
        <f t="array" aca="1" ref="BY44" ca="1">IFERROR(IF(BW44&lt;&gt;0,ADDRESS(ROW(INDIRECT(BW44)),
    COLUMN(INDIRECT(BW44)) - 1 +
    MATCH(1,INDEX((LEN(INDIRECT("'シフト一覧（転載）'!"&amp;BW44&amp;":AK100"))&gt;0)
            *(INDIRECT("'シフト一覧（転載）'!"&amp;BW44&amp;":AK100")&lt;&gt;"休み"),
            1,0),0)+1,4),0),"")</f>
        <v>0</v>
      </c>
    </row>
    <row r="45" spans="1:77" ht="19.8" customHeight="1" x14ac:dyDescent="0.2">
      <c r="M45" s="104"/>
      <c r="N45" s="102"/>
      <c r="O45" s="107"/>
      <c r="P45" s="21">
        <f t="array" aca="1" ref="P45" ca="1">IFERROR(IF(M44&lt;&gt;"",INDEX('シフト一覧（転載）'!$F$8:$AK$100,
    MATCH(1,(ISNUMBER(SEARCH(M44,'シフト一覧（転載）'!$A$8:$A$100)))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MATCH(1,(ISNUMBER(SEARCH(M44,'シフト一覧（転載）'!$A$8:$A$100)))
                *(ISNUMBER(SEARCH($F$9,'シフト一覧（転載）'!$B$8:$B$100))),
                0),0),0)),0),"")</f>
        <v>0</v>
      </c>
      <c r="Q45" s="21">
        <f ca="1">IF(P44=0,0,
IF(OR(P44="",COUNTIF(P44,"*保育無し*")),"",
IF(MOD(P45-P44,1)*24&gt;=8,1,
IF(MOD(P45-P44,1)*24&gt;=6,0.75,0))))</f>
        <v>0</v>
      </c>
      <c r="R45" s="21">
        <f t="array" aca="1" ref="R45" ca="1">IFERROR(IF(Q44&lt;&gt;0,INDEX(
INDIRECT("'シフト一覧（転載）'!"&amp;Q44&amp;":AK100"),1+1,
MATCH(1,INDEX((LEN(INDIRECT("'シフト一覧（転載）'!"&amp;Q44&amp;":AK100"))&gt;0)
*(INDIRECT("'シフト一覧（転載）'!"&amp;Q44&amp;":AK100")&lt;&gt;"休み"),1,0),0)),0),"")</f>
        <v>0</v>
      </c>
      <c r="S45" s="21">
        <f ca="1">IF(R44=0,0,
IF(OR(R44="",COUNTIF(R44,"*保育無し*")),"",
IF(MOD(R45-R44,1)*24&gt;=8,1,
IF(MOD(R45-R44,1)*24&gt;=6,0.75,0))))</f>
        <v>0</v>
      </c>
      <c r="T45" s="21">
        <f t="array" aca="1" ref="T45" ca="1">IFERROR(IF(S44&lt;&gt;0,INDEX(
INDIRECT("'シフト一覧（転載）'!"&amp;S44&amp;":AK100"),1+1,
MATCH(1,INDEX((LEN(INDIRECT("'シフト一覧（転載）'!"&amp;S44&amp;":AK100"))&gt;0)
*(INDIRECT("'シフト一覧（転載）'!"&amp;S44&amp;":AK100")&lt;&gt;"休み"),1,0),0)),0),"")</f>
        <v>0</v>
      </c>
      <c r="U45" s="21">
        <f ca="1">IF(T44=0,0,
IF(OR(T44="",COUNTIF(T44,"*保育無し*")),"",
IF(MOD(T45-T44,1)*24&gt;=8,1,
IF(MOD(T45-T44,1)*24&gt;=6,0.75,0))))</f>
        <v>0</v>
      </c>
      <c r="V45" s="21">
        <f t="array" aca="1" ref="V45" ca="1">IFERROR(IF(U44&lt;&gt;0,INDEX(
INDIRECT("'シフト一覧（転載）'!"&amp;U44&amp;":AK100"),1+1,
MATCH(1,INDEX((LEN(INDIRECT("'シフト一覧（転載）'!"&amp;U44&amp;":AK100"))&gt;0)
*(INDIRECT("'シフト一覧（転載）'!"&amp;U44&amp;":AK100")&lt;&gt;"休み"),1,0),0)),0),"")</f>
        <v>0</v>
      </c>
      <c r="W45" s="21">
        <f ca="1">IF(V44=0,0,
IF(OR(V44="",COUNTIF(V44,"*保育無し*")),"",
IF(MOD(V45-V44,1)*24&gt;=8,1,
IF(MOD(V45-V44,1)*24&gt;=6,0.75,0))))</f>
        <v>0</v>
      </c>
      <c r="X45" s="21">
        <f t="array" aca="1" ref="X45" ca="1">IFERROR(IF(W44&lt;&gt;0,INDEX(
INDIRECT("'シフト一覧（転載）'!"&amp;W44&amp;":AK100"),1+1,
MATCH(1,INDEX((LEN(INDIRECT("'シフト一覧（転載）'!"&amp;W44&amp;":AK100"))&gt;0)
*(INDIRECT("'シフト一覧（転載）'!"&amp;W44&amp;":AK100")&lt;&gt;"休み"),1,0),0)),0),"")</f>
        <v>0</v>
      </c>
      <c r="Y45" s="21">
        <f ca="1">IF(X44=0,0,
IF(OR(X44="",COUNTIF(X44,"*保育無し*")),"",
IF(MOD(X45-X44,1)*24&gt;=8,1,
IF(MOD(X45-X44,1)*24&gt;=6,0.75,0))))</f>
        <v>0</v>
      </c>
      <c r="Z45" s="21">
        <f t="array" aca="1" ref="Z45" ca="1">IFERROR(IF(Y44&lt;&gt;0,INDEX(
INDIRECT("'シフト一覧（転載）'!"&amp;Y44&amp;":AK100"),1+1,
MATCH(1,INDEX((LEN(INDIRECT("'シフト一覧（転載）'!"&amp;Y44&amp;":AK100"))&gt;0)
*(INDIRECT("'シフト一覧（転載）'!"&amp;Y44&amp;":AK100")&lt;&gt;"休み"),1,0),0)),0),"")</f>
        <v>0</v>
      </c>
      <c r="AA45" s="21">
        <f ca="1">IF(Z44=0,0,
IF(OR(Z44="",COUNTIF(Z44,"*保育無し*")),"",
IF(MOD(Z45-Z44,1)*24&gt;=8,1,
IF(MOD(Z45-Z44,1)*24&gt;=6,0.75,0))))</f>
        <v>0</v>
      </c>
      <c r="AB45" s="21">
        <f t="array" aca="1" ref="AB45" ca="1">IFERROR(IF(AA44&lt;&gt;0,INDEX(
INDIRECT("'シフト一覧（転載）'!"&amp;AA44&amp;":AK100"),1+1,
MATCH(1,INDEX((LEN(INDIRECT("'シフト一覧（転載）'!"&amp;AA44&amp;":AK100"))&gt;0)
*(INDIRECT("'シフト一覧（転載）'!"&amp;AA44&amp;":AK100")&lt;&gt;"休み"),1,0),0)),0),"")</f>
        <v>0</v>
      </c>
      <c r="AC45" s="21">
        <f ca="1">IF(AB44=0,0,
IF(OR(AB44="",COUNTIF(AB44,"*保育無し*")),"",
IF(MOD(AB45-AB44,1)*24&gt;=8,1,
IF(MOD(AB45-AB44,1)*24&gt;=6,0.75,0))))</f>
        <v>0</v>
      </c>
      <c r="AD45" s="21">
        <f t="array" aca="1" ref="AD45" ca="1">IFERROR(IF(AC44&lt;&gt;0,INDEX(
INDIRECT("'シフト一覧（転載）'!"&amp;AC44&amp;":AK100"),1+1,
MATCH(1,INDEX((LEN(INDIRECT("'シフト一覧（転載）'!"&amp;AC44&amp;":AK100"))&gt;0)
*(INDIRECT("'シフト一覧（転載）'!"&amp;AC44&amp;":AK100")&lt;&gt;"休み"),1,0),0)),0),"")</f>
        <v>0</v>
      </c>
      <c r="AE45" s="21">
        <f ca="1">IF(AD44=0,0,
IF(OR(AD44="",COUNTIF(AD44,"*保育無し*")),"",
IF(MOD(AD45-AD44,1)*24&gt;=8,1,
IF(MOD(AD45-AD44,1)*24&gt;=6,0.75,0))))</f>
        <v>0</v>
      </c>
      <c r="AF45" s="21">
        <f t="array" aca="1" ref="AF45" ca="1">IFERROR(IF(AE44&lt;&gt;0,INDEX(
INDIRECT("'シフト一覧（転載）'!"&amp;AE44&amp;":AK100"),1+1,
MATCH(1,INDEX((LEN(INDIRECT("'シフト一覧（転載）'!"&amp;AE44&amp;":AK100"))&gt;0)
*(INDIRECT("'シフト一覧（転載）'!"&amp;AE44&amp;":AK100")&lt;&gt;"休み"),1,0),0)),0),"")</f>
        <v>0</v>
      </c>
      <c r="AG45" s="21">
        <f ca="1">IF(AF44=0,0,
IF(OR(AF44="",COUNTIF(AF44,"*保育無し*")),"",
IF(MOD(AF45-AF44,1)*24&gt;=8,1,
IF(MOD(AF45-AF44,1)*24&gt;=6,0.75,0))))</f>
        <v>0</v>
      </c>
      <c r="AH45" s="21">
        <f t="array" aca="1" ref="AH45" ca="1">IFERROR(IF(AG44&lt;&gt;0,INDEX(
INDIRECT("'シフト一覧（転載）'!"&amp;AG44&amp;":AK100"),1+1,
MATCH(1,INDEX((LEN(INDIRECT("'シフト一覧（転載）'!"&amp;AG44&amp;":AK100"))&gt;0)
*(INDIRECT("'シフト一覧（転載）'!"&amp;AG44&amp;":AK100")&lt;&gt;"休み"),1,0),0)),0),"")</f>
        <v>0</v>
      </c>
      <c r="AI45" s="21">
        <f ca="1">IF(AH44=0,0,
IF(OR(AH44="",COUNTIF(AH44,"*保育無し*")),"",
IF(MOD(AH45-AH44,1)*24&gt;=8,1,
IF(MOD(AH45-AH44,1)*24&gt;=6,0.75,0))))</f>
        <v>0</v>
      </c>
      <c r="AJ45" s="21">
        <f t="array" aca="1" ref="AJ45" ca="1">IFERROR(IF(AI44&lt;&gt;0,INDEX(
INDIRECT("'シフト一覧（転載）'!"&amp;AI44&amp;":AK100"),1+1,
MATCH(1,INDEX((LEN(INDIRECT("'シフト一覧（転載）'!"&amp;AI44&amp;":AK100"))&gt;0)
*(INDIRECT("'シフト一覧（転載）'!"&amp;AI44&amp;":AK100")&lt;&gt;"休み"),1,0),0)),0),"")</f>
        <v>0</v>
      </c>
      <c r="AK45" s="21">
        <f ca="1">IF(AJ44=0,0,
IF(OR(AJ44="",COUNTIF(AJ44,"*保育無し*")),"",
IF(MOD(AJ45-AJ44,1)*24&gt;=8,1,
IF(MOD(AJ45-AJ44,1)*24&gt;=6,0.75,0))))</f>
        <v>0</v>
      </c>
      <c r="AL45" s="21">
        <f t="array" aca="1" ref="AL45" ca="1">IFERROR(IF(AK44&lt;&gt;0,INDEX(
INDIRECT("'シフト一覧（転載）'!"&amp;AK44&amp;":AK100"),1+1,
MATCH(1,INDEX((LEN(INDIRECT("'シフト一覧（転載）'!"&amp;AK44&amp;":AK100"))&gt;0)
*(INDIRECT("'シフト一覧（転載）'!"&amp;AK44&amp;":AK100")&lt;&gt;"休み"),1,0),0)),0),"")</f>
        <v>0</v>
      </c>
      <c r="AM45" s="21">
        <f ca="1">IF(AL44=0,0,
IF(OR(AL44="",COUNTIF(AL44,"*保育無し*")),"",
IF(MOD(AL45-AL44,1)*24&gt;=8,1,
IF(MOD(AL45-AL44,1)*24&gt;=6,0.75,0))))</f>
        <v>0</v>
      </c>
      <c r="AN45" s="21">
        <f t="array" aca="1" ref="AN45" ca="1">IFERROR(IF(AM44&lt;&gt;0,INDEX(
INDIRECT("'シフト一覧（転載）'!"&amp;AM44&amp;":AK100"),1+1,
MATCH(1,INDEX((LEN(INDIRECT("'シフト一覧（転載）'!"&amp;AM44&amp;":AK100"))&gt;0)
*(INDIRECT("'シフト一覧（転載）'!"&amp;AM44&amp;":AK100")&lt;&gt;"休み"),1,0),0)),0),"")</f>
        <v>0</v>
      </c>
      <c r="AO45" s="21">
        <f ca="1">IF(AN44=0,0,
IF(OR(AN44="",COUNTIF(AN44,"*保育無し*")),"",
IF(MOD(AN45-AN44,1)*24&gt;=8,1,
IF(MOD(AN45-AN44,1)*24&gt;=6,0.75,0))))</f>
        <v>0</v>
      </c>
      <c r="AP45" s="21">
        <f t="array" aca="1" ref="AP45" ca="1">IFERROR(IF(AO44&lt;&gt;0,INDEX(
INDIRECT("'シフト一覧（転載）'!"&amp;AO44&amp;":AK100"),1+1,
MATCH(1,INDEX((LEN(INDIRECT("'シフト一覧（転載）'!"&amp;AO44&amp;":AK100"))&gt;0)
*(INDIRECT("'シフト一覧（転載）'!"&amp;AO44&amp;":AK100")&lt;&gt;"休み"),1,0),0)),0),"")</f>
        <v>0</v>
      </c>
      <c r="AQ45" s="21">
        <f ca="1">IF(AP44=0,0,
IF(OR(AP44="",COUNTIF(AP44,"*保育無し*")),"",
IF(MOD(AP45-AP44,1)*24&gt;=8,1,
IF(MOD(AP45-AP44,1)*24&gt;=6,0.75,0))))</f>
        <v>0</v>
      </c>
      <c r="AR45" s="21">
        <f t="array" aca="1" ref="AR45" ca="1">IFERROR(IF(AQ44&lt;&gt;0,INDEX(
INDIRECT("'シフト一覧（転載）'!"&amp;AQ44&amp;":AK100"),1+1,
MATCH(1,INDEX((LEN(INDIRECT("'シフト一覧（転載）'!"&amp;AQ44&amp;":AK100"))&gt;0)
*(INDIRECT("'シフト一覧（転載）'!"&amp;AQ44&amp;":AK100")&lt;&gt;"休み"),1,0),0)),0),"")</f>
        <v>0</v>
      </c>
      <c r="AS45" s="21">
        <f ca="1">IF(AR44=0,0,
IF(OR(AR44="",COUNTIF(AR44,"*保育無し*")),"",
IF(MOD(AR45-AR44,1)*24&gt;=8,1,
IF(MOD(AR45-AR44,1)*24&gt;=6,0.75,0))))</f>
        <v>0</v>
      </c>
      <c r="AT45" s="21">
        <f t="array" aca="1" ref="AT45" ca="1">IFERROR(IF(AS44&lt;&gt;0,INDEX(
INDIRECT("'シフト一覧（転載）'!"&amp;AS44&amp;":AK100"),1+1,
MATCH(1,INDEX((LEN(INDIRECT("'シフト一覧（転載）'!"&amp;AS44&amp;":AK100"))&gt;0)
*(INDIRECT("'シフト一覧（転載）'!"&amp;AS44&amp;":AK100")&lt;&gt;"休み"),1,0),0)),0),"")</f>
        <v>0</v>
      </c>
      <c r="AU45" s="21">
        <f ca="1">IF(AT44=0,0,
IF(OR(AT44="",COUNTIF(AT44,"*保育無し*")),"",
IF(MOD(AT45-AT44,1)*24&gt;=8,1,
IF(MOD(AT45-AT44,1)*24&gt;=6,0.75,0))))</f>
        <v>0</v>
      </c>
      <c r="AV45" s="21">
        <f t="array" aca="1" ref="AV45" ca="1">IFERROR(IF(AU44&lt;&gt;0,INDEX(
INDIRECT("'シフト一覧（転載）'!"&amp;AU44&amp;":AK100"),1+1,
MATCH(1,INDEX((LEN(INDIRECT("'シフト一覧（転載）'!"&amp;AU44&amp;":AK100"))&gt;0)
*(INDIRECT("'シフト一覧（転載）'!"&amp;AU44&amp;":AK100")&lt;&gt;"休み"),1,0),0)),0),"")</f>
        <v>0</v>
      </c>
      <c r="AW45" s="21">
        <f ca="1">IF(AV44=0,0,
IF(OR(AV44="",COUNTIF(AV44,"*保育無し*")),"",
IF(MOD(AV45-AV44,1)*24&gt;=8,1,
IF(MOD(AV45-AV44,1)*24&gt;=6,0.75,0))))</f>
        <v>0</v>
      </c>
      <c r="AX45" s="21">
        <f t="array" aca="1" ref="AX45" ca="1">IFERROR(IF(AW44&lt;&gt;0,INDEX(
INDIRECT("'シフト一覧（転載）'!"&amp;AW44&amp;":AK100"),1+1,
MATCH(1,INDEX((LEN(INDIRECT("'シフト一覧（転載）'!"&amp;AW44&amp;":AK100"))&gt;0)
*(INDIRECT("'シフト一覧（転載）'!"&amp;AW44&amp;":AK100")&lt;&gt;"休み"),1,0),0)),0),"")</f>
        <v>0</v>
      </c>
      <c r="AY45" s="21">
        <f ca="1">IF(AX44=0,0,
IF(OR(AX44="",COUNTIF(AX44,"*保育無し*")),"",
IF(MOD(AX45-AX44,1)*24&gt;=8,1,
IF(MOD(AX45-AX44,1)*24&gt;=6,0.75,0))))</f>
        <v>0</v>
      </c>
      <c r="AZ45" s="21">
        <f t="array" aca="1" ref="AZ45" ca="1">IFERROR(IF(AY44&lt;&gt;0,INDEX(
INDIRECT("'シフト一覧（転載）'!"&amp;AY44&amp;":AK100"),1+1,
MATCH(1,INDEX((LEN(INDIRECT("'シフト一覧（転載）'!"&amp;AY44&amp;":AK100"))&gt;0)
*(INDIRECT("'シフト一覧（転載）'!"&amp;AY44&amp;":AK100")&lt;&gt;"休み"),1,0),0)),0),"")</f>
        <v>0</v>
      </c>
      <c r="BA45" s="21">
        <f ca="1">IF(AZ44=0,0,
IF(OR(AZ44="",COUNTIF(AZ44,"*保育無し*")),"",
IF(MOD(AZ45-AZ44,1)*24&gt;=8,1,
IF(MOD(AZ45-AZ44,1)*24&gt;=6,0.75,0))))</f>
        <v>0</v>
      </c>
      <c r="BB45" s="21">
        <f t="array" aca="1" ref="BB45" ca="1">IFERROR(IF(BA44&lt;&gt;0,INDEX(
INDIRECT("'シフト一覧（転載）'!"&amp;BA44&amp;":AK100"),1+1,
MATCH(1,INDEX((LEN(INDIRECT("'シフト一覧（転載）'!"&amp;BA44&amp;":AK100"))&gt;0)
*(INDIRECT("'シフト一覧（転載）'!"&amp;BA44&amp;":AK100")&lt;&gt;"休み"),1,0),0)),0),"")</f>
        <v>0</v>
      </c>
      <c r="BC45" s="21">
        <f ca="1">IF(BB44=0,0,
IF(OR(BB44="",COUNTIF(BB44,"*保育無し*")),"",
IF(MOD(BB45-BB44,1)*24&gt;=8,1,
IF(MOD(BB45-BB44,1)*24&gt;=6,0.75,0))))</f>
        <v>0</v>
      </c>
      <c r="BD45" s="21">
        <f t="array" aca="1" ref="BD45" ca="1">IFERROR(IF(BC44&lt;&gt;0,INDEX(
INDIRECT("'シフト一覧（転載）'!"&amp;BC44&amp;":AK100"),1+1,
MATCH(1,INDEX((LEN(INDIRECT("'シフト一覧（転載）'!"&amp;BC44&amp;":AK100"))&gt;0)
*(INDIRECT("'シフト一覧（転載）'!"&amp;BC44&amp;":AK100")&lt;&gt;"休み"),1,0),0)),0),"")</f>
        <v>0</v>
      </c>
      <c r="BE45" s="21">
        <f ca="1">IF(BD44=0,0,
IF(OR(BD44="",COUNTIF(BD44,"*保育無し*")),"",
IF(MOD(BD45-BD44,1)*24&gt;=8,1,
IF(MOD(BD45-BD44,1)*24&gt;=6,0.75,0))))</f>
        <v>0</v>
      </c>
      <c r="BF45" s="21">
        <f t="array" aca="1" ref="BF45" ca="1">IFERROR(IF(BE44&lt;&gt;0,INDEX(
INDIRECT("'シフト一覧（転載）'!"&amp;BE44&amp;":AK100"),1+1,
MATCH(1,INDEX((LEN(INDIRECT("'シフト一覧（転載）'!"&amp;BE44&amp;":AK100"))&gt;0)
*(INDIRECT("'シフト一覧（転載）'!"&amp;BE44&amp;":AK100")&lt;&gt;"休み"),1,0),0)),0),"")</f>
        <v>0</v>
      </c>
      <c r="BG45" s="21">
        <f ca="1">IF(BF44=0,0,
IF(OR(BF44="",COUNTIF(BF44,"*保育無し*")),"",
IF(MOD(BF45-BF44,1)*24&gt;=8,1,
IF(MOD(BF45-BF44,1)*24&gt;=6,0.75,0))))</f>
        <v>0</v>
      </c>
      <c r="BH45" s="21">
        <f t="array" aca="1" ref="BH45" ca="1">IFERROR(IF(BG44&lt;&gt;0,INDEX(
INDIRECT("'シフト一覧（転載）'!"&amp;BG44&amp;":AK100"),1+1,
MATCH(1,INDEX((LEN(INDIRECT("'シフト一覧（転載）'!"&amp;BG44&amp;":AK100"))&gt;0)
*(INDIRECT("'シフト一覧（転載）'!"&amp;BG44&amp;":AK100")&lt;&gt;"休み"),1,0),0)),0),"")</f>
        <v>0</v>
      </c>
      <c r="BI45" s="21">
        <f ca="1">IF(BH44=0,0,
IF(OR(BH44="",COUNTIF(BH44,"*保育無し*")),"",
IF(MOD(BH45-BH44,1)*24&gt;=8,1,
IF(MOD(BH45-BH44,1)*24&gt;=6,0.75,0))))</f>
        <v>0</v>
      </c>
      <c r="BJ45" s="21">
        <f t="array" aca="1" ref="BJ45" ca="1">IFERROR(IF(BI44&lt;&gt;0,INDEX(
INDIRECT("'シフト一覧（転載）'!"&amp;BI44&amp;":AK100"),1+1,
MATCH(1,INDEX((LEN(INDIRECT("'シフト一覧（転載）'!"&amp;BI44&amp;":AK100"))&gt;0)
*(INDIRECT("'シフト一覧（転載）'!"&amp;BI44&amp;":AK100")&lt;&gt;"休み"),1,0),0)),0),"")</f>
        <v>0</v>
      </c>
      <c r="BK45" s="21">
        <f ca="1">IF(BJ44=0,0,
IF(OR(BJ44="",COUNTIF(BJ44,"*保育無し*")),"",
IF(MOD(BJ45-BJ44,1)*24&gt;=8,1,
IF(MOD(BJ45-BJ44,1)*24&gt;=6,0.75,0))))</f>
        <v>0</v>
      </c>
      <c r="BL45" s="21">
        <f t="array" aca="1" ref="BL45" ca="1">IFERROR(IF(BK44&lt;&gt;0,INDEX(
INDIRECT("'シフト一覧（転載）'!"&amp;BK44&amp;":AK100"),1+1,
MATCH(1,INDEX((LEN(INDIRECT("'シフト一覧（転載）'!"&amp;BK44&amp;":AK100"))&gt;0)
*(INDIRECT("'シフト一覧（転載）'!"&amp;BK44&amp;":AK100")&lt;&gt;"休み"),1,0),0)),0),"")</f>
        <v>0</v>
      </c>
      <c r="BM45" s="21">
        <f ca="1">IF(BL44=0,0,
IF(OR(BL44="",COUNTIF(BL44,"*保育無し*")),"",
IF(MOD(BL45-BL44,1)*24&gt;=8,1,
IF(MOD(BL45-BL44,1)*24&gt;=6,0.75,0))))</f>
        <v>0</v>
      </c>
      <c r="BN45" s="21">
        <f t="array" aca="1" ref="BN45" ca="1">IFERROR(IF(BM44&lt;&gt;0,INDEX(
INDIRECT("'シフト一覧（転載）'!"&amp;BM44&amp;":AK100"),1+1,
MATCH(1,INDEX((LEN(INDIRECT("'シフト一覧（転載）'!"&amp;BM44&amp;":AK100"))&gt;0)
*(INDIRECT("'シフト一覧（転載）'!"&amp;BM44&amp;":AK100")&lt;&gt;"休み"),1,0),0)),0),"")</f>
        <v>0</v>
      </c>
      <c r="BO45" s="21">
        <f ca="1">IF(BN44=0,0,
IF(OR(BN44="",COUNTIF(BN44,"*保育無し*")),"",
IF(MOD(BN45-BN44,1)*24&gt;=8,1,
IF(MOD(BN45-BN44,1)*24&gt;=6,0.75,0))))</f>
        <v>0</v>
      </c>
      <c r="BP45" s="21">
        <f t="array" aca="1" ref="BP45" ca="1">IFERROR(IF(BO44&lt;&gt;0,INDEX(
INDIRECT("'シフト一覧（転載）'!"&amp;BO44&amp;":AK100"),1+1,
MATCH(1,INDEX((LEN(INDIRECT("'シフト一覧（転載）'!"&amp;BO44&amp;":AK100"))&gt;0)
*(INDIRECT("'シフト一覧（転載）'!"&amp;BO44&amp;":AK100")&lt;&gt;"休み"),1,0),0)),0),"")</f>
        <v>0</v>
      </c>
      <c r="BQ45" s="21">
        <f ca="1">IF(BP44=0,0,
IF(OR(BP44="",COUNTIF(BP44,"*保育無し*")),"",
IF(MOD(BP45-BP44,1)*24&gt;=8,1,
IF(MOD(BP45-BP44,1)*24&gt;=6,0.75,0))))</f>
        <v>0</v>
      </c>
      <c r="BR45" s="21">
        <f t="array" aca="1" ref="BR45" ca="1">IFERROR(IF(BQ44&lt;&gt;0,INDEX(
INDIRECT("'シフト一覧（転載）'!"&amp;BQ44&amp;":AK100"),1+1,
MATCH(1,INDEX((LEN(INDIRECT("'シフト一覧（転載）'!"&amp;BQ44&amp;":AK100"))&gt;0)
*(INDIRECT("'シフト一覧（転載）'!"&amp;BQ44&amp;":AK100")&lt;&gt;"休み"),1,0),0)),0),"")</f>
        <v>0</v>
      </c>
      <c r="BS45" s="21">
        <f ca="1">IF(BR44=0,0,
IF(OR(BR44="",COUNTIF(BR44,"*保育無し*")),"",
IF(MOD(BR45-BR44,1)*24&gt;=8,1,
IF(MOD(BR45-BR44,1)*24&gt;=6,0.75,0))))</f>
        <v>0</v>
      </c>
      <c r="BT45" s="21">
        <f t="array" aca="1" ref="BT45" ca="1">IFERROR(IF(BS44&lt;&gt;0,INDEX(
INDIRECT("'シフト一覧（転載）'!"&amp;BS44&amp;":AK100"),1+1,
MATCH(1,INDEX((LEN(INDIRECT("'シフト一覧（転載）'!"&amp;BS44&amp;":AK100"))&gt;0)
*(INDIRECT("'シフト一覧（転載）'!"&amp;BS44&amp;":AK100")&lt;&gt;"休み"),1,0),0)),0),"")</f>
        <v>0</v>
      </c>
      <c r="BU45" s="21">
        <f ca="1">IF(BT44=0,0,
IF(OR(BT44="",COUNTIF(BT44,"*保育無し*")),"",
IF(MOD(BT45-BT44,1)*24&gt;=8,1,
IF(MOD(BT45-BT44,1)*24&gt;=6,0.75,0))))</f>
        <v>0</v>
      </c>
      <c r="BV45" s="21">
        <f t="array" aca="1" ref="BV45" ca="1">IFERROR(IF(BU44&lt;&gt;0,INDEX(
INDIRECT("'シフト一覧（転載）'!"&amp;BU44&amp;":AK100"),1+1,
MATCH(1,INDEX((LEN(INDIRECT("'シフト一覧（転載）'!"&amp;BU44&amp;":AK100"))&gt;0)
*(INDIRECT("'シフト一覧（転載）'!"&amp;BU44&amp;":AK100")&lt;&gt;"休み"),1,0),0)),0),"")</f>
        <v>0</v>
      </c>
      <c r="BW45" s="21">
        <f ca="1">IF(BV44=0,0,
IF(OR(BV44="",COUNTIF(BV44,"*保育無し*")),"",
IF(MOD(BV45-BV44,1)*24&gt;=8,1,
IF(MOD(BV45-BV44,1)*24&gt;=6,0.75,0))))</f>
        <v>0</v>
      </c>
      <c r="BX45" s="21">
        <f t="array" aca="1" ref="BX45" ca="1">IFERROR(IF(BW44&lt;&gt;0,INDEX(
INDIRECT("'シフト一覧（転載）'!"&amp;BW44&amp;":AK100"),1+1,
MATCH(1,INDEX((LEN(INDIRECT("'シフト一覧（転載）'!"&amp;BW44&amp;":AK100"))&gt;0)
*(INDIRECT("'シフト一覧（転載）'!"&amp;BW44&amp;":AK100")&lt;&gt;"休み"),1,0),0)),0),"")</f>
        <v>0</v>
      </c>
      <c r="BY45" s="21">
        <f ca="1">IF(BX44=0,0,
IF(OR(BX44="",COUNTIF(BX44,"*保育無し*")),"",
IF(MOD(BX45-BX44,1)*24&gt;=8,1,
IF(MOD(BX45-BX44,1)*24&gt;=6,0.75,0))))</f>
        <v>0</v>
      </c>
    </row>
    <row r="46" spans="1:77" ht="19.8" customHeight="1" x14ac:dyDescent="0.2">
      <c r="M46" s="103" t="str" cm="1">
        <f t="array" aca="1" ref="M4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6" s="101" t="str">
        <f t="shared" ref="N46" ca="1" si="22">IF(M46&lt;&gt;"",VLOOKUP(M46,$B$12:$C$41,2,FALSE),"")</f>
        <v/>
      </c>
      <c r="O46" s="106" cm="1">
        <f t="array" aca="1" ref="O46" ca="1">IF(COUNTIF(P46,"*保育無*"),0,
SUM(IF(
MOD(COLUMN(INDIRECT("P"&amp; ROW() &amp; ":" &amp; ADDRESS(ROW(), IFERROR(MATCH("*保育無し*", INDIRECT("P"&amp; ROW() &amp; ":BY" &amp; ROW()), 0) + COLUMN(P46) - 2, COLUMN(BX46) + 1), 4))) - COLUMN(P46), 2) = 0,
MOD(INDIRECT("P"&amp; ROW()+1 &amp; ":" &amp; ADDRESS(ROW()+1, IFERROR(MATCH("*保育無し*", INDIRECT("P"&amp; ROW() &amp; ":BY" &amp; ROW()), 0) + COLUMN(P46) - 2, COLUMN(BX46) + 1), 4)) - INDIRECT("P"&amp; ROW() &amp; ":" &amp; ADDRESS(ROW(), IFERROR(MATCH("*保育無し*", INDIRECT("P"&amp; ROW() &amp; ":BY" &amp; ROW()), 0) + COLUMN(P46) - 2, COLUMN(BX46) + 1), 4)),1),0))*24
-SUM(_xlfn._xlws.FILTER(P47:BX47, MOD(COLUMN(P47:BX47) - COLUMN(P47), 2) = 1)))</f>
        <v>0</v>
      </c>
      <c r="P46" s="20">
        <f t="array" aca="1" ref="P46" ca="1">IFERROR(IF(M46&lt;&gt;"",INDEX('シフト一覧（転載）'!$F$8:$AK$100,
    MATCH(1,(ISNUMBER(SEARCH(M46,'シフト一覧（転載）'!$A$8:$A$100)))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MATCH(1,(ISNUMBER(SEARCH(M46,'シフト一覧（転載）'!$A$8:$A$100)))
                *(ISNUMBER(SEARCH($F$9,'シフト一覧（転載）'!$B$8:$B$100))),
                0),0),0)),0),$F$9&amp;"保育無し")</f>
        <v>0</v>
      </c>
      <c r="Q46" s="20">
        <f t="array" aca="1" ref="Q46" ca="1">IFERROR(IF(COUNTIF(P46,"*無*"),"",IF(M46&lt;&gt;"",ADDRESS(
    MATCH(1,(ISNUMBER(SEARCH(M46,'シフト一覧（転載）'!$A$8:$A$100)))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MATCH(1,(ISNUMBER(SEARCH(M46,'シフト一覧（転載）'!$A$8:$A$100)))
                *(ISNUMBER(SEARCH($F$9,'シフト一覧（転載）'!$B$8:$B$100))),0),0),0) + 6,4),0)),0)</f>
        <v>0</v>
      </c>
      <c r="R46" s="20">
        <f t="array" aca="1" ref="R46" ca="1">IFERROR(IF(Q46&lt;&gt;"",IF(Q46&lt;&gt;0,INDEX(
INDIRECT("'シフト一覧（転載）'!"&amp;Q46&amp;":AK100"),1,
MATCH(1,INDEX((LEN(INDIRECT("'シフト一覧（転載）'!"&amp;Q46&amp;":AK100"))&gt;0)
*(INDIRECT("'シフト一覧（転載）'!"&amp;Q46&amp;":AK100")&lt;&gt;"休み"),1,0),0)),0),""),$F$9&amp;"保育無し")</f>
        <v>0</v>
      </c>
      <c r="S46" s="20">
        <f t="array" aca="1" ref="S46" ca="1">IFERROR(IF(Q46&lt;&gt;0,ADDRESS(ROW(INDIRECT(Q46)),
    COLUMN(INDIRECT(Q46)) - 1 +
    MATCH(1,INDEX((LEN(INDIRECT("'シフト一覧（転載）'!"&amp;Q46&amp;":AK100"))&gt;0)
            *(INDIRECT("'シフト一覧（転載）'!"&amp;Q46&amp;":AK100")&lt;&gt;"休み"),
            1,0),0)+1,4),0),"")</f>
        <v>0</v>
      </c>
      <c r="T46" s="20">
        <f t="array" aca="1" ref="T46" ca="1">IFERROR(IF(S46&lt;&gt;"",IF(S46&lt;&gt;0,INDEX(
INDIRECT("'シフト一覧（転載）'!"&amp;S46&amp;":AK100"),1,
MATCH(1,INDEX((LEN(INDIRECT("'シフト一覧（転載）'!"&amp;S46&amp;":AK100"))&gt;0)
*(INDIRECT("'シフト一覧（転載）'!"&amp;S46&amp;":AK100")&lt;&gt;"休み"),1,0),0)),0),""),$F$9&amp;"保育無し")</f>
        <v>0</v>
      </c>
      <c r="U46" s="20">
        <f t="array" aca="1" ref="U46" ca="1">IFERROR(IF(S46&lt;&gt;0,ADDRESS(ROW(INDIRECT(S46)),
    COLUMN(INDIRECT(S46)) - 1 +
    MATCH(1,INDEX((LEN(INDIRECT("'シフト一覧（転載）'!"&amp;S46&amp;":AK100"))&gt;0)
            *(INDIRECT("'シフト一覧（転載）'!"&amp;S46&amp;":AK100")&lt;&gt;"休み"),
            1,0),0)+1,4),0),"")</f>
        <v>0</v>
      </c>
      <c r="V46" s="20">
        <f t="array" aca="1" ref="V46" ca="1">IFERROR(IF(U46&lt;&gt;"",IF(U46&lt;&gt;0,INDEX(
INDIRECT("'シフト一覧（転載）'!"&amp;U46&amp;":AK100"),1,
MATCH(1,INDEX((LEN(INDIRECT("'シフト一覧（転載）'!"&amp;U46&amp;":AK100"))&gt;0)
*(INDIRECT("'シフト一覧（転載）'!"&amp;U46&amp;":AK100")&lt;&gt;"休み"),1,0),0)),0),""),$F$9&amp;"保育無し")</f>
        <v>0</v>
      </c>
      <c r="W46" s="20">
        <f t="array" aca="1" ref="W46" ca="1">IFERROR(IF(U46&lt;&gt;0,ADDRESS(ROW(INDIRECT(U46)),
    COLUMN(INDIRECT(U46)) - 1 +
    MATCH(1,INDEX((LEN(INDIRECT("'シフト一覧（転載）'!"&amp;U46&amp;":AK100"))&gt;0)
            *(INDIRECT("'シフト一覧（転載）'!"&amp;U46&amp;":AK100")&lt;&gt;"休み"),
            1,0),0)+1,4),0),"")</f>
        <v>0</v>
      </c>
      <c r="X46" s="20">
        <f t="array" aca="1" ref="X46" ca="1">IFERROR(IF(W46&lt;&gt;"",IF(W46&lt;&gt;0,INDEX(
INDIRECT("'シフト一覧（転載）'!"&amp;W46&amp;":AK100"),1,
MATCH(1,INDEX((LEN(INDIRECT("'シフト一覧（転載）'!"&amp;W46&amp;":AK100"))&gt;0)
*(INDIRECT("'シフト一覧（転載）'!"&amp;W46&amp;":AK100")&lt;&gt;"休み"),1,0),0)),0),""),$F$9&amp;"保育無し")</f>
        <v>0</v>
      </c>
      <c r="Y46" s="20">
        <f t="array" aca="1" ref="Y46" ca="1">IFERROR(IF(W46&lt;&gt;0,ADDRESS(ROW(INDIRECT(W46)),
    COLUMN(INDIRECT(W46)) - 1 +
    MATCH(1,INDEX((LEN(INDIRECT("'シフト一覧（転載）'!"&amp;W46&amp;":AK100"))&gt;0)
            *(INDIRECT("'シフト一覧（転載）'!"&amp;W46&amp;":AK100")&lt;&gt;"休み"),
            1,0),0)+1,4),0),"")</f>
        <v>0</v>
      </c>
      <c r="Z46" s="20">
        <f t="array" aca="1" ref="Z46" ca="1">IFERROR(IF(Y46&lt;&gt;"",IF(Y46&lt;&gt;0,INDEX(
INDIRECT("'シフト一覧（転載）'!"&amp;Y46&amp;":AK100"),1,
MATCH(1,INDEX((LEN(INDIRECT("'シフト一覧（転載）'!"&amp;Y46&amp;":AK100"))&gt;0)
*(INDIRECT("'シフト一覧（転載）'!"&amp;Y46&amp;":AK100")&lt;&gt;"休み"),1,0),0)),0),""),$F$9&amp;"保育無し")</f>
        <v>0</v>
      </c>
      <c r="AA46" s="20">
        <f t="array" aca="1" ref="AA46" ca="1">IFERROR(IF(Y46&lt;&gt;0,ADDRESS(ROW(INDIRECT(Y46)),
    COLUMN(INDIRECT(Y46)) - 1 +
    MATCH(1,INDEX((LEN(INDIRECT("'シフト一覧（転載）'!"&amp;Y46&amp;":AK100"))&gt;0)
            *(INDIRECT("'シフト一覧（転載）'!"&amp;Y46&amp;":AK100")&lt;&gt;"休み"),
            1,0),0)+1,4),0),"")</f>
        <v>0</v>
      </c>
      <c r="AB46" s="20">
        <f t="array" aca="1" ref="AB46" ca="1">IFERROR(IF(AA46&lt;&gt;"",IF(AA46&lt;&gt;0,INDEX(
INDIRECT("'シフト一覧（転載）'!"&amp;AA46&amp;":AK100"),1,
MATCH(1,INDEX((LEN(INDIRECT("'シフト一覧（転載）'!"&amp;AA46&amp;":AK100"))&gt;0)
*(INDIRECT("'シフト一覧（転載）'!"&amp;AA46&amp;":AK100")&lt;&gt;"休み"),1,0),0)),0),""),$F$9&amp;"保育無し")</f>
        <v>0</v>
      </c>
      <c r="AC46" s="20">
        <f t="array" aca="1" ref="AC46" ca="1">IFERROR(IF(AA46&lt;&gt;0,ADDRESS(ROW(INDIRECT(AA46)),
    COLUMN(INDIRECT(AA46)) - 1 +
    MATCH(1,INDEX((LEN(INDIRECT("'シフト一覧（転載）'!"&amp;AA46&amp;":AK100"))&gt;0)
            *(INDIRECT("'シフト一覧（転載）'!"&amp;AA46&amp;":AK100")&lt;&gt;"休み"),
            1,0),0)+1,4),0),"")</f>
        <v>0</v>
      </c>
      <c r="AD46" s="20">
        <f t="array" aca="1" ref="AD46" ca="1">IFERROR(IF(AC46&lt;&gt;"",IF(AC46&lt;&gt;0,INDEX(
INDIRECT("'シフト一覧（転載）'!"&amp;AC46&amp;":AK100"),1,
MATCH(1,INDEX((LEN(INDIRECT("'シフト一覧（転載）'!"&amp;AC46&amp;":AK100"))&gt;0)
*(INDIRECT("'シフト一覧（転載）'!"&amp;AC46&amp;":AK100")&lt;&gt;"休み"),1,0),0)),0),""),$F$9&amp;"保育無し")</f>
        <v>0</v>
      </c>
      <c r="AE46" s="20">
        <f t="array" aca="1" ref="AE46" ca="1">IFERROR(IF(AC46&lt;&gt;0,ADDRESS(ROW(INDIRECT(AC46)),
    COLUMN(INDIRECT(AC46)) - 1 +
    MATCH(1,INDEX((LEN(INDIRECT("'シフト一覧（転載）'!"&amp;AC46&amp;":AK100"))&gt;0)
            *(INDIRECT("'シフト一覧（転載）'!"&amp;AC46&amp;":AK100")&lt;&gt;"休み"),
            1,0),0)+1,4),0),"")</f>
        <v>0</v>
      </c>
      <c r="AF46" s="20">
        <f t="array" aca="1" ref="AF46" ca="1">IFERROR(IF(AE46&lt;&gt;"",IF(AE46&lt;&gt;0,INDEX(
INDIRECT("'シフト一覧（転載）'!"&amp;AE46&amp;":AK100"),1,
MATCH(1,INDEX((LEN(INDIRECT("'シフト一覧（転載）'!"&amp;AE46&amp;":AK100"))&gt;0)
*(INDIRECT("'シフト一覧（転載）'!"&amp;AE46&amp;":AK100")&lt;&gt;"休み"),1,0),0)),0),""),$F$9&amp;"保育無し")</f>
        <v>0</v>
      </c>
      <c r="AG46" s="20">
        <f t="array" aca="1" ref="AG46" ca="1">IFERROR(IF(AE46&lt;&gt;0,ADDRESS(ROW(INDIRECT(AE46)),
    COLUMN(INDIRECT(AE46)) - 1 +
    MATCH(1,INDEX((LEN(INDIRECT("'シフト一覧（転載）'!"&amp;AE46&amp;":AK100"))&gt;0)
            *(INDIRECT("'シフト一覧（転載）'!"&amp;AE46&amp;":AK100")&lt;&gt;"休み"),
            1,0),0)+1,4),0),"")</f>
        <v>0</v>
      </c>
      <c r="AH46" s="20">
        <f t="array" aca="1" ref="AH46" ca="1">IFERROR(IF(AG46&lt;&gt;"",IF(AG46&lt;&gt;0,INDEX(
INDIRECT("'シフト一覧（転載）'!"&amp;AG46&amp;":AK100"),1,
MATCH(1,INDEX((LEN(INDIRECT("'シフト一覧（転載）'!"&amp;AG46&amp;":AK100"))&gt;0)
*(INDIRECT("'シフト一覧（転載）'!"&amp;AG46&amp;":AK100")&lt;&gt;"休み"),1,0),0)),0),""),$F$9&amp;"保育無し")</f>
        <v>0</v>
      </c>
      <c r="AI46" s="20">
        <f t="array" aca="1" ref="AI46" ca="1">IFERROR(IF(AG46&lt;&gt;0,ADDRESS(ROW(INDIRECT(AG46)),
    COLUMN(INDIRECT(AG46)) - 1 +
    MATCH(1,INDEX((LEN(INDIRECT("'シフト一覧（転載）'!"&amp;AG46&amp;":AK100"))&gt;0)
            *(INDIRECT("'シフト一覧（転載）'!"&amp;AG46&amp;":AK100")&lt;&gt;"休み"),
            1,0),0)+1,4),0),"")</f>
        <v>0</v>
      </c>
      <c r="AJ46" s="20">
        <f t="array" aca="1" ref="AJ46" ca="1">IFERROR(IF(AI46&lt;&gt;"",IF(AI46&lt;&gt;0,INDEX(
INDIRECT("'シフト一覧（転載）'!"&amp;AI46&amp;":AK100"),1,
MATCH(1,INDEX((LEN(INDIRECT("'シフト一覧（転載）'!"&amp;AI46&amp;":AK100"))&gt;0)
*(INDIRECT("'シフト一覧（転載）'!"&amp;AI46&amp;":AK100")&lt;&gt;"休み"),1,0),0)),0),""),$F$9&amp;"保育無し")</f>
        <v>0</v>
      </c>
      <c r="AK46" s="20">
        <f t="array" aca="1" ref="AK46" ca="1">IFERROR(IF(AI46&lt;&gt;0,ADDRESS(ROW(INDIRECT(AI46)),
    COLUMN(INDIRECT(AI46)) - 1 +
    MATCH(1,INDEX((LEN(INDIRECT("'シフト一覧（転載）'!"&amp;AI46&amp;":AK100"))&gt;0)
            *(INDIRECT("'シフト一覧（転載）'!"&amp;AI46&amp;":AK100")&lt;&gt;"休み"),
            1,0),0)+1,4),0),"")</f>
        <v>0</v>
      </c>
      <c r="AL46" s="20">
        <f t="array" aca="1" ref="AL46" ca="1">IFERROR(IF(AK46&lt;&gt;"",IF(AK46&lt;&gt;0,INDEX(
INDIRECT("'シフト一覧（転載）'!"&amp;AK46&amp;":AK100"),1,
MATCH(1,INDEX((LEN(INDIRECT("'シフト一覧（転載）'!"&amp;AK46&amp;":AK100"))&gt;0)
*(INDIRECT("'シフト一覧（転載）'!"&amp;AK46&amp;":AK100")&lt;&gt;"休み"),1,0),0)),0),""),$F$9&amp;"保育無し")</f>
        <v>0</v>
      </c>
      <c r="AM46" s="20">
        <f t="array" aca="1" ref="AM46" ca="1">IFERROR(IF(AK46&lt;&gt;0,ADDRESS(ROW(INDIRECT(AK46)),
    COLUMN(INDIRECT(AK46)) - 1 +
    MATCH(1,INDEX((LEN(INDIRECT("'シフト一覧（転載）'!"&amp;AK46&amp;":AK100"))&gt;0)
            *(INDIRECT("'シフト一覧（転載）'!"&amp;AK46&amp;":AK100")&lt;&gt;"休み"),
            1,0),0)+1,4),0),"")</f>
        <v>0</v>
      </c>
      <c r="AN46" s="20">
        <f t="array" aca="1" ref="AN46" ca="1">IFERROR(IF(AM46&lt;&gt;"",IF(AM46&lt;&gt;0,INDEX(
INDIRECT("'シフト一覧（転載）'!"&amp;AM46&amp;":AK100"),1,
MATCH(1,INDEX((LEN(INDIRECT("'シフト一覧（転載）'!"&amp;AM46&amp;":AK100"))&gt;0)
*(INDIRECT("'シフト一覧（転載）'!"&amp;AM46&amp;":AK100")&lt;&gt;"休み"),1,0),0)),0),""),$F$9&amp;"保育無し")</f>
        <v>0</v>
      </c>
      <c r="AO46" s="20">
        <f t="array" aca="1" ref="AO46" ca="1">IFERROR(IF(AM46&lt;&gt;0,ADDRESS(ROW(INDIRECT(AM46)),
    COLUMN(INDIRECT(AM46)) - 1 +
    MATCH(1,INDEX((LEN(INDIRECT("'シフト一覧（転載）'!"&amp;AM46&amp;":AK100"))&gt;0)
            *(INDIRECT("'シフト一覧（転載）'!"&amp;AM46&amp;":AK100")&lt;&gt;"休み"),
            1,0),0)+1,4),0),"")</f>
        <v>0</v>
      </c>
      <c r="AP46" s="20">
        <f t="array" aca="1" ref="AP46" ca="1">IFERROR(IF(AO46&lt;&gt;"",IF(AO46&lt;&gt;0,INDEX(
INDIRECT("'シフト一覧（転載）'!"&amp;AO46&amp;":AK100"),1,
MATCH(1,INDEX((LEN(INDIRECT("'シフト一覧（転載）'!"&amp;AO46&amp;":AK100"))&gt;0)
*(INDIRECT("'シフト一覧（転載）'!"&amp;AO46&amp;":AK100")&lt;&gt;"休み"),1,0),0)),0),""),$F$9&amp;"保育無し")</f>
        <v>0</v>
      </c>
      <c r="AQ46" s="20">
        <f t="array" aca="1" ref="AQ46" ca="1">IFERROR(IF(AO46&lt;&gt;0,ADDRESS(ROW(INDIRECT(AO46)),
    COLUMN(INDIRECT(AO46)) - 1 +
    MATCH(1,INDEX((LEN(INDIRECT("'シフト一覧（転載）'!"&amp;AO46&amp;":AK100"))&gt;0)
            *(INDIRECT("'シフト一覧（転載）'!"&amp;AO46&amp;":AK100")&lt;&gt;"休み"),
            1,0),0)+1,4),0),"")</f>
        <v>0</v>
      </c>
      <c r="AR46" s="20">
        <f t="array" aca="1" ref="AR46" ca="1">IFERROR(IF(AQ46&lt;&gt;"",IF(AQ46&lt;&gt;0,INDEX(
INDIRECT("'シフト一覧（転載）'!"&amp;AQ46&amp;":AK100"),1,
MATCH(1,INDEX((LEN(INDIRECT("'シフト一覧（転載）'!"&amp;AQ46&amp;":AK100"))&gt;0)
*(INDIRECT("'シフト一覧（転載）'!"&amp;AQ46&amp;":AK100")&lt;&gt;"休み"),1,0),0)),0),""),$F$9&amp;"保育無し")</f>
        <v>0</v>
      </c>
      <c r="AS46" s="20">
        <f t="array" aca="1" ref="AS46" ca="1">IFERROR(IF(AQ46&lt;&gt;0,ADDRESS(ROW(INDIRECT(AQ46)),
    COLUMN(INDIRECT(AQ46)) - 1 +
    MATCH(1,INDEX((LEN(INDIRECT("'シフト一覧（転載）'!"&amp;AQ46&amp;":AK100"))&gt;0)
            *(INDIRECT("'シフト一覧（転載）'!"&amp;AQ46&amp;":AK100")&lt;&gt;"休み"),
            1,0),0)+1,4),0),"")</f>
        <v>0</v>
      </c>
      <c r="AT46" s="20">
        <f t="array" aca="1" ref="AT46" ca="1">IFERROR(IF(AS46&lt;&gt;"",IF(AS46&lt;&gt;0,INDEX(
INDIRECT("'シフト一覧（転載）'!"&amp;AS46&amp;":AK100"),1,
MATCH(1,INDEX((LEN(INDIRECT("'シフト一覧（転載）'!"&amp;AS46&amp;":AK100"))&gt;0)
*(INDIRECT("'シフト一覧（転載）'!"&amp;AS46&amp;":AK100")&lt;&gt;"休み"),1,0),0)),0),""),$F$9&amp;"保育無し")</f>
        <v>0</v>
      </c>
      <c r="AU46" s="20">
        <f t="array" aca="1" ref="AU46" ca="1">IFERROR(IF(AS46&lt;&gt;0,ADDRESS(ROW(INDIRECT(AS46)),
    COLUMN(INDIRECT(AS46)) - 1 +
    MATCH(1,INDEX((LEN(INDIRECT("'シフト一覧（転載）'!"&amp;AS46&amp;":AK100"))&gt;0)
            *(INDIRECT("'シフト一覧（転載）'!"&amp;AS46&amp;":AK100")&lt;&gt;"休み"),
            1,0),0)+1,4),0),"")</f>
        <v>0</v>
      </c>
      <c r="AV46" s="20">
        <f t="array" aca="1" ref="AV46" ca="1">IFERROR(IF(AU46&lt;&gt;"",IF(AU46&lt;&gt;0,INDEX(
INDIRECT("'シフト一覧（転載）'!"&amp;AU46&amp;":AK100"),1,
MATCH(1,INDEX((LEN(INDIRECT("'シフト一覧（転載）'!"&amp;AU46&amp;":AK100"))&gt;0)
*(INDIRECT("'シフト一覧（転載）'!"&amp;AU46&amp;":AK100")&lt;&gt;"休み"),1,0),0)),0),""),$F$9&amp;"保育無し")</f>
        <v>0</v>
      </c>
      <c r="AW46" s="20">
        <f t="array" aca="1" ref="AW46" ca="1">IFERROR(IF(AU46&lt;&gt;0,ADDRESS(ROW(INDIRECT(AU46)),
    COLUMN(INDIRECT(AU46)) - 1 +
    MATCH(1,INDEX((LEN(INDIRECT("'シフト一覧（転載）'!"&amp;AU46&amp;":AK100"))&gt;0)
            *(INDIRECT("'シフト一覧（転載）'!"&amp;AU46&amp;":AK100")&lt;&gt;"休み"),
            1,0),0)+1,4),0),"")</f>
        <v>0</v>
      </c>
      <c r="AX46" s="20">
        <f t="array" aca="1" ref="AX46" ca="1">IFERROR(IF(AW46&lt;&gt;"",IF(AW46&lt;&gt;0,INDEX(
INDIRECT("'シフト一覧（転載）'!"&amp;AW46&amp;":AK100"),1,
MATCH(1,INDEX((LEN(INDIRECT("'シフト一覧（転載）'!"&amp;AW46&amp;":AK100"))&gt;0)
*(INDIRECT("'シフト一覧（転載）'!"&amp;AW46&amp;":AK100")&lt;&gt;"休み"),1,0),0)),0),""),$F$9&amp;"保育無し")</f>
        <v>0</v>
      </c>
      <c r="AY46" s="20">
        <f t="array" aca="1" ref="AY46" ca="1">IFERROR(IF(AW46&lt;&gt;0,ADDRESS(ROW(INDIRECT(AW46)),
    COLUMN(INDIRECT(AW46)) - 1 +
    MATCH(1,INDEX((LEN(INDIRECT("'シフト一覧（転載）'!"&amp;AW46&amp;":AK100"))&gt;0)
            *(INDIRECT("'シフト一覧（転載）'!"&amp;AW46&amp;":AK100")&lt;&gt;"休み"),
            1,0),0)+1,4),0),"")</f>
        <v>0</v>
      </c>
      <c r="AZ46" s="20">
        <f t="array" aca="1" ref="AZ46" ca="1">IFERROR(IF(AY46&lt;&gt;"",IF(AY46&lt;&gt;0,INDEX(
INDIRECT("'シフト一覧（転載）'!"&amp;AY46&amp;":AK100"),1,
MATCH(1,INDEX((LEN(INDIRECT("'シフト一覧（転載）'!"&amp;AY46&amp;":AK100"))&gt;0)
*(INDIRECT("'シフト一覧（転載）'!"&amp;AY46&amp;":AK100")&lt;&gt;"休み"),1,0),0)),0),""),$F$9&amp;"保育無し")</f>
        <v>0</v>
      </c>
      <c r="BA46" s="20">
        <f t="array" aca="1" ref="BA46" ca="1">IFERROR(IF(AY46&lt;&gt;0,ADDRESS(ROW(INDIRECT(AY46)),
    COLUMN(INDIRECT(AY46)) - 1 +
    MATCH(1,INDEX((LEN(INDIRECT("'シフト一覧（転載）'!"&amp;AY46&amp;":AK100"))&gt;0)
            *(INDIRECT("'シフト一覧（転載）'!"&amp;AY46&amp;":AK100")&lt;&gt;"休み"),
            1,0),0)+1,4),0),"")</f>
        <v>0</v>
      </c>
      <c r="BB46" s="20">
        <f t="array" aca="1" ref="BB46" ca="1">IFERROR(IF(BA46&lt;&gt;"",IF(BA46&lt;&gt;0,INDEX(
INDIRECT("'シフト一覧（転載）'!"&amp;BA46&amp;":AK100"),1,
MATCH(1,INDEX((LEN(INDIRECT("'シフト一覧（転載）'!"&amp;BA46&amp;":AK100"))&gt;0)
*(INDIRECT("'シフト一覧（転載）'!"&amp;BA46&amp;":AK100")&lt;&gt;"休み"),1,0),0)),0),""),$F$9&amp;"保育無し")</f>
        <v>0</v>
      </c>
      <c r="BC46" s="20">
        <f t="array" aca="1" ref="BC46" ca="1">IFERROR(IF(BA46&lt;&gt;0,ADDRESS(ROW(INDIRECT(BA46)),
    COLUMN(INDIRECT(BA46)) - 1 +
    MATCH(1,INDEX((LEN(INDIRECT("'シフト一覧（転載）'!"&amp;BA46&amp;":AK100"))&gt;0)
            *(INDIRECT("'シフト一覧（転載）'!"&amp;BA46&amp;":AK100")&lt;&gt;"休み"),
            1,0),0)+1,4),0),"")</f>
        <v>0</v>
      </c>
      <c r="BD46" s="20">
        <f t="array" aca="1" ref="BD46" ca="1">IFERROR(IF(BC46&lt;&gt;"",IF(BC46&lt;&gt;0,INDEX(
INDIRECT("'シフト一覧（転載）'!"&amp;BC46&amp;":AK100"),1,
MATCH(1,INDEX((LEN(INDIRECT("'シフト一覧（転載）'!"&amp;BC46&amp;":AK100"))&gt;0)
*(INDIRECT("'シフト一覧（転載）'!"&amp;BC46&amp;":AK100")&lt;&gt;"休み"),1,0),0)),0),""),$F$9&amp;"保育無し")</f>
        <v>0</v>
      </c>
      <c r="BE46" s="20">
        <f t="array" aca="1" ref="BE46" ca="1">IFERROR(IF(BC46&lt;&gt;0,ADDRESS(ROW(INDIRECT(BC46)),
    COLUMN(INDIRECT(BC46)) - 1 +
    MATCH(1,INDEX((LEN(INDIRECT("'シフト一覧（転載）'!"&amp;BC46&amp;":AK100"))&gt;0)
            *(INDIRECT("'シフト一覧（転載）'!"&amp;BC46&amp;":AK100")&lt;&gt;"休み"),
            1,0),0)+1,4),0),"")</f>
        <v>0</v>
      </c>
      <c r="BF46" s="20">
        <f t="array" aca="1" ref="BF46" ca="1">IFERROR(IF(BE46&lt;&gt;"",IF(BE46&lt;&gt;0,INDEX(
INDIRECT("'シフト一覧（転載）'!"&amp;BE46&amp;":AK100"),1,
MATCH(1,INDEX((LEN(INDIRECT("'シフト一覧（転載）'!"&amp;BE46&amp;":AK100"))&gt;0)
*(INDIRECT("'シフト一覧（転載）'!"&amp;BE46&amp;":AK100")&lt;&gt;"休み"),1,0),0)),0),""),$F$9&amp;"保育無し")</f>
        <v>0</v>
      </c>
      <c r="BG46" s="20">
        <f t="array" aca="1" ref="BG46" ca="1">IFERROR(IF(BE46&lt;&gt;0,ADDRESS(ROW(INDIRECT(BE46)),
    COLUMN(INDIRECT(BE46)) - 1 +
    MATCH(1,INDEX((LEN(INDIRECT("'シフト一覧（転載）'!"&amp;BE46&amp;":AK100"))&gt;0)
            *(INDIRECT("'シフト一覧（転載）'!"&amp;BE46&amp;":AK100")&lt;&gt;"休み"),
            1,0),0)+1,4),0),"")</f>
        <v>0</v>
      </c>
      <c r="BH46" s="20">
        <f t="array" aca="1" ref="BH46" ca="1">IFERROR(IF(BG46&lt;&gt;"",IF(BG46&lt;&gt;0,INDEX(
INDIRECT("'シフト一覧（転載）'!"&amp;BG46&amp;":AK100"),1,
MATCH(1,INDEX((LEN(INDIRECT("'シフト一覧（転載）'!"&amp;BG46&amp;":AK100"))&gt;0)
*(INDIRECT("'シフト一覧（転載）'!"&amp;BG46&amp;":AK100")&lt;&gt;"休み"),1,0),0)),0),""),$F$9&amp;"保育無し")</f>
        <v>0</v>
      </c>
      <c r="BI46" s="20">
        <f t="array" aca="1" ref="BI46" ca="1">IFERROR(IF(BG46&lt;&gt;0,ADDRESS(ROW(INDIRECT(BG46)),
    COLUMN(INDIRECT(BG46)) - 1 +
    MATCH(1,INDEX((LEN(INDIRECT("'シフト一覧（転載）'!"&amp;BG46&amp;":AK100"))&gt;0)
            *(INDIRECT("'シフト一覧（転載）'!"&amp;BG46&amp;":AK100")&lt;&gt;"休み"),
            1,0),0)+1,4),0),"")</f>
        <v>0</v>
      </c>
      <c r="BJ46" s="20">
        <f t="array" aca="1" ref="BJ46" ca="1">IFERROR(IF(BI46&lt;&gt;"",IF(BI46&lt;&gt;0,INDEX(
INDIRECT("'シフト一覧（転載）'!"&amp;BI46&amp;":AK100"),1,
MATCH(1,INDEX((LEN(INDIRECT("'シフト一覧（転載）'!"&amp;BI46&amp;":AK100"))&gt;0)
*(INDIRECT("'シフト一覧（転載）'!"&amp;BI46&amp;":AK100")&lt;&gt;"休み"),1,0),0)),0),""),$F$9&amp;"保育無し")</f>
        <v>0</v>
      </c>
      <c r="BK46" s="20">
        <f t="array" aca="1" ref="BK46" ca="1">IFERROR(IF(BI46&lt;&gt;0,ADDRESS(ROW(INDIRECT(BI46)),
    COLUMN(INDIRECT(BI46)) - 1 +
    MATCH(1,INDEX((LEN(INDIRECT("'シフト一覧（転載）'!"&amp;BI46&amp;":AK100"))&gt;0)
            *(INDIRECT("'シフト一覧（転載）'!"&amp;BI46&amp;":AK100")&lt;&gt;"休み"),
            1,0),0)+1,4),0),"")</f>
        <v>0</v>
      </c>
      <c r="BL46" s="20">
        <f t="array" aca="1" ref="BL46" ca="1">IFERROR(IF(BK46&lt;&gt;"",IF(BK46&lt;&gt;0,INDEX(
INDIRECT("'シフト一覧（転載）'!"&amp;BK46&amp;":AK100"),1,
MATCH(1,INDEX((LEN(INDIRECT("'シフト一覧（転載）'!"&amp;BK46&amp;":AK100"))&gt;0)
*(INDIRECT("'シフト一覧（転載）'!"&amp;BK46&amp;":AK100")&lt;&gt;"休み"),1,0),0)),0),""),$F$9&amp;"保育無し")</f>
        <v>0</v>
      </c>
      <c r="BM46" s="20">
        <f t="array" aca="1" ref="BM46" ca="1">IFERROR(IF(BK46&lt;&gt;0,ADDRESS(ROW(INDIRECT(BK46)),
    COLUMN(INDIRECT(BK46)) - 1 +
    MATCH(1,INDEX((LEN(INDIRECT("'シフト一覧（転載）'!"&amp;BK46&amp;":AK100"))&gt;0)
            *(INDIRECT("'シフト一覧（転載）'!"&amp;BK46&amp;":AK100")&lt;&gt;"休み"),
            1,0),0)+1,4),0),"")</f>
        <v>0</v>
      </c>
      <c r="BN46" s="20">
        <f t="array" aca="1" ref="BN46" ca="1">IFERROR(IF(BM46&lt;&gt;"",IF(BM46&lt;&gt;0,INDEX(
INDIRECT("'シフト一覧（転載）'!"&amp;BM46&amp;":AK100"),1,
MATCH(1,INDEX((LEN(INDIRECT("'シフト一覧（転載）'!"&amp;BM46&amp;":AK100"))&gt;0)
*(INDIRECT("'シフト一覧（転載）'!"&amp;BM46&amp;":AK100")&lt;&gt;"休み"),1,0),0)),0),""),$F$9&amp;"保育無し")</f>
        <v>0</v>
      </c>
      <c r="BO46" s="20">
        <f t="array" aca="1" ref="BO46" ca="1">IFERROR(IF(BM46&lt;&gt;0,ADDRESS(ROW(INDIRECT(BM46)),
    COLUMN(INDIRECT(BM46)) - 1 +
    MATCH(1,INDEX((LEN(INDIRECT("'シフト一覧（転載）'!"&amp;BM46&amp;":AK100"))&gt;0)
            *(INDIRECT("'シフト一覧（転載）'!"&amp;BM46&amp;":AK100")&lt;&gt;"休み"),
            1,0),0)+1,4),0),"")</f>
        <v>0</v>
      </c>
      <c r="BP46" s="20">
        <f t="array" aca="1" ref="BP46" ca="1">IFERROR(IF(BO46&lt;&gt;"",IF(BO46&lt;&gt;0,INDEX(
INDIRECT("'シフト一覧（転載）'!"&amp;BO46&amp;":AK100"),1,
MATCH(1,INDEX((LEN(INDIRECT("'シフト一覧（転載）'!"&amp;BO46&amp;":AK100"))&gt;0)
*(INDIRECT("'シフト一覧（転載）'!"&amp;BO46&amp;":AK100")&lt;&gt;"休み"),1,0),0)),0),""),$F$9&amp;"保育無し")</f>
        <v>0</v>
      </c>
      <c r="BQ46" s="20">
        <f t="array" aca="1" ref="BQ46" ca="1">IFERROR(IF(BO46&lt;&gt;0,ADDRESS(ROW(INDIRECT(BO46)),
    COLUMN(INDIRECT(BO46)) - 1 +
    MATCH(1,INDEX((LEN(INDIRECT("'シフト一覧（転載）'!"&amp;BO46&amp;":AK100"))&gt;0)
            *(INDIRECT("'シフト一覧（転載）'!"&amp;BO46&amp;":AK100")&lt;&gt;"休み"),
            1,0),0)+1,4),0),"")</f>
        <v>0</v>
      </c>
      <c r="BR46" s="20">
        <f t="array" aca="1" ref="BR46" ca="1">IFERROR(IF(BQ46&lt;&gt;"",IF(BQ46&lt;&gt;0,INDEX(
INDIRECT("'シフト一覧（転載）'!"&amp;BQ46&amp;":AK100"),1,
MATCH(1,INDEX((LEN(INDIRECT("'シフト一覧（転載）'!"&amp;BQ46&amp;":AK100"))&gt;0)
*(INDIRECT("'シフト一覧（転載）'!"&amp;BQ46&amp;":AK100")&lt;&gt;"休み"),1,0),0)),0),""),$F$9&amp;"保育無し")</f>
        <v>0</v>
      </c>
      <c r="BS46" s="20">
        <f t="array" aca="1" ref="BS46" ca="1">IFERROR(IF(BQ46&lt;&gt;0,ADDRESS(ROW(INDIRECT(BQ46)),
    COLUMN(INDIRECT(BQ46)) - 1 +
    MATCH(1,INDEX((LEN(INDIRECT("'シフト一覧（転載）'!"&amp;BQ46&amp;":AK100"))&gt;0)
            *(INDIRECT("'シフト一覧（転載）'!"&amp;BQ46&amp;":AK100")&lt;&gt;"休み"),
            1,0),0)+1,4),0),"")</f>
        <v>0</v>
      </c>
      <c r="BT46" s="20">
        <f t="array" aca="1" ref="BT46" ca="1">IFERROR(IF(BS46&lt;&gt;"",IF(BS46&lt;&gt;0,INDEX(
INDIRECT("'シフト一覧（転載）'!"&amp;BS46&amp;":AK100"),1,
MATCH(1,INDEX((LEN(INDIRECT("'シフト一覧（転載）'!"&amp;BS46&amp;":AK100"))&gt;0)
*(INDIRECT("'シフト一覧（転載）'!"&amp;BS46&amp;":AK100")&lt;&gt;"休み"),1,0),0)),0),""),$F$9&amp;"保育無し")</f>
        <v>0</v>
      </c>
      <c r="BU46" s="20">
        <f t="array" aca="1" ref="BU46" ca="1">IFERROR(IF(BS46&lt;&gt;0,ADDRESS(ROW(INDIRECT(BS46)),
    COLUMN(INDIRECT(BS46)) - 1 +
    MATCH(1,INDEX((LEN(INDIRECT("'シフト一覧（転載）'!"&amp;BS46&amp;":AK100"))&gt;0)
            *(INDIRECT("'シフト一覧（転載）'!"&amp;BS46&amp;":AK100")&lt;&gt;"休み"),
            1,0),0)+1,4),0),"")</f>
        <v>0</v>
      </c>
      <c r="BV46" s="20">
        <f t="array" aca="1" ref="BV46" ca="1">IFERROR(IF(BU46&lt;&gt;"",IF(BU46&lt;&gt;0,INDEX(
INDIRECT("'シフト一覧（転載）'!"&amp;BU46&amp;":AK100"),1,
MATCH(1,INDEX((LEN(INDIRECT("'シフト一覧（転載）'!"&amp;BU46&amp;":AK100"))&gt;0)
*(INDIRECT("'シフト一覧（転載）'!"&amp;BU46&amp;":AK100")&lt;&gt;"休み"),1,0),0)),0),""),$F$9&amp;"保育無し")</f>
        <v>0</v>
      </c>
      <c r="BW46" s="20">
        <f t="array" aca="1" ref="BW46" ca="1">IFERROR(IF(BU46&lt;&gt;0,ADDRESS(ROW(INDIRECT(BU46)),
    COLUMN(INDIRECT(BU46)) - 1 +
    MATCH(1,INDEX((LEN(INDIRECT("'シフト一覧（転載）'!"&amp;BU46&amp;":AK100"))&gt;0)
            *(INDIRECT("'シフト一覧（転載）'!"&amp;BU46&amp;":AK100")&lt;&gt;"休み"),
            1,0),0)+1,4),0),"")</f>
        <v>0</v>
      </c>
      <c r="BX46" s="20">
        <f t="array" aca="1" ref="BX46" ca="1">IFERROR(IF(BW46&lt;&gt;"",IF(BW46&lt;&gt;0,INDEX(
INDIRECT("'シフト一覧（転載）'!"&amp;BW46&amp;":AK100"),1,
MATCH(1,INDEX((LEN(INDIRECT("'シフト一覧（転載）'!"&amp;BW46&amp;":AK100"))&gt;0)
*(INDIRECT("'シフト一覧（転載）'!"&amp;BW46&amp;":AK100")&lt;&gt;"休み"),1,0),0)),0),""),$F$9&amp;"保育無し")</f>
        <v>0</v>
      </c>
      <c r="BY46" s="20">
        <f t="array" aca="1" ref="BY46" ca="1">IFERROR(IF(BW46&lt;&gt;0,ADDRESS(ROW(INDIRECT(BW46)),
    COLUMN(INDIRECT(BW46)) - 1 +
    MATCH(1,INDEX((LEN(INDIRECT("'シフト一覧（転載）'!"&amp;BW46&amp;":AK100"))&gt;0)
            *(INDIRECT("'シフト一覧（転載）'!"&amp;BW46&amp;":AK100")&lt;&gt;"休み"),
            1,0),0)+1,4),0),"")</f>
        <v>0</v>
      </c>
    </row>
    <row r="47" spans="1:77" ht="19.8" customHeight="1" x14ac:dyDescent="0.2">
      <c r="M47" s="104"/>
      <c r="N47" s="102"/>
      <c r="O47" s="107"/>
      <c r="P47" s="21">
        <f t="array" aca="1" ref="P47" ca="1">IFERROR(IF(M46&lt;&gt;"",INDEX('シフト一覧（転載）'!$F$8:$AK$100,
    MATCH(1,(ISNUMBER(SEARCH(M46,'シフト一覧（転載）'!$A$8:$A$100)))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MATCH(1,(ISNUMBER(SEARCH(M46,'シフト一覧（転載）'!$A$8:$A$100)))
                *(ISNUMBER(SEARCH($F$9,'シフト一覧（転載）'!$B$8:$B$100))),
                0),0),0)),0),"")</f>
        <v>0</v>
      </c>
      <c r="Q47" s="21">
        <f ca="1">IF(P46=0,0,
IF(OR(P46="",COUNTIF(P46,"*保育無し*")),"",
IF(MOD(P47-P46,1)*24&gt;=8,1,
IF(MOD(P47-P46,1)*24&gt;=6,0.75,0))))</f>
        <v>0</v>
      </c>
      <c r="R47" s="21">
        <f t="array" aca="1" ref="R47" ca="1">IFERROR(IF(Q46&lt;&gt;0,INDEX(
INDIRECT("'シフト一覧（転載）'!"&amp;Q46&amp;":AK100"),1+1,
MATCH(1,INDEX((LEN(INDIRECT("'シフト一覧（転載）'!"&amp;Q46&amp;":AK100"))&gt;0)
*(INDIRECT("'シフト一覧（転載）'!"&amp;Q46&amp;":AK100")&lt;&gt;"休み"),1,0),0)),0),"")</f>
        <v>0</v>
      </c>
      <c r="S47" s="21">
        <f ca="1">IF(R46=0,0,
IF(OR(R46="",COUNTIF(R46,"*保育無し*")),"",
IF(MOD(R47-R46,1)*24&gt;=8,1,
IF(MOD(R47-R46,1)*24&gt;=6,0.75,0))))</f>
        <v>0</v>
      </c>
      <c r="T47" s="21">
        <f t="array" aca="1" ref="T47" ca="1">IFERROR(IF(S46&lt;&gt;0,INDEX(
INDIRECT("'シフト一覧（転載）'!"&amp;S46&amp;":AK100"),1+1,
MATCH(1,INDEX((LEN(INDIRECT("'シフト一覧（転載）'!"&amp;S46&amp;":AK100"))&gt;0)
*(INDIRECT("'シフト一覧（転載）'!"&amp;S46&amp;":AK100")&lt;&gt;"休み"),1,0),0)),0),"")</f>
        <v>0</v>
      </c>
      <c r="U47" s="21">
        <f ca="1">IF(T46=0,0,
IF(OR(T46="",COUNTIF(T46,"*保育無し*")),"",
IF(MOD(T47-T46,1)*24&gt;=8,1,
IF(MOD(T47-T46,1)*24&gt;=6,0.75,0))))</f>
        <v>0</v>
      </c>
      <c r="V47" s="21">
        <f t="array" aca="1" ref="V47" ca="1">IFERROR(IF(U46&lt;&gt;0,INDEX(
INDIRECT("'シフト一覧（転載）'!"&amp;U46&amp;":AK100"),1+1,
MATCH(1,INDEX((LEN(INDIRECT("'シフト一覧（転載）'!"&amp;U46&amp;":AK100"))&gt;0)
*(INDIRECT("'シフト一覧（転載）'!"&amp;U46&amp;":AK100")&lt;&gt;"休み"),1,0),0)),0),"")</f>
        <v>0</v>
      </c>
      <c r="W47" s="21">
        <f ca="1">IF(V46=0,0,
IF(OR(V46="",COUNTIF(V46,"*保育無し*")),"",
IF(MOD(V47-V46,1)*24&gt;=8,1,
IF(MOD(V47-V46,1)*24&gt;=6,0.75,0))))</f>
        <v>0</v>
      </c>
      <c r="X47" s="21">
        <f t="array" aca="1" ref="X47" ca="1">IFERROR(IF(W46&lt;&gt;0,INDEX(
INDIRECT("'シフト一覧（転載）'!"&amp;W46&amp;":AK100"),1+1,
MATCH(1,INDEX((LEN(INDIRECT("'シフト一覧（転載）'!"&amp;W46&amp;":AK100"))&gt;0)
*(INDIRECT("'シフト一覧（転載）'!"&amp;W46&amp;":AK100")&lt;&gt;"休み"),1,0),0)),0),"")</f>
        <v>0</v>
      </c>
      <c r="Y47" s="21">
        <f ca="1">IF(X46=0,0,
IF(OR(X46="",COUNTIF(X46,"*保育無し*")),"",
IF(MOD(X47-X46,1)*24&gt;=8,1,
IF(MOD(X47-X46,1)*24&gt;=6,0.75,0))))</f>
        <v>0</v>
      </c>
      <c r="Z47" s="21">
        <f t="array" aca="1" ref="Z47" ca="1">IFERROR(IF(Y46&lt;&gt;0,INDEX(
INDIRECT("'シフト一覧（転載）'!"&amp;Y46&amp;":AK100"),1+1,
MATCH(1,INDEX((LEN(INDIRECT("'シフト一覧（転載）'!"&amp;Y46&amp;":AK100"))&gt;0)
*(INDIRECT("'シフト一覧（転載）'!"&amp;Y46&amp;":AK100")&lt;&gt;"休み"),1,0),0)),0),"")</f>
        <v>0</v>
      </c>
      <c r="AA47" s="21">
        <f ca="1">IF(Z46=0,0,
IF(OR(Z46="",COUNTIF(Z46,"*保育無し*")),"",
IF(MOD(Z47-Z46,1)*24&gt;=8,1,
IF(MOD(Z47-Z46,1)*24&gt;=6,0.75,0))))</f>
        <v>0</v>
      </c>
      <c r="AB47" s="21">
        <f t="array" aca="1" ref="AB47" ca="1">IFERROR(IF(AA46&lt;&gt;0,INDEX(
INDIRECT("'シフト一覧（転載）'!"&amp;AA46&amp;":AK100"),1+1,
MATCH(1,INDEX((LEN(INDIRECT("'シフト一覧（転載）'!"&amp;AA46&amp;":AK100"))&gt;0)
*(INDIRECT("'シフト一覧（転載）'!"&amp;AA46&amp;":AK100")&lt;&gt;"休み"),1,0),0)),0),"")</f>
        <v>0</v>
      </c>
      <c r="AC47" s="21">
        <f ca="1">IF(AB46=0,0,
IF(OR(AB46="",COUNTIF(AB46,"*保育無し*")),"",
IF(MOD(AB47-AB46,1)*24&gt;=8,1,
IF(MOD(AB47-AB46,1)*24&gt;=6,0.75,0))))</f>
        <v>0</v>
      </c>
      <c r="AD47" s="21">
        <f t="array" aca="1" ref="AD47" ca="1">IFERROR(IF(AC46&lt;&gt;0,INDEX(
INDIRECT("'シフト一覧（転載）'!"&amp;AC46&amp;":AK100"),1+1,
MATCH(1,INDEX((LEN(INDIRECT("'シフト一覧（転載）'!"&amp;AC46&amp;":AK100"))&gt;0)
*(INDIRECT("'シフト一覧（転載）'!"&amp;AC46&amp;":AK100")&lt;&gt;"休み"),1,0),0)),0),"")</f>
        <v>0</v>
      </c>
      <c r="AE47" s="21">
        <f ca="1">IF(AD46=0,0,
IF(OR(AD46="",COUNTIF(AD46,"*保育無し*")),"",
IF(MOD(AD47-AD46,1)*24&gt;=8,1,
IF(MOD(AD47-AD46,1)*24&gt;=6,0.75,0))))</f>
        <v>0</v>
      </c>
      <c r="AF47" s="21">
        <f t="array" aca="1" ref="AF47" ca="1">IFERROR(IF(AE46&lt;&gt;0,INDEX(
INDIRECT("'シフト一覧（転載）'!"&amp;AE46&amp;":AK100"),1+1,
MATCH(1,INDEX((LEN(INDIRECT("'シフト一覧（転載）'!"&amp;AE46&amp;":AK100"))&gt;0)
*(INDIRECT("'シフト一覧（転載）'!"&amp;AE46&amp;":AK100")&lt;&gt;"休み"),1,0),0)),0),"")</f>
        <v>0</v>
      </c>
      <c r="AG47" s="21">
        <f ca="1">IF(AF46=0,0,
IF(OR(AF46="",COUNTIF(AF46,"*保育無し*")),"",
IF(MOD(AF47-AF46,1)*24&gt;=8,1,
IF(MOD(AF47-AF46,1)*24&gt;=6,0.75,0))))</f>
        <v>0</v>
      </c>
      <c r="AH47" s="21">
        <f t="array" aca="1" ref="AH47" ca="1">IFERROR(IF(AG46&lt;&gt;0,INDEX(
INDIRECT("'シフト一覧（転載）'!"&amp;AG46&amp;":AK100"),1+1,
MATCH(1,INDEX((LEN(INDIRECT("'シフト一覧（転載）'!"&amp;AG46&amp;":AK100"))&gt;0)
*(INDIRECT("'シフト一覧（転載）'!"&amp;AG46&amp;":AK100")&lt;&gt;"休み"),1,0),0)),0),"")</f>
        <v>0</v>
      </c>
      <c r="AI47" s="21">
        <f ca="1">IF(AH46=0,0,
IF(OR(AH46="",COUNTIF(AH46,"*保育無し*")),"",
IF(MOD(AH47-AH46,1)*24&gt;=8,1,
IF(MOD(AH47-AH46,1)*24&gt;=6,0.75,0))))</f>
        <v>0</v>
      </c>
      <c r="AJ47" s="21">
        <f t="array" aca="1" ref="AJ47" ca="1">IFERROR(IF(AI46&lt;&gt;0,INDEX(
INDIRECT("'シフト一覧（転載）'!"&amp;AI46&amp;":AK100"),1+1,
MATCH(1,INDEX((LEN(INDIRECT("'シフト一覧（転載）'!"&amp;AI46&amp;":AK100"))&gt;0)
*(INDIRECT("'シフト一覧（転載）'!"&amp;AI46&amp;":AK100")&lt;&gt;"休み"),1,0),0)),0),"")</f>
        <v>0</v>
      </c>
      <c r="AK47" s="21">
        <f ca="1">IF(AJ46=0,0,
IF(OR(AJ46="",COUNTIF(AJ46,"*保育無し*")),"",
IF(MOD(AJ47-AJ46,1)*24&gt;=8,1,
IF(MOD(AJ47-AJ46,1)*24&gt;=6,0.75,0))))</f>
        <v>0</v>
      </c>
      <c r="AL47" s="21">
        <f t="array" aca="1" ref="AL47" ca="1">IFERROR(IF(AK46&lt;&gt;0,INDEX(
INDIRECT("'シフト一覧（転載）'!"&amp;AK46&amp;":AK100"),1+1,
MATCH(1,INDEX((LEN(INDIRECT("'シフト一覧（転載）'!"&amp;AK46&amp;":AK100"))&gt;0)
*(INDIRECT("'シフト一覧（転載）'!"&amp;AK46&amp;":AK100")&lt;&gt;"休み"),1,0),0)),0),"")</f>
        <v>0</v>
      </c>
      <c r="AM47" s="21">
        <f ca="1">IF(AL46=0,0,
IF(OR(AL46="",COUNTIF(AL46,"*保育無し*")),"",
IF(MOD(AL47-AL46,1)*24&gt;=8,1,
IF(MOD(AL47-AL46,1)*24&gt;=6,0.75,0))))</f>
        <v>0</v>
      </c>
      <c r="AN47" s="21">
        <f t="array" aca="1" ref="AN47" ca="1">IFERROR(IF(AM46&lt;&gt;0,INDEX(
INDIRECT("'シフト一覧（転載）'!"&amp;AM46&amp;":AK100"),1+1,
MATCH(1,INDEX((LEN(INDIRECT("'シフト一覧（転載）'!"&amp;AM46&amp;":AK100"))&gt;0)
*(INDIRECT("'シフト一覧（転載）'!"&amp;AM46&amp;":AK100")&lt;&gt;"休み"),1,0),0)),0),"")</f>
        <v>0</v>
      </c>
      <c r="AO47" s="21">
        <f ca="1">IF(AN46=0,0,
IF(OR(AN46="",COUNTIF(AN46,"*保育無し*")),"",
IF(MOD(AN47-AN46,1)*24&gt;=8,1,
IF(MOD(AN47-AN46,1)*24&gt;=6,0.75,0))))</f>
        <v>0</v>
      </c>
      <c r="AP47" s="21">
        <f t="array" aca="1" ref="AP47" ca="1">IFERROR(IF(AO46&lt;&gt;0,INDEX(
INDIRECT("'シフト一覧（転載）'!"&amp;AO46&amp;":AK100"),1+1,
MATCH(1,INDEX((LEN(INDIRECT("'シフト一覧（転載）'!"&amp;AO46&amp;":AK100"))&gt;0)
*(INDIRECT("'シフト一覧（転載）'!"&amp;AO46&amp;":AK100")&lt;&gt;"休み"),1,0),0)),0),"")</f>
        <v>0</v>
      </c>
      <c r="AQ47" s="21">
        <f ca="1">IF(AP46=0,0,
IF(OR(AP46="",COUNTIF(AP46,"*保育無し*")),"",
IF(MOD(AP47-AP46,1)*24&gt;=8,1,
IF(MOD(AP47-AP46,1)*24&gt;=6,0.75,0))))</f>
        <v>0</v>
      </c>
      <c r="AR47" s="21">
        <f t="array" aca="1" ref="AR47" ca="1">IFERROR(IF(AQ46&lt;&gt;0,INDEX(
INDIRECT("'シフト一覧（転載）'!"&amp;AQ46&amp;":AK100"),1+1,
MATCH(1,INDEX((LEN(INDIRECT("'シフト一覧（転載）'!"&amp;AQ46&amp;":AK100"))&gt;0)
*(INDIRECT("'シフト一覧（転載）'!"&amp;AQ46&amp;":AK100")&lt;&gt;"休み"),1,0),0)),0),"")</f>
        <v>0</v>
      </c>
      <c r="AS47" s="21">
        <f ca="1">IF(AR46=0,0,
IF(OR(AR46="",COUNTIF(AR46,"*保育無し*")),"",
IF(MOD(AR47-AR46,1)*24&gt;=8,1,
IF(MOD(AR47-AR46,1)*24&gt;=6,0.75,0))))</f>
        <v>0</v>
      </c>
      <c r="AT47" s="21">
        <f t="array" aca="1" ref="AT47" ca="1">IFERROR(IF(AS46&lt;&gt;0,INDEX(
INDIRECT("'シフト一覧（転載）'!"&amp;AS46&amp;":AK100"),1+1,
MATCH(1,INDEX((LEN(INDIRECT("'シフト一覧（転載）'!"&amp;AS46&amp;":AK100"))&gt;0)
*(INDIRECT("'シフト一覧（転載）'!"&amp;AS46&amp;":AK100")&lt;&gt;"休み"),1,0),0)),0),"")</f>
        <v>0</v>
      </c>
      <c r="AU47" s="21">
        <f ca="1">IF(AT46=0,0,
IF(OR(AT46="",COUNTIF(AT46,"*保育無し*")),"",
IF(MOD(AT47-AT46,1)*24&gt;=8,1,
IF(MOD(AT47-AT46,1)*24&gt;=6,0.75,0))))</f>
        <v>0</v>
      </c>
      <c r="AV47" s="21">
        <f t="array" aca="1" ref="AV47" ca="1">IFERROR(IF(AU46&lt;&gt;0,INDEX(
INDIRECT("'シフト一覧（転載）'!"&amp;AU46&amp;":AK100"),1+1,
MATCH(1,INDEX((LEN(INDIRECT("'シフト一覧（転載）'!"&amp;AU46&amp;":AK100"))&gt;0)
*(INDIRECT("'シフト一覧（転載）'!"&amp;AU46&amp;":AK100")&lt;&gt;"休み"),1,0),0)),0),"")</f>
        <v>0</v>
      </c>
      <c r="AW47" s="21">
        <f ca="1">IF(AV46=0,0,
IF(OR(AV46="",COUNTIF(AV46,"*保育無し*")),"",
IF(MOD(AV47-AV46,1)*24&gt;=8,1,
IF(MOD(AV47-AV46,1)*24&gt;=6,0.75,0))))</f>
        <v>0</v>
      </c>
      <c r="AX47" s="21">
        <f t="array" aca="1" ref="AX47" ca="1">IFERROR(IF(AW46&lt;&gt;0,INDEX(
INDIRECT("'シフト一覧（転載）'!"&amp;AW46&amp;":AK100"),1+1,
MATCH(1,INDEX((LEN(INDIRECT("'シフト一覧（転載）'!"&amp;AW46&amp;":AK100"))&gt;0)
*(INDIRECT("'シフト一覧（転載）'!"&amp;AW46&amp;":AK100")&lt;&gt;"休み"),1,0),0)),0),"")</f>
        <v>0</v>
      </c>
      <c r="AY47" s="21">
        <f ca="1">IF(AX46=0,0,
IF(OR(AX46="",COUNTIF(AX46,"*保育無し*")),"",
IF(MOD(AX47-AX46,1)*24&gt;=8,1,
IF(MOD(AX47-AX46,1)*24&gt;=6,0.75,0))))</f>
        <v>0</v>
      </c>
      <c r="AZ47" s="21">
        <f t="array" aca="1" ref="AZ47" ca="1">IFERROR(IF(AY46&lt;&gt;0,INDEX(
INDIRECT("'シフト一覧（転載）'!"&amp;AY46&amp;":AK100"),1+1,
MATCH(1,INDEX((LEN(INDIRECT("'シフト一覧（転載）'!"&amp;AY46&amp;":AK100"))&gt;0)
*(INDIRECT("'シフト一覧（転載）'!"&amp;AY46&amp;":AK100")&lt;&gt;"休み"),1,0),0)),0),"")</f>
        <v>0</v>
      </c>
      <c r="BA47" s="21">
        <f ca="1">IF(AZ46=0,0,
IF(OR(AZ46="",COUNTIF(AZ46,"*保育無し*")),"",
IF(MOD(AZ47-AZ46,1)*24&gt;=8,1,
IF(MOD(AZ47-AZ46,1)*24&gt;=6,0.75,0))))</f>
        <v>0</v>
      </c>
      <c r="BB47" s="21">
        <f t="array" aca="1" ref="BB47" ca="1">IFERROR(IF(BA46&lt;&gt;0,INDEX(
INDIRECT("'シフト一覧（転載）'!"&amp;BA46&amp;":AK100"),1+1,
MATCH(1,INDEX((LEN(INDIRECT("'シフト一覧（転載）'!"&amp;BA46&amp;":AK100"))&gt;0)
*(INDIRECT("'シフト一覧（転載）'!"&amp;BA46&amp;":AK100")&lt;&gt;"休み"),1,0),0)),0),"")</f>
        <v>0</v>
      </c>
      <c r="BC47" s="21">
        <f ca="1">IF(BB46=0,0,
IF(OR(BB46="",COUNTIF(BB46,"*保育無し*")),"",
IF(MOD(BB47-BB46,1)*24&gt;=8,1,
IF(MOD(BB47-BB46,1)*24&gt;=6,0.75,0))))</f>
        <v>0</v>
      </c>
      <c r="BD47" s="21">
        <f t="array" aca="1" ref="BD47" ca="1">IFERROR(IF(BC46&lt;&gt;0,INDEX(
INDIRECT("'シフト一覧（転載）'!"&amp;BC46&amp;":AK100"),1+1,
MATCH(1,INDEX((LEN(INDIRECT("'シフト一覧（転載）'!"&amp;BC46&amp;":AK100"))&gt;0)
*(INDIRECT("'シフト一覧（転載）'!"&amp;BC46&amp;":AK100")&lt;&gt;"休み"),1,0),0)),0),"")</f>
        <v>0</v>
      </c>
      <c r="BE47" s="21">
        <f ca="1">IF(BD46=0,0,
IF(OR(BD46="",COUNTIF(BD46,"*保育無し*")),"",
IF(MOD(BD47-BD46,1)*24&gt;=8,1,
IF(MOD(BD47-BD46,1)*24&gt;=6,0.75,0))))</f>
        <v>0</v>
      </c>
      <c r="BF47" s="21">
        <f t="array" aca="1" ref="BF47" ca="1">IFERROR(IF(BE46&lt;&gt;0,INDEX(
INDIRECT("'シフト一覧（転載）'!"&amp;BE46&amp;":AK100"),1+1,
MATCH(1,INDEX((LEN(INDIRECT("'シフト一覧（転載）'!"&amp;BE46&amp;":AK100"))&gt;0)
*(INDIRECT("'シフト一覧（転載）'!"&amp;BE46&amp;":AK100")&lt;&gt;"休み"),1,0),0)),0),"")</f>
        <v>0</v>
      </c>
      <c r="BG47" s="21">
        <f ca="1">IF(BF46=0,0,
IF(OR(BF46="",COUNTIF(BF46,"*保育無し*")),"",
IF(MOD(BF47-BF46,1)*24&gt;=8,1,
IF(MOD(BF47-BF46,1)*24&gt;=6,0.75,0))))</f>
        <v>0</v>
      </c>
      <c r="BH47" s="21">
        <f t="array" aca="1" ref="BH47" ca="1">IFERROR(IF(BG46&lt;&gt;0,INDEX(
INDIRECT("'シフト一覧（転載）'!"&amp;BG46&amp;":AK100"),1+1,
MATCH(1,INDEX((LEN(INDIRECT("'シフト一覧（転載）'!"&amp;BG46&amp;":AK100"))&gt;0)
*(INDIRECT("'シフト一覧（転載）'!"&amp;BG46&amp;":AK100")&lt;&gt;"休み"),1,0),0)),0),"")</f>
        <v>0</v>
      </c>
      <c r="BI47" s="21">
        <f ca="1">IF(BH46=0,0,
IF(OR(BH46="",COUNTIF(BH46,"*保育無し*")),"",
IF(MOD(BH47-BH46,1)*24&gt;=8,1,
IF(MOD(BH47-BH46,1)*24&gt;=6,0.75,0))))</f>
        <v>0</v>
      </c>
      <c r="BJ47" s="21">
        <f t="array" aca="1" ref="BJ47" ca="1">IFERROR(IF(BI46&lt;&gt;0,INDEX(
INDIRECT("'シフト一覧（転載）'!"&amp;BI46&amp;":AK100"),1+1,
MATCH(1,INDEX((LEN(INDIRECT("'シフト一覧（転載）'!"&amp;BI46&amp;":AK100"))&gt;0)
*(INDIRECT("'シフト一覧（転載）'!"&amp;BI46&amp;":AK100")&lt;&gt;"休み"),1,0),0)),0),"")</f>
        <v>0</v>
      </c>
      <c r="BK47" s="21">
        <f ca="1">IF(BJ46=0,0,
IF(OR(BJ46="",COUNTIF(BJ46,"*保育無し*")),"",
IF(MOD(BJ47-BJ46,1)*24&gt;=8,1,
IF(MOD(BJ47-BJ46,1)*24&gt;=6,0.75,0))))</f>
        <v>0</v>
      </c>
      <c r="BL47" s="21">
        <f t="array" aca="1" ref="BL47" ca="1">IFERROR(IF(BK46&lt;&gt;0,INDEX(
INDIRECT("'シフト一覧（転載）'!"&amp;BK46&amp;":AK100"),1+1,
MATCH(1,INDEX((LEN(INDIRECT("'シフト一覧（転載）'!"&amp;BK46&amp;":AK100"))&gt;0)
*(INDIRECT("'シフト一覧（転載）'!"&amp;BK46&amp;":AK100")&lt;&gt;"休み"),1,0),0)),0),"")</f>
        <v>0</v>
      </c>
      <c r="BM47" s="21">
        <f ca="1">IF(BL46=0,0,
IF(OR(BL46="",COUNTIF(BL46,"*保育無し*")),"",
IF(MOD(BL47-BL46,1)*24&gt;=8,1,
IF(MOD(BL47-BL46,1)*24&gt;=6,0.75,0))))</f>
        <v>0</v>
      </c>
      <c r="BN47" s="21">
        <f t="array" aca="1" ref="BN47" ca="1">IFERROR(IF(BM46&lt;&gt;0,INDEX(
INDIRECT("'シフト一覧（転載）'!"&amp;BM46&amp;":AK100"),1+1,
MATCH(1,INDEX((LEN(INDIRECT("'シフト一覧（転載）'!"&amp;BM46&amp;":AK100"))&gt;0)
*(INDIRECT("'シフト一覧（転載）'!"&amp;BM46&amp;":AK100")&lt;&gt;"休み"),1,0),0)),0),"")</f>
        <v>0</v>
      </c>
      <c r="BO47" s="21">
        <f ca="1">IF(BN46=0,0,
IF(OR(BN46="",COUNTIF(BN46,"*保育無し*")),"",
IF(MOD(BN47-BN46,1)*24&gt;=8,1,
IF(MOD(BN47-BN46,1)*24&gt;=6,0.75,0))))</f>
        <v>0</v>
      </c>
      <c r="BP47" s="21">
        <f t="array" aca="1" ref="BP47" ca="1">IFERROR(IF(BO46&lt;&gt;0,INDEX(
INDIRECT("'シフト一覧（転載）'!"&amp;BO46&amp;":AK100"),1+1,
MATCH(1,INDEX((LEN(INDIRECT("'シフト一覧（転載）'!"&amp;BO46&amp;":AK100"))&gt;0)
*(INDIRECT("'シフト一覧（転載）'!"&amp;BO46&amp;":AK100")&lt;&gt;"休み"),1,0),0)),0),"")</f>
        <v>0</v>
      </c>
      <c r="BQ47" s="21">
        <f ca="1">IF(BP46=0,0,
IF(OR(BP46="",COUNTIF(BP46,"*保育無し*")),"",
IF(MOD(BP47-BP46,1)*24&gt;=8,1,
IF(MOD(BP47-BP46,1)*24&gt;=6,0.75,0))))</f>
        <v>0</v>
      </c>
      <c r="BR47" s="21">
        <f t="array" aca="1" ref="BR47" ca="1">IFERROR(IF(BQ46&lt;&gt;0,INDEX(
INDIRECT("'シフト一覧（転載）'!"&amp;BQ46&amp;":AK100"),1+1,
MATCH(1,INDEX((LEN(INDIRECT("'シフト一覧（転載）'!"&amp;BQ46&amp;":AK100"))&gt;0)
*(INDIRECT("'シフト一覧（転載）'!"&amp;BQ46&amp;":AK100")&lt;&gt;"休み"),1,0),0)),0),"")</f>
        <v>0</v>
      </c>
      <c r="BS47" s="21">
        <f ca="1">IF(BR46=0,0,
IF(OR(BR46="",COUNTIF(BR46,"*保育無し*")),"",
IF(MOD(BR47-BR46,1)*24&gt;=8,1,
IF(MOD(BR47-BR46,1)*24&gt;=6,0.75,0))))</f>
        <v>0</v>
      </c>
      <c r="BT47" s="21">
        <f t="array" aca="1" ref="BT47" ca="1">IFERROR(IF(BS46&lt;&gt;0,INDEX(
INDIRECT("'シフト一覧（転載）'!"&amp;BS46&amp;":AK100"),1+1,
MATCH(1,INDEX((LEN(INDIRECT("'シフト一覧（転載）'!"&amp;BS46&amp;":AK100"))&gt;0)
*(INDIRECT("'シフト一覧（転載）'!"&amp;BS46&amp;":AK100")&lt;&gt;"休み"),1,0),0)),0),"")</f>
        <v>0</v>
      </c>
      <c r="BU47" s="21">
        <f ca="1">IF(BT46=0,0,
IF(OR(BT46="",COUNTIF(BT46,"*保育無し*")),"",
IF(MOD(BT47-BT46,1)*24&gt;=8,1,
IF(MOD(BT47-BT46,1)*24&gt;=6,0.75,0))))</f>
        <v>0</v>
      </c>
      <c r="BV47" s="21">
        <f t="array" aca="1" ref="BV47" ca="1">IFERROR(IF(BU46&lt;&gt;0,INDEX(
INDIRECT("'シフト一覧（転載）'!"&amp;BU46&amp;":AK100"),1+1,
MATCH(1,INDEX((LEN(INDIRECT("'シフト一覧（転載）'!"&amp;BU46&amp;":AK100"))&gt;0)
*(INDIRECT("'シフト一覧（転載）'!"&amp;BU46&amp;":AK100")&lt;&gt;"休み"),1,0),0)),0),"")</f>
        <v>0</v>
      </c>
      <c r="BW47" s="21">
        <f ca="1">IF(BV46=0,0,
IF(OR(BV46="",COUNTIF(BV46,"*保育無し*")),"",
IF(MOD(BV47-BV46,1)*24&gt;=8,1,
IF(MOD(BV47-BV46,1)*24&gt;=6,0.75,0))))</f>
        <v>0</v>
      </c>
      <c r="BX47" s="21">
        <f t="array" aca="1" ref="BX47" ca="1">IFERROR(IF(BW46&lt;&gt;0,INDEX(
INDIRECT("'シフト一覧（転載）'!"&amp;BW46&amp;":AK100"),1+1,
MATCH(1,INDEX((LEN(INDIRECT("'シフト一覧（転載）'!"&amp;BW46&amp;":AK100"))&gt;0)
*(INDIRECT("'シフト一覧（転載）'!"&amp;BW46&amp;":AK100")&lt;&gt;"休み"),1,0),0)),0),"")</f>
        <v>0</v>
      </c>
      <c r="BY47" s="21">
        <f ca="1">IF(BX46=0,0,
IF(OR(BX46="",COUNTIF(BX46,"*保育無し*")),"",
IF(MOD(BX47-BX46,1)*24&gt;=8,1,
IF(MOD(BX47-BX46,1)*24&gt;=6,0.75,0))))</f>
        <v>0</v>
      </c>
    </row>
    <row r="48" spans="1:77" ht="19.8" customHeight="1" x14ac:dyDescent="0.2">
      <c r="M48" s="103" t="str" cm="1">
        <f t="array" aca="1" ref="M4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48" s="101" t="str">
        <f t="shared" ref="N48" ca="1" si="23">IF(M48&lt;&gt;"",VLOOKUP(M48,$B$12:$C$41,2,FALSE),"")</f>
        <v/>
      </c>
      <c r="O48" s="106" cm="1">
        <f t="array" aca="1" ref="O48" ca="1">IF(COUNTIF(P48,"*保育無*"),0,
SUM(IF(
MOD(COLUMN(INDIRECT("P"&amp; ROW() &amp; ":" &amp; ADDRESS(ROW(), IFERROR(MATCH("*保育無し*", INDIRECT("P"&amp; ROW() &amp; ":BY" &amp; ROW()), 0) + COLUMN(P48) - 2, COLUMN(BX48) + 1), 4))) - COLUMN(P48), 2) = 0,
MOD(INDIRECT("P"&amp; ROW()+1 &amp; ":" &amp; ADDRESS(ROW()+1, IFERROR(MATCH("*保育無し*", INDIRECT("P"&amp; ROW() &amp; ":BY" &amp; ROW()), 0) + COLUMN(P48) - 2, COLUMN(BX48) + 1), 4)) - INDIRECT("P"&amp; ROW() &amp; ":" &amp; ADDRESS(ROW(), IFERROR(MATCH("*保育無し*", INDIRECT("P"&amp; ROW() &amp; ":BY" &amp; ROW()), 0) + COLUMN(P48) - 2, COLUMN(BX48) + 1), 4)),1),0))*24
-SUM(_xlfn._xlws.FILTER(P49:BX49, MOD(COLUMN(P49:BX49) - COLUMN(P49), 2) = 1)))</f>
        <v>0</v>
      </c>
      <c r="P48" s="20">
        <f t="array" aca="1" ref="P48" ca="1">IFERROR(IF(M48&lt;&gt;"",INDEX('シフト一覧（転載）'!$F$8:$AK$100,
    MATCH(1,(ISNUMBER(SEARCH(M48,'シフト一覧（転載）'!$A$8:$A$100)))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MATCH(1,(ISNUMBER(SEARCH(M48,'シフト一覧（転載）'!$A$8:$A$100)))
                *(ISNUMBER(SEARCH($F$9,'シフト一覧（転載）'!$B$8:$B$100))),
                0),0),0)),0),$F$9&amp;"保育無し")</f>
        <v>0</v>
      </c>
      <c r="Q48" s="20">
        <f t="array" aca="1" ref="Q48" ca="1">IFERROR(IF(COUNTIF(P48,"*無*"),"",IF(M48&lt;&gt;"",ADDRESS(
    MATCH(1,(ISNUMBER(SEARCH(M48,'シフト一覧（転載）'!$A$8:$A$100)))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MATCH(1,(ISNUMBER(SEARCH(M48,'シフト一覧（転載）'!$A$8:$A$100)))
                *(ISNUMBER(SEARCH($F$9,'シフト一覧（転載）'!$B$8:$B$100))),0),0),0) + 6,4),0)),0)</f>
        <v>0</v>
      </c>
      <c r="R48" s="20">
        <f t="array" aca="1" ref="R48" ca="1">IFERROR(IF(Q48&lt;&gt;"",IF(Q48&lt;&gt;0,INDEX(
INDIRECT("'シフト一覧（転載）'!"&amp;Q48&amp;":AK100"),1,
MATCH(1,INDEX((LEN(INDIRECT("'シフト一覧（転載）'!"&amp;Q48&amp;":AK100"))&gt;0)
*(INDIRECT("'シフト一覧（転載）'!"&amp;Q48&amp;":AK100")&lt;&gt;"休み"),1,0),0)),0),""),$F$9&amp;"保育無し")</f>
        <v>0</v>
      </c>
      <c r="S48" s="20">
        <f t="array" aca="1" ref="S48" ca="1">IFERROR(IF(Q48&lt;&gt;0,ADDRESS(ROW(INDIRECT(Q48)),
    COLUMN(INDIRECT(Q48)) - 1 +
    MATCH(1,INDEX((LEN(INDIRECT("'シフト一覧（転載）'!"&amp;Q48&amp;":AK100"))&gt;0)
            *(INDIRECT("'シフト一覧（転載）'!"&amp;Q48&amp;":AK100")&lt;&gt;"休み"),
            1,0),0)+1,4),0),"")</f>
        <v>0</v>
      </c>
      <c r="T48" s="20">
        <f t="array" aca="1" ref="T48" ca="1">IFERROR(IF(S48&lt;&gt;"",IF(S48&lt;&gt;0,INDEX(
INDIRECT("'シフト一覧（転載）'!"&amp;S48&amp;":AK100"),1,
MATCH(1,INDEX((LEN(INDIRECT("'シフト一覧（転載）'!"&amp;S48&amp;":AK100"))&gt;0)
*(INDIRECT("'シフト一覧（転載）'!"&amp;S48&amp;":AK100")&lt;&gt;"休み"),1,0),0)),0),""),$F$9&amp;"保育無し")</f>
        <v>0</v>
      </c>
      <c r="U48" s="20">
        <f t="array" aca="1" ref="U48" ca="1">IFERROR(IF(S48&lt;&gt;0,ADDRESS(ROW(INDIRECT(S48)),
    COLUMN(INDIRECT(S48)) - 1 +
    MATCH(1,INDEX((LEN(INDIRECT("'シフト一覧（転載）'!"&amp;S48&amp;":AK100"))&gt;0)
            *(INDIRECT("'シフト一覧（転載）'!"&amp;S48&amp;":AK100")&lt;&gt;"休み"),
            1,0),0)+1,4),0),"")</f>
        <v>0</v>
      </c>
      <c r="V48" s="20">
        <f t="array" aca="1" ref="V48" ca="1">IFERROR(IF(U48&lt;&gt;"",IF(U48&lt;&gt;0,INDEX(
INDIRECT("'シフト一覧（転載）'!"&amp;U48&amp;":AK100"),1,
MATCH(1,INDEX((LEN(INDIRECT("'シフト一覧（転載）'!"&amp;U48&amp;":AK100"))&gt;0)
*(INDIRECT("'シフト一覧（転載）'!"&amp;U48&amp;":AK100")&lt;&gt;"休み"),1,0),0)),0),""),$F$9&amp;"保育無し")</f>
        <v>0</v>
      </c>
      <c r="W48" s="20">
        <f t="array" aca="1" ref="W48" ca="1">IFERROR(IF(U48&lt;&gt;0,ADDRESS(ROW(INDIRECT(U48)),
    COLUMN(INDIRECT(U48)) - 1 +
    MATCH(1,INDEX((LEN(INDIRECT("'シフト一覧（転載）'!"&amp;U48&amp;":AK100"))&gt;0)
            *(INDIRECT("'シフト一覧（転載）'!"&amp;U48&amp;":AK100")&lt;&gt;"休み"),
            1,0),0)+1,4),0),"")</f>
        <v>0</v>
      </c>
      <c r="X48" s="20">
        <f t="array" aca="1" ref="X48" ca="1">IFERROR(IF(W48&lt;&gt;"",IF(W48&lt;&gt;0,INDEX(
INDIRECT("'シフト一覧（転載）'!"&amp;W48&amp;":AK100"),1,
MATCH(1,INDEX((LEN(INDIRECT("'シフト一覧（転載）'!"&amp;W48&amp;":AK100"))&gt;0)
*(INDIRECT("'シフト一覧（転載）'!"&amp;W48&amp;":AK100")&lt;&gt;"休み"),1,0),0)),0),""),$F$9&amp;"保育無し")</f>
        <v>0</v>
      </c>
      <c r="Y48" s="20">
        <f t="array" aca="1" ref="Y48" ca="1">IFERROR(IF(W48&lt;&gt;0,ADDRESS(ROW(INDIRECT(W48)),
    COLUMN(INDIRECT(W48)) - 1 +
    MATCH(1,INDEX((LEN(INDIRECT("'シフト一覧（転載）'!"&amp;W48&amp;":AK100"))&gt;0)
            *(INDIRECT("'シフト一覧（転載）'!"&amp;W48&amp;":AK100")&lt;&gt;"休み"),
            1,0),0)+1,4),0),"")</f>
        <v>0</v>
      </c>
      <c r="Z48" s="20">
        <f t="array" aca="1" ref="Z48" ca="1">IFERROR(IF(Y48&lt;&gt;"",IF(Y48&lt;&gt;0,INDEX(
INDIRECT("'シフト一覧（転載）'!"&amp;Y48&amp;":AK100"),1,
MATCH(1,INDEX((LEN(INDIRECT("'シフト一覧（転載）'!"&amp;Y48&amp;":AK100"))&gt;0)
*(INDIRECT("'シフト一覧（転載）'!"&amp;Y48&amp;":AK100")&lt;&gt;"休み"),1,0),0)),0),""),$F$9&amp;"保育無し")</f>
        <v>0</v>
      </c>
      <c r="AA48" s="20">
        <f t="array" aca="1" ref="AA48" ca="1">IFERROR(IF(Y48&lt;&gt;0,ADDRESS(ROW(INDIRECT(Y48)),
    COLUMN(INDIRECT(Y48)) - 1 +
    MATCH(1,INDEX((LEN(INDIRECT("'シフト一覧（転載）'!"&amp;Y48&amp;":AK100"))&gt;0)
            *(INDIRECT("'シフト一覧（転載）'!"&amp;Y48&amp;":AK100")&lt;&gt;"休み"),
            1,0),0)+1,4),0),"")</f>
        <v>0</v>
      </c>
      <c r="AB48" s="20">
        <f t="array" aca="1" ref="AB48" ca="1">IFERROR(IF(AA48&lt;&gt;"",IF(AA48&lt;&gt;0,INDEX(
INDIRECT("'シフト一覧（転載）'!"&amp;AA48&amp;":AK100"),1,
MATCH(1,INDEX((LEN(INDIRECT("'シフト一覧（転載）'!"&amp;AA48&amp;":AK100"))&gt;0)
*(INDIRECT("'シフト一覧（転載）'!"&amp;AA48&amp;":AK100")&lt;&gt;"休み"),1,0),0)),0),""),$F$9&amp;"保育無し")</f>
        <v>0</v>
      </c>
      <c r="AC48" s="20">
        <f t="array" aca="1" ref="AC48" ca="1">IFERROR(IF(AA48&lt;&gt;0,ADDRESS(ROW(INDIRECT(AA48)),
    COLUMN(INDIRECT(AA48)) - 1 +
    MATCH(1,INDEX((LEN(INDIRECT("'シフト一覧（転載）'!"&amp;AA48&amp;":AK100"))&gt;0)
            *(INDIRECT("'シフト一覧（転載）'!"&amp;AA48&amp;":AK100")&lt;&gt;"休み"),
            1,0),0)+1,4),0),"")</f>
        <v>0</v>
      </c>
      <c r="AD48" s="20">
        <f t="array" aca="1" ref="AD48" ca="1">IFERROR(IF(AC48&lt;&gt;"",IF(AC48&lt;&gt;0,INDEX(
INDIRECT("'シフト一覧（転載）'!"&amp;AC48&amp;":AK100"),1,
MATCH(1,INDEX((LEN(INDIRECT("'シフト一覧（転載）'!"&amp;AC48&amp;":AK100"))&gt;0)
*(INDIRECT("'シフト一覧（転載）'!"&amp;AC48&amp;":AK100")&lt;&gt;"休み"),1,0),0)),0),""),$F$9&amp;"保育無し")</f>
        <v>0</v>
      </c>
      <c r="AE48" s="20">
        <f t="array" aca="1" ref="AE48" ca="1">IFERROR(IF(AC48&lt;&gt;0,ADDRESS(ROW(INDIRECT(AC48)),
    COLUMN(INDIRECT(AC48)) - 1 +
    MATCH(1,INDEX((LEN(INDIRECT("'シフト一覧（転載）'!"&amp;AC48&amp;":AK100"))&gt;0)
            *(INDIRECT("'シフト一覧（転載）'!"&amp;AC48&amp;":AK100")&lt;&gt;"休み"),
            1,0),0)+1,4),0),"")</f>
        <v>0</v>
      </c>
      <c r="AF48" s="20">
        <f t="array" aca="1" ref="AF48" ca="1">IFERROR(IF(AE48&lt;&gt;"",IF(AE48&lt;&gt;0,INDEX(
INDIRECT("'シフト一覧（転載）'!"&amp;AE48&amp;":AK100"),1,
MATCH(1,INDEX((LEN(INDIRECT("'シフト一覧（転載）'!"&amp;AE48&amp;":AK100"))&gt;0)
*(INDIRECT("'シフト一覧（転載）'!"&amp;AE48&amp;":AK100")&lt;&gt;"休み"),1,0),0)),0),""),$F$9&amp;"保育無し")</f>
        <v>0</v>
      </c>
      <c r="AG48" s="20">
        <f t="array" aca="1" ref="AG48" ca="1">IFERROR(IF(AE48&lt;&gt;0,ADDRESS(ROW(INDIRECT(AE48)),
    COLUMN(INDIRECT(AE48)) - 1 +
    MATCH(1,INDEX((LEN(INDIRECT("'シフト一覧（転載）'!"&amp;AE48&amp;":AK100"))&gt;0)
            *(INDIRECT("'シフト一覧（転載）'!"&amp;AE48&amp;":AK100")&lt;&gt;"休み"),
            1,0),0)+1,4),0),"")</f>
        <v>0</v>
      </c>
      <c r="AH48" s="20">
        <f t="array" aca="1" ref="AH48" ca="1">IFERROR(IF(AG48&lt;&gt;"",IF(AG48&lt;&gt;0,INDEX(
INDIRECT("'シフト一覧（転載）'!"&amp;AG48&amp;":AK100"),1,
MATCH(1,INDEX((LEN(INDIRECT("'シフト一覧（転載）'!"&amp;AG48&amp;":AK100"))&gt;0)
*(INDIRECT("'シフト一覧（転載）'!"&amp;AG48&amp;":AK100")&lt;&gt;"休み"),1,0),0)),0),""),$F$9&amp;"保育無し")</f>
        <v>0</v>
      </c>
      <c r="AI48" s="20">
        <f t="array" aca="1" ref="AI48" ca="1">IFERROR(IF(AG48&lt;&gt;0,ADDRESS(ROW(INDIRECT(AG48)),
    COLUMN(INDIRECT(AG48)) - 1 +
    MATCH(1,INDEX((LEN(INDIRECT("'シフト一覧（転載）'!"&amp;AG48&amp;":AK100"))&gt;0)
            *(INDIRECT("'シフト一覧（転載）'!"&amp;AG48&amp;":AK100")&lt;&gt;"休み"),
            1,0),0)+1,4),0),"")</f>
        <v>0</v>
      </c>
      <c r="AJ48" s="20">
        <f t="array" aca="1" ref="AJ48" ca="1">IFERROR(IF(AI48&lt;&gt;"",IF(AI48&lt;&gt;0,INDEX(
INDIRECT("'シフト一覧（転載）'!"&amp;AI48&amp;":AK100"),1,
MATCH(1,INDEX((LEN(INDIRECT("'シフト一覧（転載）'!"&amp;AI48&amp;":AK100"))&gt;0)
*(INDIRECT("'シフト一覧（転載）'!"&amp;AI48&amp;":AK100")&lt;&gt;"休み"),1,0),0)),0),""),$F$9&amp;"保育無し")</f>
        <v>0</v>
      </c>
      <c r="AK48" s="20">
        <f t="array" aca="1" ref="AK48" ca="1">IFERROR(IF(AI48&lt;&gt;0,ADDRESS(ROW(INDIRECT(AI48)),
    COLUMN(INDIRECT(AI48)) - 1 +
    MATCH(1,INDEX((LEN(INDIRECT("'シフト一覧（転載）'!"&amp;AI48&amp;":AK100"))&gt;0)
            *(INDIRECT("'シフト一覧（転載）'!"&amp;AI48&amp;":AK100")&lt;&gt;"休み"),
            1,0),0)+1,4),0),"")</f>
        <v>0</v>
      </c>
      <c r="AL48" s="20">
        <f t="array" aca="1" ref="AL48" ca="1">IFERROR(IF(AK48&lt;&gt;"",IF(AK48&lt;&gt;0,INDEX(
INDIRECT("'シフト一覧（転載）'!"&amp;AK48&amp;":AK100"),1,
MATCH(1,INDEX((LEN(INDIRECT("'シフト一覧（転載）'!"&amp;AK48&amp;":AK100"))&gt;0)
*(INDIRECT("'シフト一覧（転載）'!"&amp;AK48&amp;":AK100")&lt;&gt;"休み"),1,0),0)),0),""),$F$9&amp;"保育無し")</f>
        <v>0</v>
      </c>
      <c r="AM48" s="20">
        <f t="array" aca="1" ref="AM48" ca="1">IFERROR(IF(AK48&lt;&gt;0,ADDRESS(ROW(INDIRECT(AK48)),
    COLUMN(INDIRECT(AK48)) - 1 +
    MATCH(1,INDEX((LEN(INDIRECT("'シフト一覧（転載）'!"&amp;AK48&amp;":AK100"))&gt;0)
            *(INDIRECT("'シフト一覧（転載）'!"&amp;AK48&amp;":AK100")&lt;&gt;"休み"),
            1,0),0)+1,4),0),"")</f>
        <v>0</v>
      </c>
      <c r="AN48" s="20">
        <f t="array" aca="1" ref="AN48" ca="1">IFERROR(IF(AM48&lt;&gt;"",IF(AM48&lt;&gt;0,INDEX(
INDIRECT("'シフト一覧（転載）'!"&amp;AM48&amp;":AK100"),1,
MATCH(1,INDEX((LEN(INDIRECT("'シフト一覧（転載）'!"&amp;AM48&amp;":AK100"))&gt;0)
*(INDIRECT("'シフト一覧（転載）'!"&amp;AM48&amp;":AK100")&lt;&gt;"休み"),1,0),0)),0),""),$F$9&amp;"保育無し")</f>
        <v>0</v>
      </c>
      <c r="AO48" s="20">
        <f t="array" aca="1" ref="AO48" ca="1">IFERROR(IF(AM48&lt;&gt;0,ADDRESS(ROW(INDIRECT(AM48)),
    COLUMN(INDIRECT(AM48)) - 1 +
    MATCH(1,INDEX((LEN(INDIRECT("'シフト一覧（転載）'!"&amp;AM48&amp;":AK100"))&gt;0)
            *(INDIRECT("'シフト一覧（転載）'!"&amp;AM48&amp;":AK100")&lt;&gt;"休み"),
            1,0),0)+1,4),0),"")</f>
        <v>0</v>
      </c>
      <c r="AP48" s="20">
        <f t="array" aca="1" ref="AP48" ca="1">IFERROR(IF(AO48&lt;&gt;"",IF(AO48&lt;&gt;0,INDEX(
INDIRECT("'シフト一覧（転載）'!"&amp;AO48&amp;":AK100"),1,
MATCH(1,INDEX((LEN(INDIRECT("'シフト一覧（転載）'!"&amp;AO48&amp;":AK100"))&gt;0)
*(INDIRECT("'シフト一覧（転載）'!"&amp;AO48&amp;":AK100")&lt;&gt;"休み"),1,0),0)),0),""),$F$9&amp;"保育無し")</f>
        <v>0</v>
      </c>
      <c r="AQ48" s="20">
        <f t="array" aca="1" ref="AQ48" ca="1">IFERROR(IF(AO48&lt;&gt;0,ADDRESS(ROW(INDIRECT(AO48)),
    COLUMN(INDIRECT(AO48)) - 1 +
    MATCH(1,INDEX((LEN(INDIRECT("'シフト一覧（転載）'!"&amp;AO48&amp;":AK100"))&gt;0)
            *(INDIRECT("'シフト一覧（転載）'!"&amp;AO48&amp;":AK100")&lt;&gt;"休み"),
            1,0),0)+1,4),0),"")</f>
        <v>0</v>
      </c>
      <c r="AR48" s="20">
        <f t="array" aca="1" ref="AR48" ca="1">IFERROR(IF(AQ48&lt;&gt;"",IF(AQ48&lt;&gt;0,INDEX(
INDIRECT("'シフト一覧（転載）'!"&amp;AQ48&amp;":AK100"),1,
MATCH(1,INDEX((LEN(INDIRECT("'シフト一覧（転載）'!"&amp;AQ48&amp;":AK100"))&gt;0)
*(INDIRECT("'シフト一覧（転載）'!"&amp;AQ48&amp;":AK100")&lt;&gt;"休み"),1,0),0)),0),""),$F$9&amp;"保育無し")</f>
        <v>0</v>
      </c>
      <c r="AS48" s="20">
        <f t="array" aca="1" ref="AS48" ca="1">IFERROR(IF(AQ48&lt;&gt;0,ADDRESS(ROW(INDIRECT(AQ48)),
    COLUMN(INDIRECT(AQ48)) - 1 +
    MATCH(1,INDEX((LEN(INDIRECT("'シフト一覧（転載）'!"&amp;AQ48&amp;":AK100"))&gt;0)
            *(INDIRECT("'シフト一覧（転載）'!"&amp;AQ48&amp;":AK100")&lt;&gt;"休み"),
            1,0),0)+1,4),0),"")</f>
        <v>0</v>
      </c>
      <c r="AT48" s="20">
        <f t="array" aca="1" ref="AT48" ca="1">IFERROR(IF(AS48&lt;&gt;"",IF(AS48&lt;&gt;0,INDEX(
INDIRECT("'シフト一覧（転載）'!"&amp;AS48&amp;":AK100"),1,
MATCH(1,INDEX((LEN(INDIRECT("'シフト一覧（転載）'!"&amp;AS48&amp;":AK100"))&gt;0)
*(INDIRECT("'シフト一覧（転載）'!"&amp;AS48&amp;":AK100")&lt;&gt;"休み"),1,0),0)),0),""),$F$9&amp;"保育無し")</f>
        <v>0</v>
      </c>
      <c r="AU48" s="20">
        <f t="array" aca="1" ref="AU48" ca="1">IFERROR(IF(AS48&lt;&gt;0,ADDRESS(ROW(INDIRECT(AS48)),
    COLUMN(INDIRECT(AS48)) - 1 +
    MATCH(1,INDEX((LEN(INDIRECT("'シフト一覧（転載）'!"&amp;AS48&amp;":AK100"))&gt;0)
            *(INDIRECT("'シフト一覧（転載）'!"&amp;AS48&amp;":AK100")&lt;&gt;"休み"),
            1,0),0)+1,4),0),"")</f>
        <v>0</v>
      </c>
      <c r="AV48" s="20">
        <f t="array" aca="1" ref="AV48" ca="1">IFERROR(IF(AU48&lt;&gt;"",IF(AU48&lt;&gt;0,INDEX(
INDIRECT("'シフト一覧（転載）'!"&amp;AU48&amp;":AK100"),1,
MATCH(1,INDEX((LEN(INDIRECT("'シフト一覧（転載）'!"&amp;AU48&amp;":AK100"))&gt;0)
*(INDIRECT("'シフト一覧（転載）'!"&amp;AU48&amp;":AK100")&lt;&gt;"休み"),1,0),0)),0),""),$F$9&amp;"保育無し")</f>
        <v>0</v>
      </c>
      <c r="AW48" s="20">
        <f t="array" aca="1" ref="AW48" ca="1">IFERROR(IF(AU48&lt;&gt;0,ADDRESS(ROW(INDIRECT(AU48)),
    COLUMN(INDIRECT(AU48)) - 1 +
    MATCH(1,INDEX((LEN(INDIRECT("'シフト一覧（転載）'!"&amp;AU48&amp;":AK100"))&gt;0)
            *(INDIRECT("'シフト一覧（転載）'!"&amp;AU48&amp;":AK100")&lt;&gt;"休み"),
            1,0),0)+1,4),0),"")</f>
        <v>0</v>
      </c>
      <c r="AX48" s="20">
        <f t="array" aca="1" ref="AX48" ca="1">IFERROR(IF(AW48&lt;&gt;"",IF(AW48&lt;&gt;0,INDEX(
INDIRECT("'シフト一覧（転載）'!"&amp;AW48&amp;":AK100"),1,
MATCH(1,INDEX((LEN(INDIRECT("'シフト一覧（転載）'!"&amp;AW48&amp;":AK100"))&gt;0)
*(INDIRECT("'シフト一覧（転載）'!"&amp;AW48&amp;":AK100")&lt;&gt;"休み"),1,0),0)),0),""),$F$9&amp;"保育無し")</f>
        <v>0</v>
      </c>
      <c r="AY48" s="20">
        <f t="array" aca="1" ref="AY48" ca="1">IFERROR(IF(AW48&lt;&gt;0,ADDRESS(ROW(INDIRECT(AW48)),
    COLUMN(INDIRECT(AW48)) - 1 +
    MATCH(1,INDEX((LEN(INDIRECT("'シフト一覧（転載）'!"&amp;AW48&amp;":AK100"))&gt;0)
            *(INDIRECT("'シフト一覧（転載）'!"&amp;AW48&amp;":AK100")&lt;&gt;"休み"),
            1,0),0)+1,4),0),"")</f>
        <v>0</v>
      </c>
      <c r="AZ48" s="20">
        <f t="array" aca="1" ref="AZ48" ca="1">IFERROR(IF(AY48&lt;&gt;"",IF(AY48&lt;&gt;0,INDEX(
INDIRECT("'シフト一覧（転載）'!"&amp;AY48&amp;":AK100"),1,
MATCH(1,INDEX((LEN(INDIRECT("'シフト一覧（転載）'!"&amp;AY48&amp;":AK100"))&gt;0)
*(INDIRECT("'シフト一覧（転載）'!"&amp;AY48&amp;":AK100")&lt;&gt;"休み"),1,0),0)),0),""),$F$9&amp;"保育無し")</f>
        <v>0</v>
      </c>
      <c r="BA48" s="20">
        <f t="array" aca="1" ref="BA48" ca="1">IFERROR(IF(AY48&lt;&gt;0,ADDRESS(ROW(INDIRECT(AY48)),
    COLUMN(INDIRECT(AY48)) - 1 +
    MATCH(1,INDEX((LEN(INDIRECT("'シフト一覧（転載）'!"&amp;AY48&amp;":AK100"))&gt;0)
            *(INDIRECT("'シフト一覧（転載）'!"&amp;AY48&amp;":AK100")&lt;&gt;"休み"),
            1,0),0)+1,4),0),"")</f>
        <v>0</v>
      </c>
      <c r="BB48" s="20">
        <f t="array" aca="1" ref="BB48" ca="1">IFERROR(IF(BA48&lt;&gt;"",IF(BA48&lt;&gt;0,INDEX(
INDIRECT("'シフト一覧（転載）'!"&amp;BA48&amp;":AK100"),1,
MATCH(1,INDEX((LEN(INDIRECT("'シフト一覧（転載）'!"&amp;BA48&amp;":AK100"))&gt;0)
*(INDIRECT("'シフト一覧（転載）'!"&amp;BA48&amp;":AK100")&lt;&gt;"休み"),1,0),0)),0),""),$F$9&amp;"保育無し")</f>
        <v>0</v>
      </c>
      <c r="BC48" s="20">
        <f t="array" aca="1" ref="BC48" ca="1">IFERROR(IF(BA48&lt;&gt;0,ADDRESS(ROW(INDIRECT(BA48)),
    COLUMN(INDIRECT(BA48)) - 1 +
    MATCH(1,INDEX((LEN(INDIRECT("'シフト一覧（転載）'!"&amp;BA48&amp;":AK100"))&gt;0)
            *(INDIRECT("'シフト一覧（転載）'!"&amp;BA48&amp;":AK100")&lt;&gt;"休み"),
            1,0),0)+1,4),0),"")</f>
        <v>0</v>
      </c>
      <c r="BD48" s="20">
        <f t="array" aca="1" ref="BD48" ca="1">IFERROR(IF(BC48&lt;&gt;"",IF(BC48&lt;&gt;0,INDEX(
INDIRECT("'シフト一覧（転載）'!"&amp;BC48&amp;":AK100"),1,
MATCH(1,INDEX((LEN(INDIRECT("'シフト一覧（転載）'!"&amp;BC48&amp;":AK100"))&gt;0)
*(INDIRECT("'シフト一覧（転載）'!"&amp;BC48&amp;":AK100")&lt;&gt;"休み"),1,0),0)),0),""),$F$9&amp;"保育無し")</f>
        <v>0</v>
      </c>
      <c r="BE48" s="20">
        <f t="array" aca="1" ref="BE48" ca="1">IFERROR(IF(BC48&lt;&gt;0,ADDRESS(ROW(INDIRECT(BC48)),
    COLUMN(INDIRECT(BC48)) - 1 +
    MATCH(1,INDEX((LEN(INDIRECT("'シフト一覧（転載）'!"&amp;BC48&amp;":AK100"))&gt;0)
            *(INDIRECT("'シフト一覧（転載）'!"&amp;BC48&amp;":AK100")&lt;&gt;"休み"),
            1,0),0)+1,4),0),"")</f>
        <v>0</v>
      </c>
      <c r="BF48" s="20">
        <f t="array" aca="1" ref="BF48" ca="1">IFERROR(IF(BE48&lt;&gt;"",IF(BE48&lt;&gt;0,INDEX(
INDIRECT("'シフト一覧（転載）'!"&amp;BE48&amp;":AK100"),1,
MATCH(1,INDEX((LEN(INDIRECT("'シフト一覧（転載）'!"&amp;BE48&amp;":AK100"))&gt;0)
*(INDIRECT("'シフト一覧（転載）'!"&amp;BE48&amp;":AK100")&lt;&gt;"休み"),1,0),0)),0),""),$F$9&amp;"保育無し")</f>
        <v>0</v>
      </c>
      <c r="BG48" s="20">
        <f t="array" aca="1" ref="BG48" ca="1">IFERROR(IF(BE48&lt;&gt;0,ADDRESS(ROW(INDIRECT(BE48)),
    COLUMN(INDIRECT(BE48)) - 1 +
    MATCH(1,INDEX((LEN(INDIRECT("'シフト一覧（転載）'!"&amp;BE48&amp;":AK100"))&gt;0)
            *(INDIRECT("'シフト一覧（転載）'!"&amp;BE48&amp;":AK100")&lt;&gt;"休み"),
            1,0),0)+1,4),0),"")</f>
        <v>0</v>
      </c>
      <c r="BH48" s="20">
        <f t="array" aca="1" ref="BH48" ca="1">IFERROR(IF(BG48&lt;&gt;"",IF(BG48&lt;&gt;0,INDEX(
INDIRECT("'シフト一覧（転載）'!"&amp;BG48&amp;":AK100"),1,
MATCH(1,INDEX((LEN(INDIRECT("'シフト一覧（転載）'!"&amp;BG48&amp;":AK100"))&gt;0)
*(INDIRECT("'シフト一覧（転載）'!"&amp;BG48&amp;":AK100")&lt;&gt;"休み"),1,0),0)),0),""),$F$9&amp;"保育無し")</f>
        <v>0</v>
      </c>
      <c r="BI48" s="20">
        <f t="array" aca="1" ref="BI48" ca="1">IFERROR(IF(BG48&lt;&gt;0,ADDRESS(ROW(INDIRECT(BG48)),
    COLUMN(INDIRECT(BG48)) - 1 +
    MATCH(1,INDEX((LEN(INDIRECT("'シフト一覧（転載）'!"&amp;BG48&amp;":AK100"))&gt;0)
            *(INDIRECT("'シフト一覧（転載）'!"&amp;BG48&amp;":AK100")&lt;&gt;"休み"),
            1,0),0)+1,4),0),"")</f>
        <v>0</v>
      </c>
      <c r="BJ48" s="20">
        <f t="array" aca="1" ref="BJ48" ca="1">IFERROR(IF(BI48&lt;&gt;"",IF(BI48&lt;&gt;0,INDEX(
INDIRECT("'シフト一覧（転載）'!"&amp;BI48&amp;":AK100"),1,
MATCH(1,INDEX((LEN(INDIRECT("'シフト一覧（転載）'!"&amp;BI48&amp;":AK100"))&gt;0)
*(INDIRECT("'シフト一覧（転載）'!"&amp;BI48&amp;":AK100")&lt;&gt;"休み"),1,0),0)),0),""),$F$9&amp;"保育無し")</f>
        <v>0</v>
      </c>
      <c r="BK48" s="20">
        <f t="array" aca="1" ref="BK48" ca="1">IFERROR(IF(BI48&lt;&gt;0,ADDRESS(ROW(INDIRECT(BI48)),
    COLUMN(INDIRECT(BI48)) - 1 +
    MATCH(1,INDEX((LEN(INDIRECT("'シフト一覧（転載）'!"&amp;BI48&amp;":AK100"))&gt;0)
            *(INDIRECT("'シフト一覧（転載）'!"&amp;BI48&amp;":AK100")&lt;&gt;"休み"),
            1,0),0)+1,4),0),"")</f>
        <v>0</v>
      </c>
      <c r="BL48" s="20">
        <f t="array" aca="1" ref="BL48" ca="1">IFERROR(IF(BK48&lt;&gt;"",IF(BK48&lt;&gt;0,INDEX(
INDIRECT("'シフト一覧（転載）'!"&amp;BK48&amp;":AK100"),1,
MATCH(1,INDEX((LEN(INDIRECT("'シフト一覧（転載）'!"&amp;BK48&amp;":AK100"))&gt;0)
*(INDIRECT("'シフト一覧（転載）'!"&amp;BK48&amp;":AK100")&lt;&gt;"休み"),1,0),0)),0),""),$F$9&amp;"保育無し")</f>
        <v>0</v>
      </c>
      <c r="BM48" s="20">
        <f t="array" aca="1" ref="BM48" ca="1">IFERROR(IF(BK48&lt;&gt;0,ADDRESS(ROW(INDIRECT(BK48)),
    COLUMN(INDIRECT(BK48)) - 1 +
    MATCH(1,INDEX((LEN(INDIRECT("'シフト一覧（転載）'!"&amp;BK48&amp;":AK100"))&gt;0)
            *(INDIRECT("'シフト一覧（転載）'!"&amp;BK48&amp;":AK100")&lt;&gt;"休み"),
            1,0),0)+1,4),0),"")</f>
        <v>0</v>
      </c>
      <c r="BN48" s="20">
        <f t="array" aca="1" ref="BN48" ca="1">IFERROR(IF(BM48&lt;&gt;"",IF(BM48&lt;&gt;0,INDEX(
INDIRECT("'シフト一覧（転載）'!"&amp;BM48&amp;":AK100"),1,
MATCH(1,INDEX((LEN(INDIRECT("'シフト一覧（転載）'!"&amp;BM48&amp;":AK100"))&gt;0)
*(INDIRECT("'シフト一覧（転載）'!"&amp;BM48&amp;":AK100")&lt;&gt;"休み"),1,0),0)),0),""),$F$9&amp;"保育無し")</f>
        <v>0</v>
      </c>
      <c r="BO48" s="20">
        <f t="array" aca="1" ref="BO48" ca="1">IFERROR(IF(BM48&lt;&gt;0,ADDRESS(ROW(INDIRECT(BM48)),
    COLUMN(INDIRECT(BM48)) - 1 +
    MATCH(1,INDEX((LEN(INDIRECT("'シフト一覧（転載）'!"&amp;BM48&amp;":AK100"))&gt;0)
            *(INDIRECT("'シフト一覧（転載）'!"&amp;BM48&amp;":AK100")&lt;&gt;"休み"),
            1,0),0)+1,4),0),"")</f>
        <v>0</v>
      </c>
      <c r="BP48" s="20">
        <f t="array" aca="1" ref="BP48" ca="1">IFERROR(IF(BO48&lt;&gt;"",IF(BO48&lt;&gt;0,INDEX(
INDIRECT("'シフト一覧（転載）'!"&amp;BO48&amp;":AK100"),1,
MATCH(1,INDEX((LEN(INDIRECT("'シフト一覧（転載）'!"&amp;BO48&amp;":AK100"))&gt;0)
*(INDIRECT("'シフト一覧（転載）'!"&amp;BO48&amp;":AK100")&lt;&gt;"休み"),1,0),0)),0),""),$F$9&amp;"保育無し")</f>
        <v>0</v>
      </c>
      <c r="BQ48" s="20">
        <f t="array" aca="1" ref="BQ48" ca="1">IFERROR(IF(BO48&lt;&gt;0,ADDRESS(ROW(INDIRECT(BO48)),
    COLUMN(INDIRECT(BO48)) - 1 +
    MATCH(1,INDEX((LEN(INDIRECT("'シフト一覧（転載）'!"&amp;BO48&amp;":AK100"))&gt;0)
            *(INDIRECT("'シフト一覧（転載）'!"&amp;BO48&amp;":AK100")&lt;&gt;"休み"),
            1,0),0)+1,4),0),"")</f>
        <v>0</v>
      </c>
      <c r="BR48" s="20">
        <f t="array" aca="1" ref="BR48" ca="1">IFERROR(IF(BQ48&lt;&gt;"",IF(BQ48&lt;&gt;0,INDEX(
INDIRECT("'シフト一覧（転載）'!"&amp;BQ48&amp;":AK100"),1,
MATCH(1,INDEX((LEN(INDIRECT("'シフト一覧（転載）'!"&amp;BQ48&amp;":AK100"))&gt;0)
*(INDIRECT("'シフト一覧（転載）'!"&amp;BQ48&amp;":AK100")&lt;&gt;"休み"),1,0),0)),0),""),$F$9&amp;"保育無し")</f>
        <v>0</v>
      </c>
      <c r="BS48" s="20">
        <f t="array" aca="1" ref="BS48" ca="1">IFERROR(IF(BQ48&lt;&gt;0,ADDRESS(ROW(INDIRECT(BQ48)),
    COLUMN(INDIRECT(BQ48)) - 1 +
    MATCH(1,INDEX((LEN(INDIRECT("'シフト一覧（転載）'!"&amp;BQ48&amp;":AK100"))&gt;0)
            *(INDIRECT("'シフト一覧（転載）'!"&amp;BQ48&amp;":AK100")&lt;&gt;"休み"),
            1,0),0)+1,4),0),"")</f>
        <v>0</v>
      </c>
      <c r="BT48" s="20">
        <f t="array" aca="1" ref="BT48" ca="1">IFERROR(IF(BS48&lt;&gt;"",IF(BS48&lt;&gt;0,INDEX(
INDIRECT("'シフト一覧（転載）'!"&amp;BS48&amp;":AK100"),1,
MATCH(1,INDEX((LEN(INDIRECT("'シフト一覧（転載）'!"&amp;BS48&amp;":AK100"))&gt;0)
*(INDIRECT("'シフト一覧（転載）'!"&amp;BS48&amp;":AK100")&lt;&gt;"休み"),1,0),0)),0),""),$F$9&amp;"保育無し")</f>
        <v>0</v>
      </c>
      <c r="BU48" s="20">
        <f t="array" aca="1" ref="BU48" ca="1">IFERROR(IF(BS48&lt;&gt;0,ADDRESS(ROW(INDIRECT(BS48)),
    COLUMN(INDIRECT(BS48)) - 1 +
    MATCH(1,INDEX((LEN(INDIRECT("'シフト一覧（転載）'!"&amp;BS48&amp;":AK100"))&gt;0)
            *(INDIRECT("'シフト一覧（転載）'!"&amp;BS48&amp;":AK100")&lt;&gt;"休み"),
            1,0),0)+1,4),0),"")</f>
        <v>0</v>
      </c>
      <c r="BV48" s="20">
        <f t="array" aca="1" ref="BV48" ca="1">IFERROR(IF(BU48&lt;&gt;"",IF(BU48&lt;&gt;0,INDEX(
INDIRECT("'シフト一覧（転載）'!"&amp;BU48&amp;":AK100"),1,
MATCH(1,INDEX((LEN(INDIRECT("'シフト一覧（転載）'!"&amp;BU48&amp;":AK100"))&gt;0)
*(INDIRECT("'シフト一覧（転載）'!"&amp;BU48&amp;":AK100")&lt;&gt;"休み"),1,0),0)),0),""),$F$9&amp;"保育無し")</f>
        <v>0</v>
      </c>
      <c r="BW48" s="20">
        <f t="array" aca="1" ref="BW48" ca="1">IFERROR(IF(BU48&lt;&gt;0,ADDRESS(ROW(INDIRECT(BU48)),
    COLUMN(INDIRECT(BU48)) - 1 +
    MATCH(1,INDEX((LEN(INDIRECT("'シフト一覧（転載）'!"&amp;BU48&amp;":AK100"))&gt;0)
            *(INDIRECT("'シフト一覧（転載）'!"&amp;BU48&amp;":AK100")&lt;&gt;"休み"),
            1,0),0)+1,4),0),"")</f>
        <v>0</v>
      </c>
      <c r="BX48" s="20">
        <f t="array" aca="1" ref="BX48" ca="1">IFERROR(IF(BW48&lt;&gt;"",IF(BW48&lt;&gt;0,INDEX(
INDIRECT("'シフト一覧（転載）'!"&amp;BW48&amp;":AK100"),1,
MATCH(1,INDEX((LEN(INDIRECT("'シフト一覧（転載）'!"&amp;BW48&amp;":AK100"))&gt;0)
*(INDIRECT("'シフト一覧（転載）'!"&amp;BW48&amp;":AK100")&lt;&gt;"休み"),1,0),0)),0),""),$F$9&amp;"保育無し")</f>
        <v>0</v>
      </c>
      <c r="BY48" s="20">
        <f t="array" aca="1" ref="BY48" ca="1">IFERROR(IF(BW48&lt;&gt;0,ADDRESS(ROW(INDIRECT(BW48)),
    COLUMN(INDIRECT(BW48)) - 1 +
    MATCH(1,INDEX((LEN(INDIRECT("'シフト一覧（転載）'!"&amp;BW48&amp;":AK100"))&gt;0)
            *(INDIRECT("'シフト一覧（転載）'!"&amp;BW48&amp;":AK100")&lt;&gt;"休み"),
            1,0),0)+1,4),0),"")</f>
        <v>0</v>
      </c>
    </row>
    <row r="49" spans="13:77" ht="19.8" customHeight="1" x14ac:dyDescent="0.2">
      <c r="M49" s="104"/>
      <c r="N49" s="102"/>
      <c r="O49" s="107"/>
      <c r="P49" s="21">
        <f t="array" aca="1" ref="P49" ca="1">IFERROR(IF(M48&lt;&gt;"",INDEX('シフト一覧（転載）'!$F$8:$AK$100,
    MATCH(1,(ISNUMBER(SEARCH(M48,'シフト一覧（転載）'!$A$8:$A$100)))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MATCH(1,(ISNUMBER(SEARCH(M48,'シフト一覧（転載）'!$A$8:$A$100)))
                *(ISNUMBER(SEARCH($F$9,'シフト一覧（転載）'!$B$8:$B$100))),
                0),0),0)),0),"")</f>
        <v>0</v>
      </c>
      <c r="Q49" s="21">
        <f ca="1">IF(P48=0,0,
IF(OR(P48="",COUNTIF(P48,"*保育無し*")),"",
IF(MOD(P49-P48,1)*24&gt;=8,1,
IF(MOD(P49-P48,1)*24&gt;=6,0.75,0))))</f>
        <v>0</v>
      </c>
      <c r="R49" s="21">
        <f t="array" aca="1" ref="R49" ca="1">IFERROR(IF(Q48&lt;&gt;0,INDEX(
INDIRECT("'シフト一覧（転載）'!"&amp;Q48&amp;":AK100"),1+1,
MATCH(1,INDEX((LEN(INDIRECT("'シフト一覧（転載）'!"&amp;Q48&amp;":AK100"))&gt;0)
*(INDIRECT("'シフト一覧（転載）'!"&amp;Q48&amp;":AK100")&lt;&gt;"休み"),1,0),0)),0),"")</f>
        <v>0</v>
      </c>
      <c r="S49" s="21">
        <f ca="1">IF(R48=0,0,
IF(OR(R48="",COUNTIF(R48,"*保育無し*")),"",
IF(MOD(R49-R48,1)*24&gt;=8,1,
IF(MOD(R49-R48,1)*24&gt;=6,0.75,0))))</f>
        <v>0</v>
      </c>
      <c r="T49" s="21">
        <f t="array" aca="1" ref="T49" ca="1">IFERROR(IF(S48&lt;&gt;0,INDEX(
INDIRECT("'シフト一覧（転載）'!"&amp;S48&amp;":AK100"),1+1,
MATCH(1,INDEX((LEN(INDIRECT("'シフト一覧（転載）'!"&amp;S48&amp;":AK100"))&gt;0)
*(INDIRECT("'シフト一覧（転載）'!"&amp;S48&amp;":AK100")&lt;&gt;"休み"),1,0),0)),0),"")</f>
        <v>0</v>
      </c>
      <c r="U49" s="21">
        <f ca="1">IF(T48=0,0,
IF(OR(T48="",COUNTIF(T48,"*保育無し*")),"",
IF(MOD(T49-T48,1)*24&gt;=8,1,
IF(MOD(T49-T48,1)*24&gt;=6,0.75,0))))</f>
        <v>0</v>
      </c>
      <c r="V49" s="21">
        <f t="array" aca="1" ref="V49" ca="1">IFERROR(IF(U48&lt;&gt;0,INDEX(
INDIRECT("'シフト一覧（転載）'!"&amp;U48&amp;":AK100"),1+1,
MATCH(1,INDEX((LEN(INDIRECT("'シフト一覧（転載）'!"&amp;U48&amp;":AK100"))&gt;0)
*(INDIRECT("'シフト一覧（転載）'!"&amp;U48&amp;":AK100")&lt;&gt;"休み"),1,0),0)),0),"")</f>
        <v>0</v>
      </c>
      <c r="W49" s="21">
        <f ca="1">IF(V48=0,0,
IF(OR(V48="",COUNTIF(V48,"*保育無し*")),"",
IF(MOD(V49-V48,1)*24&gt;=8,1,
IF(MOD(V49-V48,1)*24&gt;=6,0.75,0))))</f>
        <v>0</v>
      </c>
      <c r="X49" s="21">
        <f t="array" aca="1" ref="X49" ca="1">IFERROR(IF(W48&lt;&gt;0,INDEX(
INDIRECT("'シフト一覧（転載）'!"&amp;W48&amp;":AK100"),1+1,
MATCH(1,INDEX((LEN(INDIRECT("'シフト一覧（転載）'!"&amp;W48&amp;":AK100"))&gt;0)
*(INDIRECT("'シフト一覧（転載）'!"&amp;W48&amp;":AK100")&lt;&gt;"休み"),1,0),0)),0),"")</f>
        <v>0</v>
      </c>
      <c r="Y49" s="21">
        <f ca="1">IF(X48=0,0,
IF(OR(X48="",COUNTIF(X48,"*保育無し*")),"",
IF(MOD(X49-X48,1)*24&gt;=8,1,
IF(MOD(X49-X48,1)*24&gt;=6,0.75,0))))</f>
        <v>0</v>
      </c>
      <c r="Z49" s="21">
        <f t="array" aca="1" ref="Z49" ca="1">IFERROR(IF(Y48&lt;&gt;0,INDEX(
INDIRECT("'シフト一覧（転載）'!"&amp;Y48&amp;":AK100"),1+1,
MATCH(1,INDEX((LEN(INDIRECT("'シフト一覧（転載）'!"&amp;Y48&amp;":AK100"))&gt;0)
*(INDIRECT("'シフト一覧（転載）'!"&amp;Y48&amp;":AK100")&lt;&gt;"休み"),1,0),0)),0),"")</f>
        <v>0</v>
      </c>
      <c r="AA49" s="21">
        <f ca="1">IF(Z48=0,0,
IF(OR(Z48="",COUNTIF(Z48,"*保育無し*")),"",
IF(MOD(Z49-Z48,1)*24&gt;=8,1,
IF(MOD(Z49-Z48,1)*24&gt;=6,0.75,0))))</f>
        <v>0</v>
      </c>
      <c r="AB49" s="21">
        <f t="array" aca="1" ref="AB49" ca="1">IFERROR(IF(AA48&lt;&gt;0,INDEX(
INDIRECT("'シフト一覧（転載）'!"&amp;AA48&amp;":AK100"),1+1,
MATCH(1,INDEX((LEN(INDIRECT("'シフト一覧（転載）'!"&amp;AA48&amp;":AK100"))&gt;0)
*(INDIRECT("'シフト一覧（転載）'!"&amp;AA48&amp;":AK100")&lt;&gt;"休み"),1,0),0)),0),"")</f>
        <v>0</v>
      </c>
      <c r="AC49" s="21">
        <f ca="1">IF(AB48=0,0,
IF(OR(AB48="",COUNTIF(AB48,"*保育無し*")),"",
IF(MOD(AB49-AB48,1)*24&gt;=8,1,
IF(MOD(AB49-AB48,1)*24&gt;=6,0.75,0))))</f>
        <v>0</v>
      </c>
      <c r="AD49" s="21">
        <f t="array" aca="1" ref="AD49" ca="1">IFERROR(IF(AC48&lt;&gt;0,INDEX(
INDIRECT("'シフト一覧（転載）'!"&amp;AC48&amp;":AK100"),1+1,
MATCH(1,INDEX((LEN(INDIRECT("'シフト一覧（転載）'!"&amp;AC48&amp;":AK100"))&gt;0)
*(INDIRECT("'シフト一覧（転載）'!"&amp;AC48&amp;":AK100")&lt;&gt;"休み"),1,0),0)),0),"")</f>
        <v>0</v>
      </c>
      <c r="AE49" s="21">
        <f ca="1">IF(AD48=0,0,
IF(OR(AD48="",COUNTIF(AD48,"*保育無し*")),"",
IF(MOD(AD49-AD48,1)*24&gt;=8,1,
IF(MOD(AD49-AD48,1)*24&gt;=6,0.75,0))))</f>
        <v>0</v>
      </c>
      <c r="AF49" s="21">
        <f t="array" aca="1" ref="AF49" ca="1">IFERROR(IF(AE48&lt;&gt;0,INDEX(
INDIRECT("'シフト一覧（転載）'!"&amp;AE48&amp;":AK100"),1+1,
MATCH(1,INDEX((LEN(INDIRECT("'シフト一覧（転載）'!"&amp;AE48&amp;":AK100"))&gt;0)
*(INDIRECT("'シフト一覧（転載）'!"&amp;AE48&amp;":AK100")&lt;&gt;"休み"),1,0),0)),0),"")</f>
        <v>0</v>
      </c>
      <c r="AG49" s="21">
        <f ca="1">IF(AF48=0,0,
IF(OR(AF48="",COUNTIF(AF48,"*保育無し*")),"",
IF(MOD(AF49-AF48,1)*24&gt;=8,1,
IF(MOD(AF49-AF48,1)*24&gt;=6,0.75,0))))</f>
        <v>0</v>
      </c>
      <c r="AH49" s="21">
        <f t="array" aca="1" ref="AH49" ca="1">IFERROR(IF(AG48&lt;&gt;0,INDEX(
INDIRECT("'シフト一覧（転載）'!"&amp;AG48&amp;":AK100"),1+1,
MATCH(1,INDEX((LEN(INDIRECT("'シフト一覧（転載）'!"&amp;AG48&amp;":AK100"))&gt;0)
*(INDIRECT("'シフト一覧（転載）'!"&amp;AG48&amp;":AK100")&lt;&gt;"休み"),1,0),0)),0),"")</f>
        <v>0</v>
      </c>
      <c r="AI49" s="21">
        <f ca="1">IF(AH48=0,0,
IF(OR(AH48="",COUNTIF(AH48,"*保育無し*")),"",
IF(MOD(AH49-AH48,1)*24&gt;=8,1,
IF(MOD(AH49-AH48,1)*24&gt;=6,0.75,0))))</f>
        <v>0</v>
      </c>
      <c r="AJ49" s="21">
        <f t="array" aca="1" ref="AJ49" ca="1">IFERROR(IF(AI48&lt;&gt;0,INDEX(
INDIRECT("'シフト一覧（転載）'!"&amp;AI48&amp;":AK100"),1+1,
MATCH(1,INDEX((LEN(INDIRECT("'シフト一覧（転載）'!"&amp;AI48&amp;":AK100"))&gt;0)
*(INDIRECT("'シフト一覧（転載）'!"&amp;AI48&amp;":AK100")&lt;&gt;"休み"),1,0),0)),0),"")</f>
        <v>0</v>
      </c>
      <c r="AK49" s="21">
        <f ca="1">IF(AJ48=0,0,
IF(OR(AJ48="",COUNTIF(AJ48,"*保育無し*")),"",
IF(MOD(AJ49-AJ48,1)*24&gt;=8,1,
IF(MOD(AJ49-AJ48,1)*24&gt;=6,0.75,0))))</f>
        <v>0</v>
      </c>
      <c r="AL49" s="21">
        <f t="array" aca="1" ref="AL49" ca="1">IFERROR(IF(AK48&lt;&gt;0,INDEX(
INDIRECT("'シフト一覧（転載）'!"&amp;AK48&amp;":AK100"),1+1,
MATCH(1,INDEX((LEN(INDIRECT("'シフト一覧（転載）'!"&amp;AK48&amp;":AK100"))&gt;0)
*(INDIRECT("'シフト一覧（転載）'!"&amp;AK48&amp;":AK100")&lt;&gt;"休み"),1,0),0)),0),"")</f>
        <v>0</v>
      </c>
      <c r="AM49" s="21">
        <f ca="1">IF(AL48=0,0,
IF(OR(AL48="",COUNTIF(AL48,"*保育無し*")),"",
IF(MOD(AL49-AL48,1)*24&gt;=8,1,
IF(MOD(AL49-AL48,1)*24&gt;=6,0.75,0))))</f>
        <v>0</v>
      </c>
      <c r="AN49" s="21">
        <f t="array" aca="1" ref="AN49" ca="1">IFERROR(IF(AM48&lt;&gt;0,INDEX(
INDIRECT("'シフト一覧（転載）'!"&amp;AM48&amp;":AK100"),1+1,
MATCH(1,INDEX((LEN(INDIRECT("'シフト一覧（転載）'!"&amp;AM48&amp;":AK100"))&gt;0)
*(INDIRECT("'シフト一覧（転載）'!"&amp;AM48&amp;":AK100")&lt;&gt;"休み"),1,0),0)),0),"")</f>
        <v>0</v>
      </c>
      <c r="AO49" s="21">
        <f ca="1">IF(AN48=0,0,
IF(OR(AN48="",COUNTIF(AN48,"*保育無し*")),"",
IF(MOD(AN49-AN48,1)*24&gt;=8,1,
IF(MOD(AN49-AN48,1)*24&gt;=6,0.75,0))))</f>
        <v>0</v>
      </c>
      <c r="AP49" s="21">
        <f t="array" aca="1" ref="AP49" ca="1">IFERROR(IF(AO48&lt;&gt;0,INDEX(
INDIRECT("'シフト一覧（転載）'!"&amp;AO48&amp;":AK100"),1+1,
MATCH(1,INDEX((LEN(INDIRECT("'シフト一覧（転載）'!"&amp;AO48&amp;":AK100"))&gt;0)
*(INDIRECT("'シフト一覧（転載）'!"&amp;AO48&amp;":AK100")&lt;&gt;"休み"),1,0),0)),0),"")</f>
        <v>0</v>
      </c>
      <c r="AQ49" s="21">
        <f ca="1">IF(AP48=0,0,
IF(OR(AP48="",COUNTIF(AP48,"*保育無し*")),"",
IF(MOD(AP49-AP48,1)*24&gt;=8,1,
IF(MOD(AP49-AP48,1)*24&gt;=6,0.75,0))))</f>
        <v>0</v>
      </c>
      <c r="AR49" s="21">
        <f t="array" aca="1" ref="AR49" ca="1">IFERROR(IF(AQ48&lt;&gt;0,INDEX(
INDIRECT("'シフト一覧（転載）'!"&amp;AQ48&amp;":AK100"),1+1,
MATCH(1,INDEX((LEN(INDIRECT("'シフト一覧（転載）'!"&amp;AQ48&amp;":AK100"))&gt;0)
*(INDIRECT("'シフト一覧（転載）'!"&amp;AQ48&amp;":AK100")&lt;&gt;"休み"),1,0),0)),0),"")</f>
        <v>0</v>
      </c>
      <c r="AS49" s="21">
        <f ca="1">IF(AR48=0,0,
IF(OR(AR48="",COUNTIF(AR48,"*保育無し*")),"",
IF(MOD(AR49-AR48,1)*24&gt;=8,1,
IF(MOD(AR49-AR48,1)*24&gt;=6,0.75,0))))</f>
        <v>0</v>
      </c>
      <c r="AT49" s="21">
        <f t="array" aca="1" ref="AT49" ca="1">IFERROR(IF(AS48&lt;&gt;0,INDEX(
INDIRECT("'シフト一覧（転載）'!"&amp;AS48&amp;":AK100"),1+1,
MATCH(1,INDEX((LEN(INDIRECT("'シフト一覧（転載）'!"&amp;AS48&amp;":AK100"))&gt;0)
*(INDIRECT("'シフト一覧（転載）'!"&amp;AS48&amp;":AK100")&lt;&gt;"休み"),1,0),0)),0),"")</f>
        <v>0</v>
      </c>
      <c r="AU49" s="21">
        <f ca="1">IF(AT48=0,0,
IF(OR(AT48="",COUNTIF(AT48,"*保育無し*")),"",
IF(MOD(AT49-AT48,1)*24&gt;=8,1,
IF(MOD(AT49-AT48,1)*24&gt;=6,0.75,0))))</f>
        <v>0</v>
      </c>
      <c r="AV49" s="21">
        <f t="array" aca="1" ref="AV49" ca="1">IFERROR(IF(AU48&lt;&gt;0,INDEX(
INDIRECT("'シフト一覧（転載）'!"&amp;AU48&amp;":AK100"),1+1,
MATCH(1,INDEX((LEN(INDIRECT("'シフト一覧（転載）'!"&amp;AU48&amp;":AK100"))&gt;0)
*(INDIRECT("'シフト一覧（転載）'!"&amp;AU48&amp;":AK100")&lt;&gt;"休み"),1,0),0)),0),"")</f>
        <v>0</v>
      </c>
      <c r="AW49" s="21">
        <f ca="1">IF(AV48=0,0,
IF(OR(AV48="",COUNTIF(AV48,"*保育無し*")),"",
IF(MOD(AV49-AV48,1)*24&gt;=8,1,
IF(MOD(AV49-AV48,1)*24&gt;=6,0.75,0))))</f>
        <v>0</v>
      </c>
      <c r="AX49" s="21">
        <f t="array" aca="1" ref="AX49" ca="1">IFERROR(IF(AW48&lt;&gt;0,INDEX(
INDIRECT("'シフト一覧（転載）'!"&amp;AW48&amp;":AK100"),1+1,
MATCH(1,INDEX((LEN(INDIRECT("'シフト一覧（転載）'!"&amp;AW48&amp;":AK100"))&gt;0)
*(INDIRECT("'シフト一覧（転載）'!"&amp;AW48&amp;":AK100")&lt;&gt;"休み"),1,0),0)),0),"")</f>
        <v>0</v>
      </c>
      <c r="AY49" s="21">
        <f ca="1">IF(AX48=0,0,
IF(OR(AX48="",COUNTIF(AX48,"*保育無し*")),"",
IF(MOD(AX49-AX48,1)*24&gt;=8,1,
IF(MOD(AX49-AX48,1)*24&gt;=6,0.75,0))))</f>
        <v>0</v>
      </c>
      <c r="AZ49" s="21">
        <f t="array" aca="1" ref="AZ49" ca="1">IFERROR(IF(AY48&lt;&gt;0,INDEX(
INDIRECT("'シフト一覧（転載）'!"&amp;AY48&amp;":AK100"),1+1,
MATCH(1,INDEX((LEN(INDIRECT("'シフト一覧（転載）'!"&amp;AY48&amp;":AK100"))&gt;0)
*(INDIRECT("'シフト一覧（転載）'!"&amp;AY48&amp;":AK100")&lt;&gt;"休み"),1,0),0)),0),"")</f>
        <v>0</v>
      </c>
      <c r="BA49" s="21">
        <f ca="1">IF(AZ48=0,0,
IF(OR(AZ48="",COUNTIF(AZ48,"*保育無し*")),"",
IF(MOD(AZ49-AZ48,1)*24&gt;=8,1,
IF(MOD(AZ49-AZ48,1)*24&gt;=6,0.75,0))))</f>
        <v>0</v>
      </c>
      <c r="BB49" s="21">
        <f t="array" aca="1" ref="BB49" ca="1">IFERROR(IF(BA48&lt;&gt;0,INDEX(
INDIRECT("'シフト一覧（転載）'!"&amp;BA48&amp;":AK100"),1+1,
MATCH(1,INDEX((LEN(INDIRECT("'シフト一覧（転載）'!"&amp;BA48&amp;":AK100"))&gt;0)
*(INDIRECT("'シフト一覧（転載）'!"&amp;BA48&amp;":AK100")&lt;&gt;"休み"),1,0),0)),0),"")</f>
        <v>0</v>
      </c>
      <c r="BC49" s="21">
        <f ca="1">IF(BB48=0,0,
IF(OR(BB48="",COUNTIF(BB48,"*保育無し*")),"",
IF(MOD(BB49-BB48,1)*24&gt;=8,1,
IF(MOD(BB49-BB48,1)*24&gt;=6,0.75,0))))</f>
        <v>0</v>
      </c>
      <c r="BD49" s="21">
        <f t="array" aca="1" ref="BD49" ca="1">IFERROR(IF(BC48&lt;&gt;0,INDEX(
INDIRECT("'シフト一覧（転載）'!"&amp;BC48&amp;":AK100"),1+1,
MATCH(1,INDEX((LEN(INDIRECT("'シフト一覧（転載）'!"&amp;BC48&amp;":AK100"))&gt;0)
*(INDIRECT("'シフト一覧（転載）'!"&amp;BC48&amp;":AK100")&lt;&gt;"休み"),1,0),0)),0),"")</f>
        <v>0</v>
      </c>
      <c r="BE49" s="21">
        <f ca="1">IF(BD48=0,0,
IF(OR(BD48="",COUNTIF(BD48,"*保育無し*")),"",
IF(MOD(BD49-BD48,1)*24&gt;=8,1,
IF(MOD(BD49-BD48,1)*24&gt;=6,0.75,0))))</f>
        <v>0</v>
      </c>
      <c r="BF49" s="21">
        <f t="array" aca="1" ref="BF49" ca="1">IFERROR(IF(BE48&lt;&gt;0,INDEX(
INDIRECT("'シフト一覧（転載）'!"&amp;BE48&amp;":AK100"),1+1,
MATCH(1,INDEX((LEN(INDIRECT("'シフト一覧（転載）'!"&amp;BE48&amp;":AK100"))&gt;0)
*(INDIRECT("'シフト一覧（転載）'!"&amp;BE48&amp;":AK100")&lt;&gt;"休み"),1,0),0)),0),"")</f>
        <v>0</v>
      </c>
      <c r="BG49" s="21">
        <f ca="1">IF(BF48=0,0,
IF(OR(BF48="",COUNTIF(BF48,"*保育無し*")),"",
IF(MOD(BF49-BF48,1)*24&gt;=8,1,
IF(MOD(BF49-BF48,1)*24&gt;=6,0.75,0))))</f>
        <v>0</v>
      </c>
      <c r="BH49" s="21">
        <f t="array" aca="1" ref="BH49" ca="1">IFERROR(IF(BG48&lt;&gt;0,INDEX(
INDIRECT("'シフト一覧（転載）'!"&amp;BG48&amp;":AK100"),1+1,
MATCH(1,INDEX((LEN(INDIRECT("'シフト一覧（転載）'!"&amp;BG48&amp;":AK100"))&gt;0)
*(INDIRECT("'シフト一覧（転載）'!"&amp;BG48&amp;":AK100")&lt;&gt;"休み"),1,0),0)),0),"")</f>
        <v>0</v>
      </c>
      <c r="BI49" s="21">
        <f ca="1">IF(BH48=0,0,
IF(OR(BH48="",COUNTIF(BH48,"*保育無し*")),"",
IF(MOD(BH49-BH48,1)*24&gt;=8,1,
IF(MOD(BH49-BH48,1)*24&gt;=6,0.75,0))))</f>
        <v>0</v>
      </c>
      <c r="BJ49" s="21">
        <f t="array" aca="1" ref="BJ49" ca="1">IFERROR(IF(BI48&lt;&gt;0,INDEX(
INDIRECT("'シフト一覧（転載）'!"&amp;BI48&amp;":AK100"),1+1,
MATCH(1,INDEX((LEN(INDIRECT("'シフト一覧（転載）'!"&amp;BI48&amp;":AK100"))&gt;0)
*(INDIRECT("'シフト一覧（転載）'!"&amp;BI48&amp;":AK100")&lt;&gt;"休み"),1,0),0)),0),"")</f>
        <v>0</v>
      </c>
      <c r="BK49" s="21">
        <f ca="1">IF(BJ48=0,0,
IF(OR(BJ48="",COUNTIF(BJ48,"*保育無し*")),"",
IF(MOD(BJ49-BJ48,1)*24&gt;=8,1,
IF(MOD(BJ49-BJ48,1)*24&gt;=6,0.75,0))))</f>
        <v>0</v>
      </c>
      <c r="BL49" s="21">
        <f t="array" aca="1" ref="BL49" ca="1">IFERROR(IF(BK48&lt;&gt;0,INDEX(
INDIRECT("'シフト一覧（転載）'!"&amp;BK48&amp;":AK100"),1+1,
MATCH(1,INDEX((LEN(INDIRECT("'シフト一覧（転載）'!"&amp;BK48&amp;":AK100"))&gt;0)
*(INDIRECT("'シフト一覧（転載）'!"&amp;BK48&amp;":AK100")&lt;&gt;"休み"),1,0),0)),0),"")</f>
        <v>0</v>
      </c>
      <c r="BM49" s="21">
        <f ca="1">IF(BL48=0,0,
IF(OR(BL48="",COUNTIF(BL48,"*保育無し*")),"",
IF(MOD(BL49-BL48,1)*24&gt;=8,1,
IF(MOD(BL49-BL48,1)*24&gt;=6,0.75,0))))</f>
        <v>0</v>
      </c>
      <c r="BN49" s="21">
        <f t="array" aca="1" ref="BN49" ca="1">IFERROR(IF(BM48&lt;&gt;0,INDEX(
INDIRECT("'シフト一覧（転載）'!"&amp;BM48&amp;":AK100"),1+1,
MATCH(1,INDEX((LEN(INDIRECT("'シフト一覧（転載）'!"&amp;BM48&amp;":AK100"))&gt;0)
*(INDIRECT("'シフト一覧（転載）'!"&amp;BM48&amp;":AK100")&lt;&gt;"休み"),1,0),0)),0),"")</f>
        <v>0</v>
      </c>
      <c r="BO49" s="21">
        <f ca="1">IF(BN48=0,0,
IF(OR(BN48="",COUNTIF(BN48,"*保育無し*")),"",
IF(MOD(BN49-BN48,1)*24&gt;=8,1,
IF(MOD(BN49-BN48,1)*24&gt;=6,0.75,0))))</f>
        <v>0</v>
      </c>
      <c r="BP49" s="21">
        <f t="array" aca="1" ref="BP49" ca="1">IFERROR(IF(BO48&lt;&gt;0,INDEX(
INDIRECT("'シフト一覧（転載）'!"&amp;BO48&amp;":AK100"),1+1,
MATCH(1,INDEX((LEN(INDIRECT("'シフト一覧（転載）'!"&amp;BO48&amp;":AK100"))&gt;0)
*(INDIRECT("'シフト一覧（転載）'!"&amp;BO48&amp;":AK100")&lt;&gt;"休み"),1,0),0)),0),"")</f>
        <v>0</v>
      </c>
      <c r="BQ49" s="21">
        <f ca="1">IF(BP48=0,0,
IF(OR(BP48="",COUNTIF(BP48,"*保育無し*")),"",
IF(MOD(BP49-BP48,1)*24&gt;=8,1,
IF(MOD(BP49-BP48,1)*24&gt;=6,0.75,0))))</f>
        <v>0</v>
      </c>
      <c r="BR49" s="21">
        <f t="array" aca="1" ref="BR49" ca="1">IFERROR(IF(BQ48&lt;&gt;0,INDEX(
INDIRECT("'シフト一覧（転載）'!"&amp;BQ48&amp;":AK100"),1+1,
MATCH(1,INDEX((LEN(INDIRECT("'シフト一覧（転載）'!"&amp;BQ48&amp;":AK100"))&gt;0)
*(INDIRECT("'シフト一覧（転載）'!"&amp;BQ48&amp;":AK100")&lt;&gt;"休み"),1,0),0)),0),"")</f>
        <v>0</v>
      </c>
      <c r="BS49" s="21">
        <f ca="1">IF(BR48=0,0,
IF(OR(BR48="",COUNTIF(BR48,"*保育無し*")),"",
IF(MOD(BR49-BR48,1)*24&gt;=8,1,
IF(MOD(BR49-BR48,1)*24&gt;=6,0.75,0))))</f>
        <v>0</v>
      </c>
      <c r="BT49" s="21">
        <f t="array" aca="1" ref="BT49" ca="1">IFERROR(IF(BS48&lt;&gt;0,INDEX(
INDIRECT("'シフト一覧（転載）'!"&amp;BS48&amp;":AK100"),1+1,
MATCH(1,INDEX((LEN(INDIRECT("'シフト一覧（転載）'!"&amp;BS48&amp;":AK100"))&gt;0)
*(INDIRECT("'シフト一覧（転載）'!"&amp;BS48&amp;":AK100")&lt;&gt;"休み"),1,0),0)),0),"")</f>
        <v>0</v>
      </c>
      <c r="BU49" s="21">
        <f ca="1">IF(BT48=0,0,
IF(OR(BT48="",COUNTIF(BT48,"*保育無し*")),"",
IF(MOD(BT49-BT48,1)*24&gt;=8,1,
IF(MOD(BT49-BT48,1)*24&gt;=6,0.75,0))))</f>
        <v>0</v>
      </c>
      <c r="BV49" s="21">
        <f t="array" aca="1" ref="BV49" ca="1">IFERROR(IF(BU48&lt;&gt;0,INDEX(
INDIRECT("'シフト一覧（転載）'!"&amp;BU48&amp;":AK100"),1+1,
MATCH(1,INDEX((LEN(INDIRECT("'シフト一覧（転載）'!"&amp;BU48&amp;":AK100"))&gt;0)
*(INDIRECT("'シフト一覧（転載）'!"&amp;BU48&amp;":AK100")&lt;&gt;"休み"),1,0),0)),0),"")</f>
        <v>0</v>
      </c>
      <c r="BW49" s="21">
        <f ca="1">IF(BV48=0,0,
IF(OR(BV48="",COUNTIF(BV48,"*保育無し*")),"",
IF(MOD(BV49-BV48,1)*24&gt;=8,1,
IF(MOD(BV49-BV48,1)*24&gt;=6,0.75,0))))</f>
        <v>0</v>
      </c>
      <c r="BX49" s="21">
        <f t="array" aca="1" ref="BX49" ca="1">IFERROR(IF(BW48&lt;&gt;0,INDEX(
INDIRECT("'シフト一覧（転載）'!"&amp;BW48&amp;":AK100"),1+1,
MATCH(1,INDEX((LEN(INDIRECT("'シフト一覧（転載）'!"&amp;BW48&amp;":AK100"))&gt;0)
*(INDIRECT("'シフト一覧（転載）'!"&amp;BW48&amp;":AK100")&lt;&gt;"休み"),1,0),0)),0),"")</f>
        <v>0</v>
      </c>
      <c r="BY49" s="21">
        <f ca="1">IF(BX48=0,0,
IF(OR(BX48="",COUNTIF(BX48,"*保育無し*")),"",
IF(MOD(BX49-BX48,1)*24&gt;=8,1,
IF(MOD(BX49-BX48,1)*24&gt;=6,0.75,0))))</f>
        <v>0</v>
      </c>
    </row>
    <row r="50" spans="13:77" ht="19.8" customHeight="1" x14ac:dyDescent="0.2">
      <c r="M50" s="103" t="str" cm="1">
        <f t="array" aca="1" ref="M5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0" s="101" t="str">
        <f t="shared" ref="N50" ca="1" si="24">IF(M50&lt;&gt;"",VLOOKUP(M50,$B$12:$C$41,2,FALSE),"")</f>
        <v/>
      </c>
      <c r="O50" s="106" cm="1">
        <f t="array" aca="1" ref="O50" ca="1">IF(COUNTIF(P50,"*保育無*"),0,
SUM(IF(
MOD(COLUMN(INDIRECT("P"&amp; ROW() &amp; ":" &amp; ADDRESS(ROW(), IFERROR(MATCH("*保育無し*", INDIRECT("P"&amp; ROW() &amp; ":BY" &amp; ROW()), 0) + COLUMN(P50) - 2, COLUMN(BX50) + 1), 4))) - COLUMN(P50), 2) = 0,
MOD(INDIRECT("P"&amp; ROW()+1 &amp; ":" &amp; ADDRESS(ROW()+1, IFERROR(MATCH("*保育無し*", INDIRECT("P"&amp; ROW() &amp; ":BY" &amp; ROW()), 0) + COLUMN(P50) - 2, COLUMN(BX50) + 1), 4)) - INDIRECT("P"&amp; ROW() &amp; ":" &amp; ADDRESS(ROW(), IFERROR(MATCH("*保育無し*", INDIRECT("P"&amp; ROW() &amp; ":BY" &amp; ROW()), 0) + COLUMN(P50) - 2, COLUMN(BX50) + 1), 4)),1),0))*24
-SUM(_xlfn._xlws.FILTER(P51:BX51, MOD(COLUMN(P51:BX51) - COLUMN(P51), 2) = 1)))</f>
        <v>0</v>
      </c>
      <c r="P50" s="20">
        <f t="array" aca="1" ref="P50" ca="1">IFERROR(IF(M50&lt;&gt;"",INDEX('シフト一覧（転載）'!$F$8:$AK$100,
    MATCH(1,(ISNUMBER(SEARCH(M50,'シフト一覧（転載）'!$A$8:$A$100)))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MATCH(1,(ISNUMBER(SEARCH(M50,'シフト一覧（転載）'!$A$8:$A$100)))
                *(ISNUMBER(SEARCH($F$9,'シフト一覧（転載）'!$B$8:$B$100))),
                0),0),0)),0),$F$9&amp;"保育無し")</f>
        <v>0</v>
      </c>
      <c r="Q50" s="20">
        <f t="array" aca="1" ref="Q50" ca="1">IFERROR(IF(COUNTIF(P50,"*無*"),"",IF(M50&lt;&gt;"",ADDRESS(
    MATCH(1,(ISNUMBER(SEARCH(M50,'シフト一覧（転載）'!$A$8:$A$100)))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MATCH(1,(ISNUMBER(SEARCH(M50,'シフト一覧（転載）'!$A$8:$A$100)))
                *(ISNUMBER(SEARCH($F$9,'シフト一覧（転載）'!$B$8:$B$100))),0),0),0) + 6,4),0)),0)</f>
        <v>0</v>
      </c>
      <c r="R50" s="20">
        <f t="array" aca="1" ref="R50" ca="1">IFERROR(IF(Q50&lt;&gt;"",IF(Q50&lt;&gt;0,INDEX(
INDIRECT("'シフト一覧（転載）'!"&amp;Q50&amp;":AK100"),1,
MATCH(1,INDEX((LEN(INDIRECT("'シフト一覧（転載）'!"&amp;Q50&amp;":AK100"))&gt;0)
*(INDIRECT("'シフト一覧（転載）'!"&amp;Q50&amp;":AK100")&lt;&gt;"休み"),1,0),0)),0),""),$F$9&amp;"保育無し")</f>
        <v>0</v>
      </c>
      <c r="S50" s="20">
        <f t="array" aca="1" ref="S50" ca="1">IFERROR(IF(Q50&lt;&gt;0,ADDRESS(ROW(INDIRECT(Q50)),
    COLUMN(INDIRECT(Q50)) - 1 +
    MATCH(1,INDEX((LEN(INDIRECT("'シフト一覧（転載）'!"&amp;Q50&amp;":AK100"))&gt;0)
            *(INDIRECT("'シフト一覧（転載）'!"&amp;Q50&amp;":AK100")&lt;&gt;"休み"),
            1,0),0)+1,4),0),"")</f>
        <v>0</v>
      </c>
      <c r="T50" s="20">
        <f t="array" aca="1" ref="T50" ca="1">IFERROR(IF(S50&lt;&gt;"",IF(S50&lt;&gt;0,INDEX(
INDIRECT("'シフト一覧（転載）'!"&amp;S50&amp;":AK100"),1,
MATCH(1,INDEX((LEN(INDIRECT("'シフト一覧（転載）'!"&amp;S50&amp;":AK100"))&gt;0)
*(INDIRECT("'シフト一覧（転載）'!"&amp;S50&amp;":AK100")&lt;&gt;"休み"),1,0),0)),0),""),$F$9&amp;"保育無し")</f>
        <v>0</v>
      </c>
      <c r="U50" s="20">
        <f t="array" aca="1" ref="U50" ca="1">IFERROR(IF(S50&lt;&gt;0,ADDRESS(ROW(INDIRECT(S50)),
    COLUMN(INDIRECT(S50)) - 1 +
    MATCH(1,INDEX((LEN(INDIRECT("'シフト一覧（転載）'!"&amp;S50&amp;":AK100"))&gt;0)
            *(INDIRECT("'シフト一覧（転載）'!"&amp;S50&amp;":AK100")&lt;&gt;"休み"),
            1,0),0)+1,4),0),"")</f>
        <v>0</v>
      </c>
      <c r="V50" s="20">
        <f t="array" aca="1" ref="V50" ca="1">IFERROR(IF(U50&lt;&gt;"",IF(U50&lt;&gt;0,INDEX(
INDIRECT("'シフト一覧（転載）'!"&amp;U50&amp;":AK100"),1,
MATCH(1,INDEX((LEN(INDIRECT("'シフト一覧（転載）'!"&amp;U50&amp;":AK100"))&gt;0)
*(INDIRECT("'シフト一覧（転載）'!"&amp;U50&amp;":AK100")&lt;&gt;"休み"),1,0),0)),0),""),$F$9&amp;"保育無し")</f>
        <v>0</v>
      </c>
      <c r="W50" s="20">
        <f t="array" aca="1" ref="W50" ca="1">IFERROR(IF(U50&lt;&gt;0,ADDRESS(ROW(INDIRECT(U50)),
    COLUMN(INDIRECT(U50)) - 1 +
    MATCH(1,INDEX((LEN(INDIRECT("'シフト一覧（転載）'!"&amp;U50&amp;":AK100"))&gt;0)
            *(INDIRECT("'シフト一覧（転載）'!"&amp;U50&amp;":AK100")&lt;&gt;"休み"),
            1,0),0)+1,4),0),"")</f>
        <v>0</v>
      </c>
      <c r="X50" s="20">
        <f t="array" aca="1" ref="X50" ca="1">IFERROR(IF(W50&lt;&gt;"",IF(W50&lt;&gt;0,INDEX(
INDIRECT("'シフト一覧（転載）'!"&amp;W50&amp;":AK100"),1,
MATCH(1,INDEX((LEN(INDIRECT("'シフト一覧（転載）'!"&amp;W50&amp;":AK100"))&gt;0)
*(INDIRECT("'シフト一覧（転載）'!"&amp;W50&amp;":AK100")&lt;&gt;"休み"),1,0),0)),0),""),$F$9&amp;"保育無し")</f>
        <v>0</v>
      </c>
      <c r="Y50" s="20">
        <f t="array" aca="1" ref="Y50" ca="1">IFERROR(IF(W50&lt;&gt;0,ADDRESS(ROW(INDIRECT(W50)),
    COLUMN(INDIRECT(W50)) - 1 +
    MATCH(1,INDEX((LEN(INDIRECT("'シフト一覧（転載）'!"&amp;W50&amp;":AK100"))&gt;0)
            *(INDIRECT("'シフト一覧（転載）'!"&amp;W50&amp;":AK100")&lt;&gt;"休み"),
            1,0),0)+1,4),0),"")</f>
        <v>0</v>
      </c>
      <c r="Z50" s="20">
        <f t="array" aca="1" ref="Z50" ca="1">IFERROR(IF(Y50&lt;&gt;"",IF(Y50&lt;&gt;0,INDEX(
INDIRECT("'シフト一覧（転載）'!"&amp;Y50&amp;":AK100"),1,
MATCH(1,INDEX((LEN(INDIRECT("'シフト一覧（転載）'!"&amp;Y50&amp;":AK100"))&gt;0)
*(INDIRECT("'シフト一覧（転載）'!"&amp;Y50&amp;":AK100")&lt;&gt;"休み"),1,0),0)),0),""),$F$9&amp;"保育無し")</f>
        <v>0</v>
      </c>
      <c r="AA50" s="20">
        <f t="array" aca="1" ref="AA50" ca="1">IFERROR(IF(Y50&lt;&gt;0,ADDRESS(ROW(INDIRECT(Y50)),
    COLUMN(INDIRECT(Y50)) - 1 +
    MATCH(1,INDEX((LEN(INDIRECT("'シフト一覧（転載）'!"&amp;Y50&amp;":AK100"))&gt;0)
            *(INDIRECT("'シフト一覧（転載）'!"&amp;Y50&amp;":AK100")&lt;&gt;"休み"),
            1,0),0)+1,4),0),"")</f>
        <v>0</v>
      </c>
      <c r="AB50" s="20">
        <f t="array" aca="1" ref="AB50" ca="1">IFERROR(IF(AA50&lt;&gt;"",IF(AA50&lt;&gt;0,INDEX(
INDIRECT("'シフト一覧（転載）'!"&amp;AA50&amp;":AK100"),1,
MATCH(1,INDEX((LEN(INDIRECT("'シフト一覧（転載）'!"&amp;AA50&amp;":AK100"))&gt;0)
*(INDIRECT("'シフト一覧（転載）'!"&amp;AA50&amp;":AK100")&lt;&gt;"休み"),1,0),0)),0),""),$F$9&amp;"保育無し")</f>
        <v>0</v>
      </c>
      <c r="AC50" s="20">
        <f t="array" aca="1" ref="AC50" ca="1">IFERROR(IF(AA50&lt;&gt;0,ADDRESS(ROW(INDIRECT(AA50)),
    COLUMN(INDIRECT(AA50)) - 1 +
    MATCH(1,INDEX((LEN(INDIRECT("'シフト一覧（転載）'!"&amp;AA50&amp;":AK100"))&gt;0)
            *(INDIRECT("'シフト一覧（転載）'!"&amp;AA50&amp;":AK100")&lt;&gt;"休み"),
            1,0),0)+1,4),0),"")</f>
        <v>0</v>
      </c>
      <c r="AD50" s="20">
        <f t="array" aca="1" ref="AD50" ca="1">IFERROR(IF(AC50&lt;&gt;"",IF(AC50&lt;&gt;0,INDEX(
INDIRECT("'シフト一覧（転載）'!"&amp;AC50&amp;":AK100"),1,
MATCH(1,INDEX((LEN(INDIRECT("'シフト一覧（転載）'!"&amp;AC50&amp;":AK100"))&gt;0)
*(INDIRECT("'シフト一覧（転載）'!"&amp;AC50&amp;":AK100")&lt;&gt;"休み"),1,0),0)),0),""),$F$9&amp;"保育無し")</f>
        <v>0</v>
      </c>
      <c r="AE50" s="20">
        <f t="array" aca="1" ref="AE50" ca="1">IFERROR(IF(AC50&lt;&gt;0,ADDRESS(ROW(INDIRECT(AC50)),
    COLUMN(INDIRECT(AC50)) - 1 +
    MATCH(1,INDEX((LEN(INDIRECT("'シフト一覧（転載）'!"&amp;AC50&amp;":AK100"))&gt;0)
            *(INDIRECT("'シフト一覧（転載）'!"&amp;AC50&amp;":AK100")&lt;&gt;"休み"),
            1,0),0)+1,4),0),"")</f>
        <v>0</v>
      </c>
      <c r="AF50" s="20">
        <f t="array" aca="1" ref="AF50" ca="1">IFERROR(IF(AE50&lt;&gt;"",IF(AE50&lt;&gt;0,INDEX(
INDIRECT("'シフト一覧（転載）'!"&amp;AE50&amp;":AK100"),1,
MATCH(1,INDEX((LEN(INDIRECT("'シフト一覧（転載）'!"&amp;AE50&amp;":AK100"))&gt;0)
*(INDIRECT("'シフト一覧（転載）'!"&amp;AE50&amp;":AK100")&lt;&gt;"休み"),1,0),0)),0),""),$F$9&amp;"保育無し")</f>
        <v>0</v>
      </c>
      <c r="AG50" s="20">
        <f t="array" aca="1" ref="AG50" ca="1">IFERROR(IF(AE50&lt;&gt;0,ADDRESS(ROW(INDIRECT(AE50)),
    COLUMN(INDIRECT(AE50)) - 1 +
    MATCH(1,INDEX((LEN(INDIRECT("'シフト一覧（転載）'!"&amp;AE50&amp;":AK100"))&gt;0)
            *(INDIRECT("'シフト一覧（転載）'!"&amp;AE50&amp;":AK100")&lt;&gt;"休み"),
            1,0),0)+1,4),0),"")</f>
        <v>0</v>
      </c>
      <c r="AH50" s="20">
        <f t="array" aca="1" ref="AH50" ca="1">IFERROR(IF(AG50&lt;&gt;"",IF(AG50&lt;&gt;0,INDEX(
INDIRECT("'シフト一覧（転載）'!"&amp;AG50&amp;":AK100"),1,
MATCH(1,INDEX((LEN(INDIRECT("'シフト一覧（転載）'!"&amp;AG50&amp;":AK100"))&gt;0)
*(INDIRECT("'シフト一覧（転載）'!"&amp;AG50&amp;":AK100")&lt;&gt;"休み"),1,0),0)),0),""),$F$9&amp;"保育無し")</f>
        <v>0</v>
      </c>
      <c r="AI50" s="20">
        <f t="array" aca="1" ref="AI50" ca="1">IFERROR(IF(AG50&lt;&gt;0,ADDRESS(ROW(INDIRECT(AG50)),
    COLUMN(INDIRECT(AG50)) - 1 +
    MATCH(1,INDEX((LEN(INDIRECT("'シフト一覧（転載）'!"&amp;AG50&amp;":AK100"))&gt;0)
            *(INDIRECT("'シフト一覧（転載）'!"&amp;AG50&amp;":AK100")&lt;&gt;"休み"),
            1,0),0)+1,4),0),"")</f>
        <v>0</v>
      </c>
      <c r="AJ50" s="20">
        <f t="array" aca="1" ref="AJ50" ca="1">IFERROR(IF(AI50&lt;&gt;"",IF(AI50&lt;&gt;0,INDEX(
INDIRECT("'シフト一覧（転載）'!"&amp;AI50&amp;":AK100"),1,
MATCH(1,INDEX((LEN(INDIRECT("'シフト一覧（転載）'!"&amp;AI50&amp;":AK100"))&gt;0)
*(INDIRECT("'シフト一覧（転載）'!"&amp;AI50&amp;":AK100")&lt;&gt;"休み"),1,0),0)),0),""),$F$9&amp;"保育無し")</f>
        <v>0</v>
      </c>
      <c r="AK50" s="20">
        <f t="array" aca="1" ref="AK50" ca="1">IFERROR(IF(AI50&lt;&gt;0,ADDRESS(ROW(INDIRECT(AI50)),
    COLUMN(INDIRECT(AI50)) - 1 +
    MATCH(1,INDEX((LEN(INDIRECT("'シフト一覧（転載）'!"&amp;AI50&amp;":AK100"))&gt;0)
            *(INDIRECT("'シフト一覧（転載）'!"&amp;AI50&amp;":AK100")&lt;&gt;"休み"),
            1,0),0)+1,4),0),"")</f>
        <v>0</v>
      </c>
      <c r="AL50" s="20">
        <f t="array" aca="1" ref="AL50" ca="1">IFERROR(IF(AK50&lt;&gt;"",IF(AK50&lt;&gt;0,INDEX(
INDIRECT("'シフト一覧（転載）'!"&amp;AK50&amp;":AK100"),1,
MATCH(1,INDEX((LEN(INDIRECT("'シフト一覧（転載）'!"&amp;AK50&amp;":AK100"))&gt;0)
*(INDIRECT("'シフト一覧（転載）'!"&amp;AK50&amp;":AK100")&lt;&gt;"休み"),1,0),0)),0),""),$F$9&amp;"保育無し")</f>
        <v>0</v>
      </c>
      <c r="AM50" s="20">
        <f t="array" aca="1" ref="AM50" ca="1">IFERROR(IF(AK50&lt;&gt;0,ADDRESS(ROW(INDIRECT(AK50)),
    COLUMN(INDIRECT(AK50)) - 1 +
    MATCH(1,INDEX((LEN(INDIRECT("'シフト一覧（転載）'!"&amp;AK50&amp;":AK100"))&gt;0)
            *(INDIRECT("'シフト一覧（転載）'!"&amp;AK50&amp;":AK100")&lt;&gt;"休み"),
            1,0),0)+1,4),0),"")</f>
        <v>0</v>
      </c>
      <c r="AN50" s="20">
        <f t="array" aca="1" ref="AN50" ca="1">IFERROR(IF(AM50&lt;&gt;"",IF(AM50&lt;&gt;0,INDEX(
INDIRECT("'シフト一覧（転載）'!"&amp;AM50&amp;":AK100"),1,
MATCH(1,INDEX((LEN(INDIRECT("'シフト一覧（転載）'!"&amp;AM50&amp;":AK100"))&gt;0)
*(INDIRECT("'シフト一覧（転載）'!"&amp;AM50&amp;":AK100")&lt;&gt;"休み"),1,0),0)),0),""),$F$9&amp;"保育無し")</f>
        <v>0</v>
      </c>
      <c r="AO50" s="20">
        <f t="array" aca="1" ref="AO50" ca="1">IFERROR(IF(AM50&lt;&gt;0,ADDRESS(ROW(INDIRECT(AM50)),
    COLUMN(INDIRECT(AM50)) - 1 +
    MATCH(1,INDEX((LEN(INDIRECT("'シフト一覧（転載）'!"&amp;AM50&amp;":AK100"))&gt;0)
            *(INDIRECT("'シフト一覧（転載）'!"&amp;AM50&amp;":AK100")&lt;&gt;"休み"),
            1,0),0)+1,4),0),"")</f>
        <v>0</v>
      </c>
      <c r="AP50" s="20">
        <f t="array" aca="1" ref="AP50" ca="1">IFERROR(IF(AO50&lt;&gt;"",IF(AO50&lt;&gt;0,INDEX(
INDIRECT("'シフト一覧（転載）'!"&amp;AO50&amp;":AK100"),1,
MATCH(1,INDEX((LEN(INDIRECT("'シフト一覧（転載）'!"&amp;AO50&amp;":AK100"))&gt;0)
*(INDIRECT("'シフト一覧（転載）'!"&amp;AO50&amp;":AK100")&lt;&gt;"休み"),1,0),0)),0),""),$F$9&amp;"保育無し")</f>
        <v>0</v>
      </c>
      <c r="AQ50" s="20">
        <f t="array" aca="1" ref="AQ50" ca="1">IFERROR(IF(AO50&lt;&gt;0,ADDRESS(ROW(INDIRECT(AO50)),
    COLUMN(INDIRECT(AO50)) - 1 +
    MATCH(1,INDEX((LEN(INDIRECT("'シフト一覧（転載）'!"&amp;AO50&amp;":AK100"))&gt;0)
            *(INDIRECT("'シフト一覧（転載）'!"&amp;AO50&amp;":AK100")&lt;&gt;"休み"),
            1,0),0)+1,4),0),"")</f>
        <v>0</v>
      </c>
      <c r="AR50" s="20">
        <f t="array" aca="1" ref="AR50" ca="1">IFERROR(IF(AQ50&lt;&gt;"",IF(AQ50&lt;&gt;0,INDEX(
INDIRECT("'シフト一覧（転載）'!"&amp;AQ50&amp;":AK100"),1,
MATCH(1,INDEX((LEN(INDIRECT("'シフト一覧（転載）'!"&amp;AQ50&amp;":AK100"))&gt;0)
*(INDIRECT("'シフト一覧（転載）'!"&amp;AQ50&amp;":AK100")&lt;&gt;"休み"),1,0),0)),0),""),$F$9&amp;"保育無し")</f>
        <v>0</v>
      </c>
      <c r="AS50" s="20">
        <f t="array" aca="1" ref="AS50" ca="1">IFERROR(IF(AQ50&lt;&gt;0,ADDRESS(ROW(INDIRECT(AQ50)),
    COLUMN(INDIRECT(AQ50)) - 1 +
    MATCH(1,INDEX((LEN(INDIRECT("'シフト一覧（転載）'!"&amp;AQ50&amp;":AK100"))&gt;0)
            *(INDIRECT("'シフト一覧（転載）'!"&amp;AQ50&amp;":AK100")&lt;&gt;"休み"),
            1,0),0)+1,4),0),"")</f>
        <v>0</v>
      </c>
      <c r="AT50" s="20">
        <f t="array" aca="1" ref="AT50" ca="1">IFERROR(IF(AS50&lt;&gt;"",IF(AS50&lt;&gt;0,INDEX(
INDIRECT("'シフト一覧（転載）'!"&amp;AS50&amp;":AK100"),1,
MATCH(1,INDEX((LEN(INDIRECT("'シフト一覧（転載）'!"&amp;AS50&amp;":AK100"))&gt;0)
*(INDIRECT("'シフト一覧（転載）'!"&amp;AS50&amp;":AK100")&lt;&gt;"休み"),1,0),0)),0),""),$F$9&amp;"保育無し")</f>
        <v>0</v>
      </c>
      <c r="AU50" s="20">
        <f t="array" aca="1" ref="AU50" ca="1">IFERROR(IF(AS50&lt;&gt;0,ADDRESS(ROW(INDIRECT(AS50)),
    COLUMN(INDIRECT(AS50)) - 1 +
    MATCH(1,INDEX((LEN(INDIRECT("'シフト一覧（転載）'!"&amp;AS50&amp;":AK100"))&gt;0)
            *(INDIRECT("'シフト一覧（転載）'!"&amp;AS50&amp;":AK100")&lt;&gt;"休み"),
            1,0),0)+1,4),0),"")</f>
        <v>0</v>
      </c>
      <c r="AV50" s="20">
        <f t="array" aca="1" ref="AV50" ca="1">IFERROR(IF(AU50&lt;&gt;"",IF(AU50&lt;&gt;0,INDEX(
INDIRECT("'シフト一覧（転載）'!"&amp;AU50&amp;":AK100"),1,
MATCH(1,INDEX((LEN(INDIRECT("'シフト一覧（転載）'!"&amp;AU50&amp;":AK100"))&gt;0)
*(INDIRECT("'シフト一覧（転載）'!"&amp;AU50&amp;":AK100")&lt;&gt;"休み"),1,0),0)),0),""),$F$9&amp;"保育無し")</f>
        <v>0</v>
      </c>
      <c r="AW50" s="20">
        <f t="array" aca="1" ref="AW50" ca="1">IFERROR(IF(AU50&lt;&gt;0,ADDRESS(ROW(INDIRECT(AU50)),
    COLUMN(INDIRECT(AU50)) - 1 +
    MATCH(1,INDEX((LEN(INDIRECT("'シフト一覧（転載）'!"&amp;AU50&amp;":AK100"))&gt;0)
            *(INDIRECT("'シフト一覧（転載）'!"&amp;AU50&amp;":AK100")&lt;&gt;"休み"),
            1,0),0)+1,4),0),"")</f>
        <v>0</v>
      </c>
      <c r="AX50" s="20">
        <f t="array" aca="1" ref="AX50" ca="1">IFERROR(IF(AW50&lt;&gt;"",IF(AW50&lt;&gt;0,INDEX(
INDIRECT("'シフト一覧（転載）'!"&amp;AW50&amp;":AK100"),1,
MATCH(1,INDEX((LEN(INDIRECT("'シフト一覧（転載）'!"&amp;AW50&amp;":AK100"))&gt;0)
*(INDIRECT("'シフト一覧（転載）'!"&amp;AW50&amp;":AK100")&lt;&gt;"休み"),1,0),0)),0),""),$F$9&amp;"保育無し")</f>
        <v>0</v>
      </c>
      <c r="AY50" s="20">
        <f t="array" aca="1" ref="AY50" ca="1">IFERROR(IF(AW50&lt;&gt;0,ADDRESS(ROW(INDIRECT(AW50)),
    COLUMN(INDIRECT(AW50)) - 1 +
    MATCH(1,INDEX((LEN(INDIRECT("'シフト一覧（転載）'!"&amp;AW50&amp;":AK100"))&gt;0)
            *(INDIRECT("'シフト一覧（転載）'!"&amp;AW50&amp;":AK100")&lt;&gt;"休み"),
            1,0),0)+1,4),0),"")</f>
        <v>0</v>
      </c>
      <c r="AZ50" s="20">
        <f t="array" aca="1" ref="AZ50" ca="1">IFERROR(IF(AY50&lt;&gt;"",IF(AY50&lt;&gt;0,INDEX(
INDIRECT("'シフト一覧（転載）'!"&amp;AY50&amp;":AK100"),1,
MATCH(1,INDEX((LEN(INDIRECT("'シフト一覧（転載）'!"&amp;AY50&amp;":AK100"))&gt;0)
*(INDIRECT("'シフト一覧（転載）'!"&amp;AY50&amp;":AK100")&lt;&gt;"休み"),1,0),0)),0),""),$F$9&amp;"保育無し")</f>
        <v>0</v>
      </c>
      <c r="BA50" s="20">
        <f t="array" aca="1" ref="BA50" ca="1">IFERROR(IF(AY50&lt;&gt;0,ADDRESS(ROW(INDIRECT(AY50)),
    COLUMN(INDIRECT(AY50)) - 1 +
    MATCH(1,INDEX((LEN(INDIRECT("'シフト一覧（転載）'!"&amp;AY50&amp;":AK100"))&gt;0)
            *(INDIRECT("'シフト一覧（転載）'!"&amp;AY50&amp;":AK100")&lt;&gt;"休み"),
            1,0),0)+1,4),0),"")</f>
        <v>0</v>
      </c>
      <c r="BB50" s="20">
        <f t="array" aca="1" ref="BB50" ca="1">IFERROR(IF(BA50&lt;&gt;"",IF(BA50&lt;&gt;0,INDEX(
INDIRECT("'シフト一覧（転載）'!"&amp;BA50&amp;":AK100"),1,
MATCH(1,INDEX((LEN(INDIRECT("'シフト一覧（転載）'!"&amp;BA50&amp;":AK100"))&gt;0)
*(INDIRECT("'シフト一覧（転載）'!"&amp;BA50&amp;":AK100")&lt;&gt;"休み"),1,0),0)),0),""),$F$9&amp;"保育無し")</f>
        <v>0</v>
      </c>
      <c r="BC50" s="20">
        <f t="array" aca="1" ref="BC50" ca="1">IFERROR(IF(BA50&lt;&gt;0,ADDRESS(ROW(INDIRECT(BA50)),
    COLUMN(INDIRECT(BA50)) - 1 +
    MATCH(1,INDEX((LEN(INDIRECT("'シフト一覧（転載）'!"&amp;BA50&amp;":AK100"))&gt;0)
            *(INDIRECT("'シフト一覧（転載）'!"&amp;BA50&amp;":AK100")&lt;&gt;"休み"),
            1,0),0)+1,4),0),"")</f>
        <v>0</v>
      </c>
      <c r="BD50" s="20">
        <f t="array" aca="1" ref="BD50" ca="1">IFERROR(IF(BC50&lt;&gt;"",IF(BC50&lt;&gt;0,INDEX(
INDIRECT("'シフト一覧（転載）'!"&amp;BC50&amp;":AK100"),1,
MATCH(1,INDEX((LEN(INDIRECT("'シフト一覧（転載）'!"&amp;BC50&amp;":AK100"))&gt;0)
*(INDIRECT("'シフト一覧（転載）'!"&amp;BC50&amp;":AK100")&lt;&gt;"休み"),1,0),0)),0),""),$F$9&amp;"保育無し")</f>
        <v>0</v>
      </c>
      <c r="BE50" s="20">
        <f t="array" aca="1" ref="BE50" ca="1">IFERROR(IF(BC50&lt;&gt;0,ADDRESS(ROW(INDIRECT(BC50)),
    COLUMN(INDIRECT(BC50)) - 1 +
    MATCH(1,INDEX((LEN(INDIRECT("'シフト一覧（転載）'!"&amp;BC50&amp;":AK100"))&gt;0)
            *(INDIRECT("'シフト一覧（転載）'!"&amp;BC50&amp;":AK100")&lt;&gt;"休み"),
            1,0),0)+1,4),0),"")</f>
        <v>0</v>
      </c>
      <c r="BF50" s="20">
        <f t="array" aca="1" ref="BF50" ca="1">IFERROR(IF(BE50&lt;&gt;"",IF(BE50&lt;&gt;0,INDEX(
INDIRECT("'シフト一覧（転載）'!"&amp;BE50&amp;":AK100"),1,
MATCH(1,INDEX((LEN(INDIRECT("'シフト一覧（転載）'!"&amp;BE50&amp;":AK100"))&gt;0)
*(INDIRECT("'シフト一覧（転載）'!"&amp;BE50&amp;":AK100")&lt;&gt;"休み"),1,0),0)),0),""),$F$9&amp;"保育無し")</f>
        <v>0</v>
      </c>
      <c r="BG50" s="20">
        <f t="array" aca="1" ref="BG50" ca="1">IFERROR(IF(BE50&lt;&gt;0,ADDRESS(ROW(INDIRECT(BE50)),
    COLUMN(INDIRECT(BE50)) - 1 +
    MATCH(1,INDEX((LEN(INDIRECT("'シフト一覧（転載）'!"&amp;BE50&amp;":AK100"))&gt;0)
            *(INDIRECT("'シフト一覧（転載）'!"&amp;BE50&amp;":AK100")&lt;&gt;"休み"),
            1,0),0)+1,4),0),"")</f>
        <v>0</v>
      </c>
      <c r="BH50" s="20">
        <f t="array" aca="1" ref="BH50" ca="1">IFERROR(IF(BG50&lt;&gt;"",IF(BG50&lt;&gt;0,INDEX(
INDIRECT("'シフト一覧（転載）'!"&amp;BG50&amp;":AK100"),1,
MATCH(1,INDEX((LEN(INDIRECT("'シフト一覧（転載）'!"&amp;BG50&amp;":AK100"))&gt;0)
*(INDIRECT("'シフト一覧（転載）'!"&amp;BG50&amp;":AK100")&lt;&gt;"休み"),1,0),0)),0),""),$F$9&amp;"保育無し")</f>
        <v>0</v>
      </c>
      <c r="BI50" s="20">
        <f t="array" aca="1" ref="BI50" ca="1">IFERROR(IF(BG50&lt;&gt;0,ADDRESS(ROW(INDIRECT(BG50)),
    COLUMN(INDIRECT(BG50)) - 1 +
    MATCH(1,INDEX((LEN(INDIRECT("'シフト一覧（転載）'!"&amp;BG50&amp;":AK100"))&gt;0)
            *(INDIRECT("'シフト一覧（転載）'!"&amp;BG50&amp;":AK100")&lt;&gt;"休み"),
            1,0),0)+1,4),0),"")</f>
        <v>0</v>
      </c>
      <c r="BJ50" s="20">
        <f t="array" aca="1" ref="BJ50" ca="1">IFERROR(IF(BI50&lt;&gt;"",IF(BI50&lt;&gt;0,INDEX(
INDIRECT("'シフト一覧（転載）'!"&amp;BI50&amp;":AK100"),1,
MATCH(1,INDEX((LEN(INDIRECT("'シフト一覧（転載）'!"&amp;BI50&amp;":AK100"))&gt;0)
*(INDIRECT("'シフト一覧（転載）'!"&amp;BI50&amp;":AK100")&lt;&gt;"休み"),1,0),0)),0),""),$F$9&amp;"保育無し")</f>
        <v>0</v>
      </c>
      <c r="BK50" s="20">
        <f t="array" aca="1" ref="BK50" ca="1">IFERROR(IF(BI50&lt;&gt;0,ADDRESS(ROW(INDIRECT(BI50)),
    COLUMN(INDIRECT(BI50)) - 1 +
    MATCH(1,INDEX((LEN(INDIRECT("'シフト一覧（転載）'!"&amp;BI50&amp;":AK100"))&gt;0)
            *(INDIRECT("'シフト一覧（転載）'!"&amp;BI50&amp;":AK100")&lt;&gt;"休み"),
            1,0),0)+1,4),0),"")</f>
        <v>0</v>
      </c>
      <c r="BL50" s="20">
        <f t="array" aca="1" ref="BL50" ca="1">IFERROR(IF(BK50&lt;&gt;"",IF(BK50&lt;&gt;0,INDEX(
INDIRECT("'シフト一覧（転載）'!"&amp;BK50&amp;":AK100"),1,
MATCH(1,INDEX((LEN(INDIRECT("'シフト一覧（転載）'!"&amp;BK50&amp;":AK100"))&gt;0)
*(INDIRECT("'シフト一覧（転載）'!"&amp;BK50&amp;":AK100")&lt;&gt;"休み"),1,0),0)),0),""),$F$9&amp;"保育無し")</f>
        <v>0</v>
      </c>
      <c r="BM50" s="20">
        <f t="array" aca="1" ref="BM50" ca="1">IFERROR(IF(BK50&lt;&gt;0,ADDRESS(ROW(INDIRECT(BK50)),
    COLUMN(INDIRECT(BK50)) - 1 +
    MATCH(1,INDEX((LEN(INDIRECT("'シフト一覧（転載）'!"&amp;BK50&amp;":AK100"))&gt;0)
            *(INDIRECT("'シフト一覧（転載）'!"&amp;BK50&amp;":AK100")&lt;&gt;"休み"),
            1,0),0)+1,4),0),"")</f>
        <v>0</v>
      </c>
      <c r="BN50" s="20">
        <f t="array" aca="1" ref="BN50" ca="1">IFERROR(IF(BM50&lt;&gt;"",IF(BM50&lt;&gt;0,INDEX(
INDIRECT("'シフト一覧（転載）'!"&amp;BM50&amp;":AK100"),1,
MATCH(1,INDEX((LEN(INDIRECT("'シフト一覧（転載）'!"&amp;BM50&amp;":AK100"))&gt;0)
*(INDIRECT("'シフト一覧（転載）'!"&amp;BM50&amp;":AK100")&lt;&gt;"休み"),1,0),0)),0),""),$F$9&amp;"保育無し")</f>
        <v>0</v>
      </c>
      <c r="BO50" s="20">
        <f t="array" aca="1" ref="BO50" ca="1">IFERROR(IF(BM50&lt;&gt;0,ADDRESS(ROW(INDIRECT(BM50)),
    COLUMN(INDIRECT(BM50)) - 1 +
    MATCH(1,INDEX((LEN(INDIRECT("'シフト一覧（転載）'!"&amp;BM50&amp;":AK100"))&gt;0)
            *(INDIRECT("'シフト一覧（転載）'!"&amp;BM50&amp;":AK100")&lt;&gt;"休み"),
            1,0),0)+1,4),0),"")</f>
        <v>0</v>
      </c>
      <c r="BP50" s="20">
        <f t="array" aca="1" ref="BP50" ca="1">IFERROR(IF(BO50&lt;&gt;"",IF(BO50&lt;&gt;0,INDEX(
INDIRECT("'シフト一覧（転載）'!"&amp;BO50&amp;":AK100"),1,
MATCH(1,INDEX((LEN(INDIRECT("'シフト一覧（転載）'!"&amp;BO50&amp;":AK100"))&gt;0)
*(INDIRECT("'シフト一覧（転載）'!"&amp;BO50&amp;":AK100")&lt;&gt;"休み"),1,0),0)),0),""),$F$9&amp;"保育無し")</f>
        <v>0</v>
      </c>
      <c r="BQ50" s="20">
        <f t="array" aca="1" ref="BQ50" ca="1">IFERROR(IF(BO50&lt;&gt;0,ADDRESS(ROW(INDIRECT(BO50)),
    COLUMN(INDIRECT(BO50)) - 1 +
    MATCH(1,INDEX((LEN(INDIRECT("'シフト一覧（転載）'!"&amp;BO50&amp;":AK100"))&gt;0)
            *(INDIRECT("'シフト一覧（転載）'!"&amp;BO50&amp;":AK100")&lt;&gt;"休み"),
            1,0),0)+1,4),0),"")</f>
        <v>0</v>
      </c>
      <c r="BR50" s="20">
        <f t="array" aca="1" ref="BR50" ca="1">IFERROR(IF(BQ50&lt;&gt;"",IF(BQ50&lt;&gt;0,INDEX(
INDIRECT("'シフト一覧（転載）'!"&amp;BQ50&amp;":AK100"),1,
MATCH(1,INDEX((LEN(INDIRECT("'シフト一覧（転載）'!"&amp;BQ50&amp;":AK100"))&gt;0)
*(INDIRECT("'シフト一覧（転載）'!"&amp;BQ50&amp;":AK100")&lt;&gt;"休み"),1,0),0)),0),""),$F$9&amp;"保育無し")</f>
        <v>0</v>
      </c>
      <c r="BS50" s="20">
        <f t="array" aca="1" ref="BS50" ca="1">IFERROR(IF(BQ50&lt;&gt;0,ADDRESS(ROW(INDIRECT(BQ50)),
    COLUMN(INDIRECT(BQ50)) - 1 +
    MATCH(1,INDEX((LEN(INDIRECT("'シフト一覧（転載）'!"&amp;BQ50&amp;":AK100"))&gt;0)
            *(INDIRECT("'シフト一覧（転載）'!"&amp;BQ50&amp;":AK100")&lt;&gt;"休み"),
            1,0),0)+1,4),0),"")</f>
        <v>0</v>
      </c>
      <c r="BT50" s="20">
        <f t="array" aca="1" ref="BT50" ca="1">IFERROR(IF(BS50&lt;&gt;"",IF(BS50&lt;&gt;0,INDEX(
INDIRECT("'シフト一覧（転載）'!"&amp;BS50&amp;":AK100"),1,
MATCH(1,INDEX((LEN(INDIRECT("'シフト一覧（転載）'!"&amp;BS50&amp;":AK100"))&gt;0)
*(INDIRECT("'シフト一覧（転載）'!"&amp;BS50&amp;":AK100")&lt;&gt;"休み"),1,0),0)),0),""),$F$9&amp;"保育無し")</f>
        <v>0</v>
      </c>
      <c r="BU50" s="20">
        <f t="array" aca="1" ref="BU50" ca="1">IFERROR(IF(BS50&lt;&gt;0,ADDRESS(ROW(INDIRECT(BS50)),
    COLUMN(INDIRECT(BS50)) - 1 +
    MATCH(1,INDEX((LEN(INDIRECT("'シフト一覧（転載）'!"&amp;BS50&amp;":AK100"))&gt;0)
            *(INDIRECT("'シフト一覧（転載）'!"&amp;BS50&amp;":AK100")&lt;&gt;"休み"),
            1,0),0)+1,4),0),"")</f>
        <v>0</v>
      </c>
      <c r="BV50" s="20">
        <f t="array" aca="1" ref="BV50" ca="1">IFERROR(IF(BU50&lt;&gt;"",IF(BU50&lt;&gt;0,INDEX(
INDIRECT("'シフト一覧（転載）'!"&amp;BU50&amp;":AK100"),1,
MATCH(1,INDEX((LEN(INDIRECT("'シフト一覧（転載）'!"&amp;BU50&amp;":AK100"))&gt;0)
*(INDIRECT("'シフト一覧（転載）'!"&amp;BU50&amp;":AK100")&lt;&gt;"休み"),1,0),0)),0),""),$F$9&amp;"保育無し")</f>
        <v>0</v>
      </c>
      <c r="BW50" s="20">
        <f t="array" aca="1" ref="BW50" ca="1">IFERROR(IF(BU50&lt;&gt;0,ADDRESS(ROW(INDIRECT(BU50)),
    COLUMN(INDIRECT(BU50)) - 1 +
    MATCH(1,INDEX((LEN(INDIRECT("'シフト一覧（転載）'!"&amp;BU50&amp;":AK100"))&gt;0)
            *(INDIRECT("'シフト一覧（転載）'!"&amp;BU50&amp;":AK100")&lt;&gt;"休み"),
            1,0),0)+1,4),0),"")</f>
        <v>0</v>
      </c>
      <c r="BX50" s="20">
        <f t="array" aca="1" ref="BX50" ca="1">IFERROR(IF(BW50&lt;&gt;"",IF(BW50&lt;&gt;0,INDEX(
INDIRECT("'シフト一覧（転載）'!"&amp;BW50&amp;":AK100"),1,
MATCH(1,INDEX((LEN(INDIRECT("'シフト一覧（転載）'!"&amp;BW50&amp;":AK100"))&gt;0)
*(INDIRECT("'シフト一覧（転載）'!"&amp;BW50&amp;":AK100")&lt;&gt;"休み"),1,0),0)),0),""),$F$9&amp;"保育無し")</f>
        <v>0</v>
      </c>
      <c r="BY50" s="20">
        <f t="array" aca="1" ref="BY50" ca="1">IFERROR(IF(BW50&lt;&gt;0,ADDRESS(ROW(INDIRECT(BW50)),
    COLUMN(INDIRECT(BW50)) - 1 +
    MATCH(1,INDEX((LEN(INDIRECT("'シフト一覧（転載）'!"&amp;BW50&amp;":AK100"))&gt;0)
            *(INDIRECT("'シフト一覧（転載）'!"&amp;BW50&amp;":AK100")&lt;&gt;"休み"),
            1,0),0)+1,4),0),"")</f>
        <v>0</v>
      </c>
    </row>
    <row r="51" spans="13:77" ht="19.8" customHeight="1" x14ac:dyDescent="0.2">
      <c r="M51" s="104"/>
      <c r="N51" s="102"/>
      <c r="O51" s="107"/>
      <c r="P51" s="21">
        <f t="array" aca="1" ref="P51" ca="1">IFERROR(IF(M50&lt;&gt;"",INDEX('シフト一覧（転載）'!$F$8:$AK$100,
    MATCH(1,(ISNUMBER(SEARCH(M50,'シフト一覧（転載）'!$A$8:$A$100)))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MATCH(1,(ISNUMBER(SEARCH(M50,'シフト一覧（転載）'!$A$8:$A$100)))
                *(ISNUMBER(SEARCH($F$9,'シフト一覧（転載）'!$B$8:$B$100))),
                0),0),0)),0),"")</f>
        <v>0</v>
      </c>
      <c r="Q51" s="21">
        <f ca="1">IF(P50=0,0,
IF(OR(P50="",COUNTIF(P50,"*保育無し*")),"",
IF(MOD(P51-P50,1)*24&gt;=8,1,
IF(MOD(P51-P50,1)*24&gt;=6,0.75,0))))</f>
        <v>0</v>
      </c>
      <c r="R51" s="21">
        <f t="array" aca="1" ref="R51" ca="1">IFERROR(IF(Q50&lt;&gt;0,INDEX(
INDIRECT("'シフト一覧（転載）'!"&amp;Q50&amp;":AK100"),1+1,
MATCH(1,INDEX((LEN(INDIRECT("'シフト一覧（転載）'!"&amp;Q50&amp;":AK100"))&gt;0)
*(INDIRECT("'シフト一覧（転載）'!"&amp;Q50&amp;":AK100")&lt;&gt;"休み"),1,0),0)),0),"")</f>
        <v>0</v>
      </c>
      <c r="S51" s="21">
        <f ca="1">IF(R50=0,0,
IF(OR(R50="",COUNTIF(R50,"*保育無し*")),"",
IF(MOD(R51-R50,1)*24&gt;=8,1,
IF(MOD(R51-R50,1)*24&gt;=6,0.75,0))))</f>
        <v>0</v>
      </c>
      <c r="T51" s="21">
        <f t="array" aca="1" ref="T51" ca="1">IFERROR(IF(S50&lt;&gt;0,INDEX(
INDIRECT("'シフト一覧（転載）'!"&amp;S50&amp;":AK100"),1+1,
MATCH(1,INDEX((LEN(INDIRECT("'シフト一覧（転載）'!"&amp;S50&amp;":AK100"))&gt;0)
*(INDIRECT("'シフト一覧（転載）'!"&amp;S50&amp;":AK100")&lt;&gt;"休み"),1,0),0)),0),"")</f>
        <v>0</v>
      </c>
      <c r="U51" s="21">
        <f ca="1">IF(T50=0,0,
IF(OR(T50="",COUNTIF(T50,"*保育無し*")),"",
IF(MOD(T51-T50,1)*24&gt;=8,1,
IF(MOD(T51-T50,1)*24&gt;=6,0.75,0))))</f>
        <v>0</v>
      </c>
      <c r="V51" s="21">
        <f t="array" aca="1" ref="V51" ca="1">IFERROR(IF(U50&lt;&gt;0,INDEX(
INDIRECT("'シフト一覧（転載）'!"&amp;U50&amp;":AK100"),1+1,
MATCH(1,INDEX((LEN(INDIRECT("'シフト一覧（転載）'!"&amp;U50&amp;":AK100"))&gt;0)
*(INDIRECT("'シフト一覧（転載）'!"&amp;U50&amp;":AK100")&lt;&gt;"休み"),1,0),0)),0),"")</f>
        <v>0</v>
      </c>
      <c r="W51" s="21">
        <f ca="1">IF(V50=0,0,
IF(OR(V50="",COUNTIF(V50,"*保育無し*")),"",
IF(MOD(V51-V50,1)*24&gt;=8,1,
IF(MOD(V51-V50,1)*24&gt;=6,0.75,0))))</f>
        <v>0</v>
      </c>
      <c r="X51" s="21">
        <f t="array" aca="1" ref="X51" ca="1">IFERROR(IF(W50&lt;&gt;0,INDEX(
INDIRECT("'シフト一覧（転載）'!"&amp;W50&amp;":AK100"),1+1,
MATCH(1,INDEX((LEN(INDIRECT("'シフト一覧（転載）'!"&amp;W50&amp;":AK100"))&gt;0)
*(INDIRECT("'シフト一覧（転載）'!"&amp;W50&amp;":AK100")&lt;&gt;"休み"),1,0),0)),0),"")</f>
        <v>0</v>
      </c>
      <c r="Y51" s="21">
        <f ca="1">IF(X50=0,0,
IF(OR(X50="",COUNTIF(X50,"*保育無し*")),"",
IF(MOD(X51-X50,1)*24&gt;=8,1,
IF(MOD(X51-X50,1)*24&gt;=6,0.75,0))))</f>
        <v>0</v>
      </c>
      <c r="Z51" s="21">
        <f t="array" aca="1" ref="Z51" ca="1">IFERROR(IF(Y50&lt;&gt;0,INDEX(
INDIRECT("'シフト一覧（転載）'!"&amp;Y50&amp;":AK100"),1+1,
MATCH(1,INDEX((LEN(INDIRECT("'シフト一覧（転載）'!"&amp;Y50&amp;":AK100"))&gt;0)
*(INDIRECT("'シフト一覧（転載）'!"&amp;Y50&amp;":AK100")&lt;&gt;"休み"),1,0),0)),0),"")</f>
        <v>0</v>
      </c>
      <c r="AA51" s="21">
        <f ca="1">IF(Z50=0,0,
IF(OR(Z50="",COUNTIF(Z50,"*保育無し*")),"",
IF(MOD(Z51-Z50,1)*24&gt;=8,1,
IF(MOD(Z51-Z50,1)*24&gt;=6,0.75,0))))</f>
        <v>0</v>
      </c>
      <c r="AB51" s="21">
        <f t="array" aca="1" ref="AB51" ca="1">IFERROR(IF(AA50&lt;&gt;0,INDEX(
INDIRECT("'シフト一覧（転載）'!"&amp;AA50&amp;":AK100"),1+1,
MATCH(1,INDEX((LEN(INDIRECT("'シフト一覧（転載）'!"&amp;AA50&amp;":AK100"))&gt;0)
*(INDIRECT("'シフト一覧（転載）'!"&amp;AA50&amp;":AK100")&lt;&gt;"休み"),1,0),0)),0),"")</f>
        <v>0</v>
      </c>
      <c r="AC51" s="21">
        <f ca="1">IF(AB50=0,0,
IF(OR(AB50="",COUNTIF(AB50,"*保育無し*")),"",
IF(MOD(AB51-AB50,1)*24&gt;=8,1,
IF(MOD(AB51-AB50,1)*24&gt;=6,0.75,0))))</f>
        <v>0</v>
      </c>
      <c r="AD51" s="21">
        <f t="array" aca="1" ref="AD51" ca="1">IFERROR(IF(AC50&lt;&gt;0,INDEX(
INDIRECT("'シフト一覧（転載）'!"&amp;AC50&amp;":AK100"),1+1,
MATCH(1,INDEX((LEN(INDIRECT("'シフト一覧（転載）'!"&amp;AC50&amp;":AK100"))&gt;0)
*(INDIRECT("'シフト一覧（転載）'!"&amp;AC50&amp;":AK100")&lt;&gt;"休み"),1,0),0)),0),"")</f>
        <v>0</v>
      </c>
      <c r="AE51" s="21">
        <f ca="1">IF(AD50=0,0,
IF(OR(AD50="",COUNTIF(AD50,"*保育無し*")),"",
IF(MOD(AD51-AD50,1)*24&gt;=8,1,
IF(MOD(AD51-AD50,1)*24&gt;=6,0.75,0))))</f>
        <v>0</v>
      </c>
      <c r="AF51" s="21">
        <f t="array" aca="1" ref="AF51" ca="1">IFERROR(IF(AE50&lt;&gt;0,INDEX(
INDIRECT("'シフト一覧（転載）'!"&amp;AE50&amp;":AK100"),1+1,
MATCH(1,INDEX((LEN(INDIRECT("'シフト一覧（転載）'!"&amp;AE50&amp;":AK100"))&gt;0)
*(INDIRECT("'シフト一覧（転載）'!"&amp;AE50&amp;":AK100")&lt;&gt;"休み"),1,0),0)),0),"")</f>
        <v>0</v>
      </c>
      <c r="AG51" s="21">
        <f ca="1">IF(AF50=0,0,
IF(OR(AF50="",COUNTIF(AF50,"*保育無し*")),"",
IF(MOD(AF51-AF50,1)*24&gt;=8,1,
IF(MOD(AF51-AF50,1)*24&gt;=6,0.75,0))))</f>
        <v>0</v>
      </c>
      <c r="AH51" s="21">
        <f t="array" aca="1" ref="AH51" ca="1">IFERROR(IF(AG50&lt;&gt;0,INDEX(
INDIRECT("'シフト一覧（転載）'!"&amp;AG50&amp;":AK100"),1+1,
MATCH(1,INDEX((LEN(INDIRECT("'シフト一覧（転載）'!"&amp;AG50&amp;":AK100"))&gt;0)
*(INDIRECT("'シフト一覧（転載）'!"&amp;AG50&amp;":AK100")&lt;&gt;"休み"),1,0),0)),0),"")</f>
        <v>0</v>
      </c>
      <c r="AI51" s="21">
        <f ca="1">IF(AH50=0,0,
IF(OR(AH50="",COUNTIF(AH50,"*保育無し*")),"",
IF(MOD(AH51-AH50,1)*24&gt;=8,1,
IF(MOD(AH51-AH50,1)*24&gt;=6,0.75,0))))</f>
        <v>0</v>
      </c>
      <c r="AJ51" s="21">
        <f t="array" aca="1" ref="AJ51" ca="1">IFERROR(IF(AI50&lt;&gt;0,INDEX(
INDIRECT("'シフト一覧（転載）'!"&amp;AI50&amp;":AK100"),1+1,
MATCH(1,INDEX((LEN(INDIRECT("'シフト一覧（転載）'!"&amp;AI50&amp;":AK100"))&gt;0)
*(INDIRECT("'シフト一覧（転載）'!"&amp;AI50&amp;":AK100")&lt;&gt;"休み"),1,0),0)),0),"")</f>
        <v>0</v>
      </c>
      <c r="AK51" s="21">
        <f ca="1">IF(AJ50=0,0,
IF(OR(AJ50="",COUNTIF(AJ50,"*保育無し*")),"",
IF(MOD(AJ51-AJ50,1)*24&gt;=8,1,
IF(MOD(AJ51-AJ50,1)*24&gt;=6,0.75,0))))</f>
        <v>0</v>
      </c>
      <c r="AL51" s="21">
        <f t="array" aca="1" ref="AL51" ca="1">IFERROR(IF(AK50&lt;&gt;0,INDEX(
INDIRECT("'シフト一覧（転載）'!"&amp;AK50&amp;":AK100"),1+1,
MATCH(1,INDEX((LEN(INDIRECT("'シフト一覧（転載）'!"&amp;AK50&amp;":AK100"))&gt;0)
*(INDIRECT("'シフト一覧（転載）'!"&amp;AK50&amp;":AK100")&lt;&gt;"休み"),1,0),0)),0),"")</f>
        <v>0</v>
      </c>
      <c r="AM51" s="21">
        <f ca="1">IF(AL50=0,0,
IF(OR(AL50="",COUNTIF(AL50,"*保育無し*")),"",
IF(MOD(AL51-AL50,1)*24&gt;=8,1,
IF(MOD(AL51-AL50,1)*24&gt;=6,0.75,0))))</f>
        <v>0</v>
      </c>
      <c r="AN51" s="21">
        <f t="array" aca="1" ref="AN51" ca="1">IFERROR(IF(AM50&lt;&gt;0,INDEX(
INDIRECT("'シフト一覧（転載）'!"&amp;AM50&amp;":AK100"),1+1,
MATCH(1,INDEX((LEN(INDIRECT("'シフト一覧（転載）'!"&amp;AM50&amp;":AK100"))&gt;0)
*(INDIRECT("'シフト一覧（転載）'!"&amp;AM50&amp;":AK100")&lt;&gt;"休み"),1,0),0)),0),"")</f>
        <v>0</v>
      </c>
      <c r="AO51" s="21">
        <f ca="1">IF(AN50=0,0,
IF(OR(AN50="",COUNTIF(AN50,"*保育無し*")),"",
IF(MOD(AN51-AN50,1)*24&gt;=8,1,
IF(MOD(AN51-AN50,1)*24&gt;=6,0.75,0))))</f>
        <v>0</v>
      </c>
      <c r="AP51" s="21">
        <f t="array" aca="1" ref="AP51" ca="1">IFERROR(IF(AO50&lt;&gt;0,INDEX(
INDIRECT("'シフト一覧（転載）'!"&amp;AO50&amp;":AK100"),1+1,
MATCH(1,INDEX((LEN(INDIRECT("'シフト一覧（転載）'!"&amp;AO50&amp;":AK100"))&gt;0)
*(INDIRECT("'シフト一覧（転載）'!"&amp;AO50&amp;":AK100")&lt;&gt;"休み"),1,0),0)),0),"")</f>
        <v>0</v>
      </c>
      <c r="AQ51" s="21">
        <f ca="1">IF(AP50=0,0,
IF(OR(AP50="",COUNTIF(AP50,"*保育無し*")),"",
IF(MOD(AP51-AP50,1)*24&gt;=8,1,
IF(MOD(AP51-AP50,1)*24&gt;=6,0.75,0))))</f>
        <v>0</v>
      </c>
      <c r="AR51" s="21">
        <f t="array" aca="1" ref="AR51" ca="1">IFERROR(IF(AQ50&lt;&gt;0,INDEX(
INDIRECT("'シフト一覧（転載）'!"&amp;AQ50&amp;":AK100"),1+1,
MATCH(1,INDEX((LEN(INDIRECT("'シフト一覧（転載）'!"&amp;AQ50&amp;":AK100"))&gt;0)
*(INDIRECT("'シフト一覧（転載）'!"&amp;AQ50&amp;":AK100")&lt;&gt;"休み"),1,0),0)),0),"")</f>
        <v>0</v>
      </c>
      <c r="AS51" s="21">
        <f ca="1">IF(AR50=0,0,
IF(OR(AR50="",COUNTIF(AR50,"*保育無し*")),"",
IF(MOD(AR51-AR50,1)*24&gt;=8,1,
IF(MOD(AR51-AR50,1)*24&gt;=6,0.75,0))))</f>
        <v>0</v>
      </c>
      <c r="AT51" s="21">
        <f t="array" aca="1" ref="AT51" ca="1">IFERROR(IF(AS50&lt;&gt;0,INDEX(
INDIRECT("'シフト一覧（転載）'!"&amp;AS50&amp;":AK100"),1+1,
MATCH(1,INDEX((LEN(INDIRECT("'シフト一覧（転載）'!"&amp;AS50&amp;":AK100"))&gt;0)
*(INDIRECT("'シフト一覧（転載）'!"&amp;AS50&amp;":AK100")&lt;&gt;"休み"),1,0),0)),0),"")</f>
        <v>0</v>
      </c>
      <c r="AU51" s="21">
        <f ca="1">IF(AT50=0,0,
IF(OR(AT50="",COUNTIF(AT50,"*保育無し*")),"",
IF(MOD(AT51-AT50,1)*24&gt;=8,1,
IF(MOD(AT51-AT50,1)*24&gt;=6,0.75,0))))</f>
        <v>0</v>
      </c>
      <c r="AV51" s="21">
        <f t="array" aca="1" ref="AV51" ca="1">IFERROR(IF(AU50&lt;&gt;0,INDEX(
INDIRECT("'シフト一覧（転載）'!"&amp;AU50&amp;":AK100"),1+1,
MATCH(1,INDEX((LEN(INDIRECT("'シフト一覧（転載）'!"&amp;AU50&amp;":AK100"))&gt;0)
*(INDIRECT("'シフト一覧（転載）'!"&amp;AU50&amp;":AK100")&lt;&gt;"休み"),1,0),0)),0),"")</f>
        <v>0</v>
      </c>
      <c r="AW51" s="21">
        <f ca="1">IF(AV50=0,0,
IF(OR(AV50="",COUNTIF(AV50,"*保育無し*")),"",
IF(MOD(AV51-AV50,1)*24&gt;=8,1,
IF(MOD(AV51-AV50,1)*24&gt;=6,0.75,0))))</f>
        <v>0</v>
      </c>
      <c r="AX51" s="21">
        <f t="array" aca="1" ref="AX51" ca="1">IFERROR(IF(AW50&lt;&gt;0,INDEX(
INDIRECT("'シフト一覧（転載）'!"&amp;AW50&amp;":AK100"),1+1,
MATCH(1,INDEX((LEN(INDIRECT("'シフト一覧（転載）'!"&amp;AW50&amp;":AK100"))&gt;0)
*(INDIRECT("'シフト一覧（転載）'!"&amp;AW50&amp;":AK100")&lt;&gt;"休み"),1,0),0)),0),"")</f>
        <v>0</v>
      </c>
      <c r="AY51" s="21">
        <f ca="1">IF(AX50=0,0,
IF(OR(AX50="",COUNTIF(AX50,"*保育無し*")),"",
IF(MOD(AX51-AX50,1)*24&gt;=8,1,
IF(MOD(AX51-AX50,1)*24&gt;=6,0.75,0))))</f>
        <v>0</v>
      </c>
      <c r="AZ51" s="21">
        <f t="array" aca="1" ref="AZ51" ca="1">IFERROR(IF(AY50&lt;&gt;0,INDEX(
INDIRECT("'シフト一覧（転載）'!"&amp;AY50&amp;":AK100"),1+1,
MATCH(1,INDEX((LEN(INDIRECT("'シフト一覧（転載）'!"&amp;AY50&amp;":AK100"))&gt;0)
*(INDIRECT("'シフト一覧（転載）'!"&amp;AY50&amp;":AK100")&lt;&gt;"休み"),1,0),0)),0),"")</f>
        <v>0</v>
      </c>
      <c r="BA51" s="21">
        <f ca="1">IF(AZ50=0,0,
IF(OR(AZ50="",COUNTIF(AZ50,"*保育無し*")),"",
IF(MOD(AZ51-AZ50,1)*24&gt;=8,1,
IF(MOD(AZ51-AZ50,1)*24&gt;=6,0.75,0))))</f>
        <v>0</v>
      </c>
      <c r="BB51" s="21">
        <f t="array" aca="1" ref="BB51" ca="1">IFERROR(IF(BA50&lt;&gt;0,INDEX(
INDIRECT("'シフト一覧（転載）'!"&amp;BA50&amp;":AK100"),1+1,
MATCH(1,INDEX((LEN(INDIRECT("'シフト一覧（転載）'!"&amp;BA50&amp;":AK100"))&gt;0)
*(INDIRECT("'シフト一覧（転載）'!"&amp;BA50&amp;":AK100")&lt;&gt;"休み"),1,0),0)),0),"")</f>
        <v>0</v>
      </c>
      <c r="BC51" s="21">
        <f ca="1">IF(BB50=0,0,
IF(OR(BB50="",COUNTIF(BB50,"*保育無し*")),"",
IF(MOD(BB51-BB50,1)*24&gt;=8,1,
IF(MOD(BB51-BB50,1)*24&gt;=6,0.75,0))))</f>
        <v>0</v>
      </c>
      <c r="BD51" s="21">
        <f t="array" aca="1" ref="BD51" ca="1">IFERROR(IF(BC50&lt;&gt;0,INDEX(
INDIRECT("'シフト一覧（転載）'!"&amp;BC50&amp;":AK100"),1+1,
MATCH(1,INDEX((LEN(INDIRECT("'シフト一覧（転載）'!"&amp;BC50&amp;":AK100"))&gt;0)
*(INDIRECT("'シフト一覧（転載）'!"&amp;BC50&amp;":AK100")&lt;&gt;"休み"),1,0),0)),0),"")</f>
        <v>0</v>
      </c>
      <c r="BE51" s="21">
        <f ca="1">IF(BD50=0,0,
IF(OR(BD50="",COUNTIF(BD50,"*保育無し*")),"",
IF(MOD(BD51-BD50,1)*24&gt;=8,1,
IF(MOD(BD51-BD50,1)*24&gt;=6,0.75,0))))</f>
        <v>0</v>
      </c>
      <c r="BF51" s="21">
        <f t="array" aca="1" ref="BF51" ca="1">IFERROR(IF(BE50&lt;&gt;0,INDEX(
INDIRECT("'シフト一覧（転載）'!"&amp;BE50&amp;":AK100"),1+1,
MATCH(1,INDEX((LEN(INDIRECT("'シフト一覧（転載）'!"&amp;BE50&amp;":AK100"))&gt;0)
*(INDIRECT("'シフト一覧（転載）'!"&amp;BE50&amp;":AK100")&lt;&gt;"休み"),1,0),0)),0),"")</f>
        <v>0</v>
      </c>
      <c r="BG51" s="21">
        <f ca="1">IF(BF50=0,0,
IF(OR(BF50="",COUNTIF(BF50,"*保育無し*")),"",
IF(MOD(BF51-BF50,1)*24&gt;=8,1,
IF(MOD(BF51-BF50,1)*24&gt;=6,0.75,0))))</f>
        <v>0</v>
      </c>
      <c r="BH51" s="21">
        <f t="array" aca="1" ref="BH51" ca="1">IFERROR(IF(BG50&lt;&gt;0,INDEX(
INDIRECT("'シフト一覧（転載）'!"&amp;BG50&amp;":AK100"),1+1,
MATCH(1,INDEX((LEN(INDIRECT("'シフト一覧（転載）'!"&amp;BG50&amp;":AK100"))&gt;0)
*(INDIRECT("'シフト一覧（転載）'!"&amp;BG50&amp;":AK100")&lt;&gt;"休み"),1,0),0)),0),"")</f>
        <v>0</v>
      </c>
      <c r="BI51" s="21">
        <f ca="1">IF(BH50=0,0,
IF(OR(BH50="",COUNTIF(BH50,"*保育無し*")),"",
IF(MOD(BH51-BH50,1)*24&gt;=8,1,
IF(MOD(BH51-BH50,1)*24&gt;=6,0.75,0))))</f>
        <v>0</v>
      </c>
      <c r="BJ51" s="21">
        <f t="array" aca="1" ref="BJ51" ca="1">IFERROR(IF(BI50&lt;&gt;0,INDEX(
INDIRECT("'シフト一覧（転載）'!"&amp;BI50&amp;":AK100"),1+1,
MATCH(1,INDEX((LEN(INDIRECT("'シフト一覧（転載）'!"&amp;BI50&amp;":AK100"))&gt;0)
*(INDIRECT("'シフト一覧（転載）'!"&amp;BI50&amp;":AK100")&lt;&gt;"休み"),1,0),0)),0),"")</f>
        <v>0</v>
      </c>
      <c r="BK51" s="21">
        <f ca="1">IF(BJ50=0,0,
IF(OR(BJ50="",COUNTIF(BJ50,"*保育無し*")),"",
IF(MOD(BJ51-BJ50,1)*24&gt;=8,1,
IF(MOD(BJ51-BJ50,1)*24&gt;=6,0.75,0))))</f>
        <v>0</v>
      </c>
      <c r="BL51" s="21">
        <f t="array" aca="1" ref="BL51" ca="1">IFERROR(IF(BK50&lt;&gt;0,INDEX(
INDIRECT("'シフト一覧（転載）'!"&amp;BK50&amp;":AK100"),1+1,
MATCH(1,INDEX((LEN(INDIRECT("'シフト一覧（転載）'!"&amp;BK50&amp;":AK100"))&gt;0)
*(INDIRECT("'シフト一覧（転載）'!"&amp;BK50&amp;":AK100")&lt;&gt;"休み"),1,0),0)),0),"")</f>
        <v>0</v>
      </c>
      <c r="BM51" s="21">
        <f ca="1">IF(BL50=0,0,
IF(OR(BL50="",COUNTIF(BL50,"*保育無し*")),"",
IF(MOD(BL51-BL50,1)*24&gt;=8,1,
IF(MOD(BL51-BL50,1)*24&gt;=6,0.75,0))))</f>
        <v>0</v>
      </c>
      <c r="BN51" s="21">
        <f t="array" aca="1" ref="BN51" ca="1">IFERROR(IF(BM50&lt;&gt;0,INDEX(
INDIRECT("'シフト一覧（転載）'!"&amp;BM50&amp;":AK100"),1+1,
MATCH(1,INDEX((LEN(INDIRECT("'シフト一覧（転載）'!"&amp;BM50&amp;":AK100"))&gt;0)
*(INDIRECT("'シフト一覧（転載）'!"&amp;BM50&amp;":AK100")&lt;&gt;"休み"),1,0),0)),0),"")</f>
        <v>0</v>
      </c>
      <c r="BO51" s="21">
        <f ca="1">IF(BN50=0,0,
IF(OR(BN50="",COUNTIF(BN50,"*保育無し*")),"",
IF(MOD(BN51-BN50,1)*24&gt;=8,1,
IF(MOD(BN51-BN50,1)*24&gt;=6,0.75,0))))</f>
        <v>0</v>
      </c>
      <c r="BP51" s="21">
        <f t="array" aca="1" ref="BP51" ca="1">IFERROR(IF(BO50&lt;&gt;0,INDEX(
INDIRECT("'シフト一覧（転載）'!"&amp;BO50&amp;":AK100"),1+1,
MATCH(1,INDEX((LEN(INDIRECT("'シフト一覧（転載）'!"&amp;BO50&amp;":AK100"))&gt;0)
*(INDIRECT("'シフト一覧（転載）'!"&amp;BO50&amp;":AK100")&lt;&gt;"休み"),1,0),0)),0),"")</f>
        <v>0</v>
      </c>
      <c r="BQ51" s="21">
        <f ca="1">IF(BP50=0,0,
IF(OR(BP50="",COUNTIF(BP50,"*保育無し*")),"",
IF(MOD(BP51-BP50,1)*24&gt;=8,1,
IF(MOD(BP51-BP50,1)*24&gt;=6,0.75,0))))</f>
        <v>0</v>
      </c>
      <c r="BR51" s="21">
        <f t="array" aca="1" ref="BR51" ca="1">IFERROR(IF(BQ50&lt;&gt;0,INDEX(
INDIRECT("'シフト一覧（転載）'!"&amp;BQ50&amp;":AK100"),1+1,
MATCH(1,INDEX((LEN(INDIRECT("'シフト一覧（転載）'!"&amp;BQ50&amp;":AK100"))&gt;0)
*(INDIRECT("'シフト一覧（転載）'!"&amp;BQ50&amp;":AK100")&lt;&gt;"休み"),1,0),0)),0),"")</f>
        <v>0</v>
      </c>
      <c r="BS51" s="21">
        <f ca="1">IF(BR50=0,0,
IF(OR(BR50="",COUNTIF(BR50,"*保育無し*")),"",
IF(MOD(BR51-BR50,1)*24&gt;=8,1,
IF(MOD(BR51-BR50,1)*24&gt;=6,0.75,0))))</f>
        <v>0</v>
      </c>
      <c r="BT51" s="21">
        <f t="array" aca="1" ref="BT51" ca="1">IFERROR(IF(BS50&lt;&gt;0,INDEX(
INDIRECT("'シフト一覧（転載）'!"&amp;BS50&amp;":AK100"),1+1,
MATCH(1,INDEX((LEN(INDIRECT("'シフト一覧（転載）'!"&amp;BS50&amp;":AK100"))&gt;0)
*(INDIRECT("'シフト一覧（転載）'!"&amp;BS50&amp;":AK100")&lt;&gt;"休み"),1,0),0)),0),"")</f>
        <v>0</v>
      </c>
      <c r="BU51" s="21">
        <f ca="1">IF(BT50=0,0,
IF(OR(BT50="",COUNTIF(BT50,"*保育無し*")),"",
IF(MOD(BT51-BT50,1)*24&gt;=8,1,
IF(MOD(BT51-BT50,1)*24&gt;=6,0.75,0))))</f>
        <v>0</v>
      </c>
      <c r="BV51" s="21">
        <f t="array" aca="1" ref="BV51" ca="1">IFERROR(IF(BU50&lt;&gt;0,INDEX(
INDIRECT("'シフト一覧（転載）'!"&amp;BU50&amp;":AK100"),1+1,
MATCH(1,INDEX((LEN(INDIRECT("'シフト一覧（転載）'!"&amp;BU50&amp;":AK100"))&gt;0)
*(INDIRECT("'シフト一覧（転載）'!"&amp;BU50&amp;":AK100")&lt;&gt;"休み"),1,0),0)),0),"")</f>
        <v>0</v>
      </c>
      <c r="BW51" s="21">
        <f ca="1">IF(BV50=0,0,
IF(OR(BV50="",COUNTIF(BV50,"*保育無し*")),"",
IF(MOD(BV51-BV50,1)*24&gt;=8,1,
IF(MOD(BV51-BV50,1)*24&gt;=6,0.75,0))))</f>
        <v>0</v>
      </c>
      <c r="BX51" s="21">
        <f t="array" aca="1" ref="BX51" ca="1">IFERROR(IF(BW50&lt;&gt;0,INDEX(
INDIRECT("'シフト一覧（転載）'!"&amp;BW50&amp;":AK100"),1+1,
MATCH(1,INDEX((LEN(INDIRECT("'シフト一覧（転載）'!"&amp;BW50&amp;":AK100"))&gt;0)
*(INDIRECT("'シフト一覧（転載）'!"&amp;BW50&amp;":AK100")&lt;&gt;"休み"),1,0),0)),0),"")</f>
        <v>0</v>
      </c>
      <c r="BY51" s="21">
        <f ca="1">IF(BX50=0,0,
IF(OR(BX50="",COUNTIF(BX50,"*保育無し*")),"",
IF(MOD(BX51-BX50,1)*24&gt;=8,1,
IF(MOD(BX51-BX50,1)*24&gt;=6,0.75,0))))</f>
        <v>0</v>
      </c>
    </row>
    <row r="52" spans="13:77" ht="19.8" customHeight="1" x14ac:dyDescent="0.2">
      <c r="M52" s="103" t="str" cm="1">
        <f t="array" aca="1" ref="M5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2" s="101" t="str">
        <f t="shared" ref="N52" ca="1" si="25">IF(M52&lt;&gt;"",VLOOKUP(M52,$B$12:$C$41,2,FALSE),"")</f>
        <v/>
      </c>
      <c r="O52" s="106" cm="1">
        <f t="array" aca="1" ref="O52" ca="1">IF(COUNTIF(P52,"*保育無*"),0,
SUM(IF(
MOD(COLUMN(INDIRECT("P"&amp; ROW() &amp; ":" &amp; ADDRESS(ROW(), IFERROR(MATCH("*保育無し*", INDIRECT("P"&amp; ROW() &amp; ":BY" &amp; ROW()), 0) + COLUMN(P52) - 2, COLUMN(BX52) + 1), 4))) - COLUMN(P52), 2) = 0,
MOD(INDIRECT("P"&amp; ROW()+1 &amp; ":" &amp; ADDRESS(ROW()+1, IFERROR(MATCH("*保育無し*", INDIRECT("P"&amp; ROW() &amp; ":BY" &amp; ROW()), 0) + COLUMN(P52) - 2, COLUMN(BX52) + 1), 4)) - INDIRECT("P"&amp; ROW() &amp; ":" &amp; ADDRESS(ROW(), IFERROR(MATCH("*保育無し*", INDIRECT("P"&amp; ROW() &amp; ":BY" &amp; ROW()), 0) + COLUMN(P52) - 2, COLUMN(BX52) + 1), 4)),1),0))*24
-SUM(_xlfn._xlws.FILTER(P53:BX53, MOD(COLUMN(P53:BX53) - COLUMN(P53), 2) = 1)))</f>
        <v>0</v>
      </c>
      <c r="P52" s="20">
        <f t="array" aca="1" ref="P52" ca="1">IFERROR(IF(M52&lt;&gt;"",INDEX('シフト一覧（転載）'!$F$8:$AK$100,
    MATCH(1,(ISNUMBER(SEARCH(M52,'シフト一覧（転載）'!$A$8:$A$100)))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MATCH(1,(ISNUMBER(SEARCH(M52,'シフト一覧（転載）'!$A$8:$A$100)))
                *(ISNUMBER(SEARCH($F$9,'シフト一覧（転載）'!$B$8:$B$100))),
                0),0),0)),0),$F$9&amp;"保育無し")</f>
        <v>0</v>
      </c>
      <c r="Q52" s="20">
        <f t="array" aca="1" ref="Q52" ca="1">IFERROR(IF(COUNTIF(P52,"*無*"),"",IF(M52&lt;&gt;"",ADDRESS(
    MATCH(1,(ISNUMBER(SEARCH(M52,'シフト一覧（転載）'!$A$8:$A$100)))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MATCH(1,(ISNUMBER(SEARCH(M52,'シフト一覧（転載）'!$A$8:$A$100)))
                *(ISNUMBER(SEARCH($F$9,'シフト一覧（転載）'!$B$8:$B$100))),0),0),0) + 6,4),0)),0)</f>
        <v>0</v>
      </c>
      <c r="R52" s="20">
        <f t="array" aca="1" ref="R52" ca="1">IFERROR(IF(Q52&lt;&gt;"",IF(Q52&lt;&gt;0,INDEX(
INDIRECT("'シフト一覧（転載）'!"&amp;Q52&amp;":AK100"),1,
MATCH(1,INDEX((LEN(INDIRECT("'シフト一覧（転載）'!"&amp;Q52&amp;":AK100"))&gt;0)
*(INDIRECT("'シフト一覧（転載）'!"&amp;Q52&amp;":AK100")&lt;&gt;"休み"),1,0),0)),0),""),$F$9&amp;"保育無し")</f>
        <v>0</v>
      </c>
      <c r="S52" s="20">
        <f t="array" aca="1" ref="S52" ca="1">IFERROR(IF(Q52&lt;&gt;0,ADDRESS(ROW(INDIRECT(Q52)),
    COLUMN(INDIRECT(Q52)) - 1 +
    MATCH(1,INDEX((LEN(INDIRECT("'シフト一覧（転載）'!"&amp;Q52&amp;":AK100"))&gt;0)
            *(INDIRECT("'シフト一覧（転載）'!"&amp;Q52&amp;":AK100")&lt;&gt;"休み"),
            1,0),0)+1,4),0),"")</f>
        <v>0</v>
      </c>
      <c r="T52" s="20">
        <f t="array" aca="1" ref="T52" ca="1">IFERROR(IF(S52&lt;&gt;"",IF(S52&lt;&gt;0,INDEX(
INDIRECT("'シフト一覧（転載）'!"&amp;S52&amp;":AK100"),1,
MATCH(1,INDEX((LEN(INDIRECT("'シフト一覧（転載）'!"&amp;S52&amp;":AK100"))&gt;0)
*(INDIRECT("'シフト一覧（転載）'!"&amp;S52&amp;":AK100")&lt;&gt;"休み"),1,0),0)),0),""),$F$9&amp;"保育無し")</f>
        <v>0</v>
      </c>
      <c r="U52" s="20">
        <f t="array" aca="1" ref="U52" ca="1">IFERROR(IF(S52&lt;&gt;0,ADDRESS(ROW(INDIRECT(S52)),
    COLUMN(INDIRECT(S52)) - 1 +
    MATCH(1,INDEX((LEN(INDIRECT("'シフト一覧（転載）'!"&amp;S52&amp;":AK100"))&gt;0)
            *(INDIRECT("'シフト一覧（転載）'!"&amp;S52&amp;":AK100")&lt;&gt;"休み"),
            1,0),0)+1,4),0),"")</f>
        <v>0</v>
      </c>
      <c r="V52" s="20">
        <f t="array" aca="1" ref="V52" ca="1">IFERROR(IF(U52&lt;&gt;"",IF(U52&lt;&gt;0,INDEX(
INDIRECT("'シフト一覧（転載）'!"&amp;U52&amp;":AK100"),1,
MATCH(1,INDEX((LEN(INDIRECT("'シフト一覧（転載）'!"&amp;U52&amp;":AK100"))&gt;0)
*(INDIRECT("'シフト一覧（転載）'!"&amp;U52&amp;":AK100")&lt;&gt;"休み"),1,0),0)),0),""),$F$9&amp;"保育無し")</f>
        <v>0</v>
      </c>
      <c r="W52" s="20">
        <f t="array" aca="1" ref="W52" ca="1">IFERROR(IF(U52&lt;&gt;0,ADDRESS(ROW(INDIRECT(U52)),
    COLUMN(INDIRECT(U52)) - 1 +
    MATCH(1,INDEX((LEN(INDIRECT("'シフト一覧（転載）'!"&amp;U52&amp;":AK100"))&gt;0)
            *(INDIRECT("'シフト一覧（転載）'!"&amp;U52&amp;":AK100")&lt;&gt;"休み"),
            1,0),0)+1,4),0),"")</f>
        <v>0</v>
      </c>
      <c r="X52" s="20">
        <f t="array" aca="1" ref="X52" ca="1">IFERROR(IF(W52&lt;&gt;"",IF(W52&lt;&gt;0,INDEX(
INDIRECT("'シフト一覧（転載）'!"&amp;W52&amp;":AK100"),1,
MATCH(1,INDEX((LEN(INDIRECT("'シフト一覧（転載）'!"&amp;W52&amp;":AK100"))&gt;0)
*(INDIRECT("'シフト一覧（転載）'!"&amp;W52&amp;":AK100")&lt;&gt;"休み"),1,0),0)),0),""),$F$9&amp;"保育無し")</f>
        <v>0</v>
      </c>
      <c r="Y52" s="20">
        <f t="array" aca="1" ref="Y52" ca="1">IFERROR(IF(W52&lt;&gt;0,ADDRESS(ROW(INDIRECT(W52)),
    COLUMN(INDIRECT(W52)) - 1 +
    MATCH(1,INDEX((LEN(INDIRECT("'シフト一覧（転載）'!"&amp;W52&amp;":AK100"))&gt;0)
            *(INDIRECT("'シフト一覧（転載）'!"&amp;W52&amp;":AK100")&lt;&gt;"休み"),
            1,0),0)+1,4),0),"")</f>
        <v>0</v>
      </c>
      <c r="Z52" s="20">
        <f t="array" aca="1" ref="Z52" ca="1">IFERROR(IF(Y52&lt;&gt;"",IF(Y52&lt;&gt;0,INDEX(
INDIRECT("'シフト一覧（転載）'!"&amp;Y52&amp;":AK100"),1,
MATCH(1,INDEX((LEN(INDIRECT("'シフト一覧（転載）'!"&amp;Y52&amp;":AK100"))&gt;0)
*(INDIRECT("'シフト一覧（転載）'!"&amp;Y52&amp;":AK100")&lt;&gt;"休み"),1,0),0)),0),""),$F$9&amp;"保育無し")</f>
        <v>0</v>
      </c>
      <c r="AA52" s="20">
        <f t="array" aca="1" ref="AA52" ca="1">IFERROR(IF(Y52&lt;&gt;0,ADDRESS(ROW(INDIRECT(Y52)),
    COLUMN(INDIRECT(Y52)) - 1 +
    MATCH(1,INDEX((LEN(INDIRECT("'シフト一覧（転載）'!"&amp;Y52&amp;":AK100"))&gt;0)
            *(INDIRECT("'シフト一覧（転載）'!"&amp;Y52&amp;":AK100")&lt;&gt;"休み"),
            1,0),0)+1,4),0),"")</f>
        <v>0</v>
      </c>
      <c r="AB52" s="20">
        <f t="array" aca="1" ref="AB52" ca="1">IFERROR(IF(AA52&lt;&gt;"",IF(AA52&lt;&gt;0,INDEX(
INDIRECT("'シフト一覧（転載）'!"&amp;AA52&amp;":AK100"),1,
MATCH(1,INDEX((LEN(INDIRECT("'シフト一覧（転載）'!"&amp;AA52&amp;":AK100"))&gt;0)
*(INDIRECT("'シフト一覧（転載）'!"&amp;AA52&amp;":AK100")&lt;&gt;"休み"),1,0),0)),0),""),$F$9&amp;"保育無し")</f>
        <v>0</v>
      </c>
      <c r="AC52" s="20">
        <f t="array" aca="1" ref="AC52" ca="1">IFERROR(IF(AA52&lt;&gt;0,ADDRESS(ROW(INDIRECT(AA52)),
    COLUMN(INDIRECT(AA52)) - 1 +
    MATCH(1,INDEX((LEN(INDIRECT("'シフト一覧（転載）'!"&amp;AA52&amp;":AK100"))&gt;0)
            *(INDIRECT("'シフト一覧（転載）'!"&amp;AA52&amp;":AK100")&lt;&gt;"休み"),
            1,0),0)+1,4),0),"")</f>
        <v>0</v>
      </c>
      <c r="AD52" s="20">
        <f t="array" aca="1" ref="AD52" ca="1">IFERROR(IF(AC52&lt;&gt;"",IF(AC52&lt;&gt;0,INDEX(
INDIRECT("'シフト一覧（転載）'!"&amp;AC52&amp;":AK100"),1,
MATCH(1,INDEX((LEN(INDIRECT("'シフト一覧（転載）'!"&amp;AC52&amp;":AK100"))&gt;0)
*(INDIRECT("'シフト一覧（転載）'!"&amp;AC52&amp;":AK100")&lt;&gt;"休み"),1,0),0)),0),""),$F$9&amp;"保育無し")</f>
        <v>0</v>
      </c>
      <c r="AE52" s="20">
        <f t="array" aca="1" ref="AE52" ca="1">IFERROR(IF(AC52&lt;&gt;0,ADDRESS(ROW(INDIRECT(AC52)),
    COLUMN(INDIRECT(AC52)) - 1 +
    MATCH(1,INDEX((LEN(INDIRECT("'シフト一覧（転載）'!"&amp;AC52&amp;":AK100"))&gt;0)
            *(INDIRECT("'シフト一覧（転載）'!"&amp;AC52&amp;":AK100")&lt;&gt;"休み"),
            1,0),0)+1,4),0),"")</f>
        <v>0</v>
      </c>
      <c r="AF52" s="20">
        <f t="array" aca="1" ref="AF52" ca="1">IFERROR(IF(AE52&lt;&gt;"",IF(AE52&lt;&gt;0,INDEX(
INDIRECT("'シフト一覧（転載）'!"&amp;AE52&amp;":AK100"),1,
MATCH(1,INDEX((LEN(INDIRECT("'シフト一覧（転載）'!"&amp;AE52&amp;":AK100"))&gt;0)
*(INDIRECT("'シフト一覧（転載）'!"&amp;AE52&amp;":AK100")&lt;&gt;"休み"),1,0),0)),0),""),$F$9&amp;"保育無し")</f>
        <v>0</v>
      </c>
      <c r="AG52" s="20">
        <f t="array" aca="1" ref="AG52" ca="1">IFERROR(IF(AE52&lt;&gt;0,ADDRESS(ROW(INDIRECT(AE52)),
    COLUMN(INDIRECT(AE52)) - 1 +
    MATCH(1,INDEX((LEN(INDIRECT("'シフト一覧（転載）'!"&amp;AE52&amp;":AK100"))&gt;0)
            *(INDIRECT("'シフト一覧（転載）'!"&amp;AE52&amp;":AK100")&lt;&gt;"休み"),
            1,0),0)+1,4),0),"")</f>
        <v>0</v>
      </c>
      <c r="AH52" s="20">
        <f t="array" aca="1" ref="AH52" ca="1">IFERROR(IF(AG52&lt;&gt;"",IF(AG52&lt;&gt;0,INDEX(
INDIRECT("'シフト一覧（転載）'!"&amp;AG52&amp;":AK100"),1,
MATCH(1,INDEX((LEN(INDIRECT("'シフト一覧（転載）'!"&amp;AG52&amp;":AK100"))&gt;0)
*(INDIRECT("'シフト一覧（転載）'!"&amp;AG52&amp;":AK100")&lt;&gt;"休み"),1,0),0)),0),""),$F$9&amp;"保育無し")</f>
        <v>0</v>
      </c>
      <c r="AI52" s="20">
        <f t="array" aca="1" ref="AI52" ca="1">IFERROR(IF(AG52&lt;&gt;0,ADDRESS(ROW(INDIRECT(AG52)),
    COLUMN(INDIRECT(AG52)) - 1 +
    MATCH(1,INDEX((LEN(INDIRECT("'シフト一覧（転載）'!"&amp;AG52&amp;":AK100"))&gt;0)
            *(INDIRECT("'シフト一覧（転載）'!"&amp;AG52&amp;":AK100")&lt;&gt;"休み"),
            1,0),0)+1,4),0),"")</f>
        <v>0</v>
      </c>
      <c r="AJ52" s="20">
        <f t="array" aca="1" ref="AJ52" ca="1">IFERROR(IF(AI52&lt;&gt;"",IF(AI52&lt;&gt;0,INDEX(
INDIRECT("'シフト一覧（転載）'!"&amp;AI52&amp;":AK100"),1,
MATCH(1,INDEX((LEN(INDIRECT("'シフト一覧（転載）'!"&amp;AI52&amp;":AK100"))&gt;0)
*(INDIRECT("'シフト一覧（転載）'!"&amp;AI52&amp;":AK100")&lt;&gt;"休み"),1,0),0)),0),""),$F$9&amp;"保育無し")</f>
        <v>0</v>
      </c>
      <c r="AK52" s="20">
        <f t="array" aca="1" ref="AK52" ca="1">IFERROR(IF(AI52&lt;&gt;0,ADDRESS(ROW(INDIRECT(AI52)),
    COLUMN(INDIRECT(AI52)) - 1 +
    MATCH(1,INDEX((LEN(INDIRECT("'シフト一覧（転載）'!"&amp;AI52&amp;":AK100"))&gt;0)
            *(INDIRECT("'シフト一覧（転載）'!"&amp;AI52&amp;":AK100")&lt;&gt;"休み"),
            1,0),0)+1,4),0),"")</f>
        <v>0</v>
      </c>
      <c r="AL52" s="20">
        <f t="array" aca="1" ref="AL52" ca="1">IFERROR(IF(AK52&lt;&gt;"",IF(AK52&lt;&gt;0,INDEX(
INDIRECT("'シフト一覧（転載）'!"&amp;AK52&amp;":AK100"),1,
MATCH(1,INDEX((LEN(INDIRECT("'シフト一覧（転載）'!"&amp;AK52&amp;":AK100"))&gt;0)
*(INDIRECT("'シフト一覧（転載）'!"&amp;AK52&amp;":AK100")&lt;&gt;"休み"),1,0),0)),0),""),$F$9&amp;"保育無し")</f>
        <v>0</v>
      </c>
      <c r="AM52" s="20">
        <f t="array" aca="1" ref="AM52" ca="1">IFERROR(IF(AK52&lt;&gt;0,ADDRESS(ROW(INDIRECT(AK52)),
    COLUMN(INDIRECT(AK52)) - 1 +
    MATCH(1,INDEX((LEN(INDIRECT("'シフト一覧（転載）'!"&amp;AK52&amp;":AK100"))&gt;0)
            *(INDIRECT("'シフト一覧（転載）'!"&amp;AK52&amp;":AK100")&lt;&gt;"休み"),
            1,0),0)+1,4),0),"")</f>
        <v>0</v>
      </c>
      <c r="AN52" s="20">
        <f t="array" aca="1" ref="AN52" ca="1">IFERROR(IF(AM52&lt;&gt;"",IF(AM52&lt;&gt;0,INDEX(
INDIRECT("'シフト一覧（転載）'!"&amp;AM52&amp;":AK100"),1,
MATCH(1,INDEX((LEN(INDIRECT("'シフト一覧（転載）'!"&amp;AM52&amp;":AK100"))&gt;0)
*(INDIRECT("'シフト一覧（転載）'!"&amp;AM52&amp;":AK100")&lt;&gt;"休み"),1,0),0)),0),""),$F$9&amp;"保育無し")</f>
        <v>0</v>
      </c>
      <c r="AO52" s="20">
        <f t="array" aca="1" ref="AO52" ca="1">IFERROR(IF(AM52&lt;&gt;0,ADDRESS(ROW(INDIRECT(AM52)),
    COLUMN(INDIRECT(AM52)) - 1 +
    MATCH(1,INDEX((LEN(INDIRECT("'シフト一覧（転載）'!"&amp;AM52&amp;":AK100"))&gt;0)
            *(INDIRECT("'シフト一覧（転載）'!"&amp;AM52&amp;":AK100")&lt;&gt;"休み"),
            1,0),0)+1,4),0),"")</f>
        <v>0</v>
      </c>
      <c r="AP52" s="20">
        <f t="array" aca="1" ref="AP52" ca="1">IFERROR(IF(AO52&lt;&gt;"",IF(AO52&lt;&gt;0,INDEX(
INDIRECT("'シフト一覧（転載）'!"&amp;AO52&amp;":AK100"),1,
MATCH(1,INDEX((LEN(INDIRECT("'シフト一覧（転載）'!"&amp;AO52&amp;":AK100"))&gt;0)
*(INDIRECT("'シフト一覧（転載）'!"&amp;AO52&amp;":AK100")&lt;&gt;"休み"),1,0),0)),0),""),$F$9&amp;"保育無し")</f>
        <v>0</v>
      </c>
      <c r="AQ52" s="20">
        <f t="array" aca="1" ref="AQ52" ca="1">IFERROR(IF(AO52&lt;&gt;0,ADDRESS(ROW(INDIRECT(AO52)),
    COLUMN(INDIRECT(AO52)) - 1 +
    MATCH(1,INDEX((LEN(INDIRECT("'シフト一覧（転載）'!"&amp;AO52&amp;":AK100"))&gt;0)
            *(INDIRECT("'シフト一覧（転載）'!"&amp;AO52&amp;":AK100")&lt;&gt;"休み"),
            1,0),0)+1,4),0),"")</f>
        <v>0</v>
      </c>
      <c r="AR52" s="20">
        <f t="array" aca="1" ref="AR52" ca="1">IFERROR(IF(AQ52&lt;&gt;"",IF(AQ52&lt;&gt;0,INDEX(
INDIRECT("'シフト一覧（転載）'!"&amp;AQ52&amp;":AK100"),1,
MATCH(1,INDEX((LEN(INDIRECT("'シフト一覧（転載）'!"&amp;AQ52&amp;":AK100"))&gt;0)
*(INDIRECT("'シフト一覧（転載）'!"&amp;AQ52&amp;":AK100")&lt;&gt;"休み"),1,0),0)),0),""),$F$9&amp;"保育無し")</f>
        <v>0</v>
      </c>
      <c r="AS52" s="20">
        <f t="array" aca="1" ref="AS52" ca="1">IFERROR(IF(AQ52&lt;&gt;0,ADDRESS(ROW(INDIRECT(AQ52)),
    COLUMN(INDIRECT(AQ52)) - 1 +
    MATCH(1,INDEX((LEN(INDIRECT("'シフト一覧（転載）'!"&amp;AQ52&amp;":AK100"))&gt;0)
            *(INDIRECT("'シフト一覧（転載）'!"&amp;AQ52&amp;":AK100")&lt;&gt;"休み"),
            1,0),0)+1,4),0),"")</f>
        <v>0</v>
      </c>
      <c r="AT52" s="20">
        <f t="array" aca="1" ref="AT52" ca="1">IFERROR(IF(AS52&lt;&gt;"",IF(AS52&lt;&gt;0,INDEX(
INDIRECT("'シフト一覧（転載）'!"&amp;AS52&amp;":AK100"),1,
MATCH(1,INDEX((LEN(INDIRECT("'シフト一覧（転載）'!"&amp;AS52&amp;":AK100"))&gt;0)
*(INDIRECT("'シフト一覧（転載）'!"&amp;AS52&amp;":AK100")&lt;&gt;"休み"),1,0),0)),0),""),$F$9&amp;"保育無し")</f>
        <v>0</v>
      </c>
      <c r="AU52" s="20">
        <f t="array" aca="1" ref="AU52" ca="1">IFERROR(IF(AS52&lt;&gt;0,ADDRESS(ROW(INDIRECT(AS52)),
    COLUMN(INDIRECT(AS52)) - 1 +
    MATCH(1,INDEX((LEN(INDIRECT("'シフト一覧（転載）'!"&amp;AS52&amp;":AK100"))&gt;0)
            *(INDIRECT("'シフト一覧（転載）'!"&amp;AS52&amp;":AK100")&lt;&gt;"休み"),
            1,0),0)+1,4),0),"")</f>
        <v>0</v>
      </c>
      <c r="AV52" s="20">
        <f t="array" aca="1" ref="AV52" ca="1">IFERROR(IF(AU52&lt;&gt;"",IF(AU52&lt;&gt;0,INDEX(
INDIRECT("'シフト一覧（転載）'!"&amp;AU52&amp;":AK100"),1,
MATCH(1,INDEX((LEN(INDIRECT("'シフト一覧（転載）'!"&amp;AU52&amp;":AK100"))&gt;0)
*(INDIRECT("'シフト一覧（転載）'!"&amp;AU52&amp;":AK100")&lt;&gt;"休み"),1,0),0)),0),""),$F$9&amp;"保育無し")</f>
        <v>0</v>
      </c>
      <c r="AW52" s="20">
        <f t="array" aca="1" ref="AW52" ca="1">IFERROR(IF(AU52&lt;&gt;0,ADDRESS(ROW(INDIRECT(AU52)),
    COLUMN(INDIRECT(AU52)) - 1 +
    MATCH(1,INDEX((LEN(INDIRECT("'シフト一覧（転載）'!"&amp;AU52&amp;":AK100"))&gt;0)
            *(INDIRECT("'シフト一覧（転載）'!"&amp;AU52&amp;":AK100")&lt;&gt;"休み"),
            1,0),0)+1,4),0),"")</f>
        <v>0</v>
      </c>
      <c r="AX52" s="20">
        <f t="array" aca="1" ref="AX52" ca="1">IFERROR(IF(AW52&lt;&gt;"",IF(AW52&lt;&gt;0,INDEX(
INDIRECT("'シフト一覧（転載）'!"&amp;AW52&amp;":AK100"),1,
MATCH(1,INDEX((LEN(INDIRECT("'シフト一覧（転載）'!"&amp;AW52&amp;":AK100"))&gt;0)
*(INDIRECT("'シフト一覧（転載）'!"&amp;AW52&amp;":AK100")&lt;&gt;"休み"),1,0),0)),0),""),$F$9&amp;"保育無し")</f>
        <v>0</v>
      </c>
      <c r="AY52" s="20">
        <f t="array" aca="1" ref="AY52" ca="1">IFERROR(IF(AW52&lt;&gt;0,ADDRESS(ROW(INDIRECT(AW52)),
    COLUMN(INDIRECT(AW52)) - 1 +
    MATCH(1,INDEX((LEN(INDIRECT("'シフト一覧（転載）'!"&amp;AW52&amp;":AK100"))&gt;0)
            *(INDIRECT("'シフト一覧（転載）'!"&amp;AW52&amp;":AK100")&lt;&gt;"休み"),
            1,0),0)+1,4),0),"")</f>
        <v>0</v>
      </c>
      <c r="AZ52" s="20">
        <f t="array" aca="1" ref="AZ52" ca="1">IFERROR(IF(AY52&lt;&gt;"",IF(AY52&lt;&gt;0,INDEX(
INDIRECT("'シフト一覧（転載）'!"&amp;AY52&amp;":AK100"),1,
MATCH(1,INDEX((LEN(INDIRECT("'シフト一覧（転載）'!"&amp;AY52&amp;":AK100"))&gt;0)
*(INDIRECT("'シフト一覧（転載）'!"&amp;AY52&amp;":AK100")&lt;&gt;"休み"),1,0),0)),0),""),$F$9&amp;"保育無し")</f>
        <v>0</v>
      </c>
      <c r="BA52" s="20">
        <f t="array" aca="1" ref="BA52" ca="1">IFERROR(IF(AY52&lt;&gt;0,ADDRESS(ROW(INDIRECT(AY52)),
    COLUMN(INDIRECT(AY52)) - 1 +
    MATCH(1,INDEX((LEN(INDIRECT("'シフト一覧（転載）'!"&amp;AY52&amp;":AK100"))&gt;0)
            *(INDIRECT("'シフト一覧（転載）'!"&amp;AY52&amp;":AK100")&lt;&gt;"休み"),
            1,0),0)+1,4),0),"")</f>
        <v>0</v>
      </c>
      <c r="BB52" s="20">
        <f t="array" aca="1" ref="BB52" ca="1">IFERROR(IF(BA52&lt;&gt;"",IF(BA52&lt;&gt;0,INDEX(
INDIRECT("'シフト一覧（転載）'!"&amp;BA52&amp;":AK100"),1,
MATCH(1,INDEX((LEN(INDIRECT("'シフト一覧（転載）'!"&amp;BA52&amp;":AK100"))&gt;0)
*(INDIRECT("'シフト一覧（転載）'!"&amp;BA52&amp;":AK100")&lt;&gt;"休み"),1,0),0)),0),""),$F$9&amp;"保育無し")</f>
        <v>0</v>
      </c>
      <c r="BC52" s="20">
        <f t="array" aca="1" ref="BC52" ca="1">IFERROR(IF(BA52&lt;&gt;0,ADDRESS(ROW(INDIRECT(BA52)),
    COLUMN(INDIRECT(BA52)) - 1 +
    MATCH(1,INDEX((LEN(INDIRECT("'シフト一覧（転載）'!"&amp;BA52&amp;":AK100"))&gt;0)
            *(INDIRECT("'シフト一覧（転載）'!"&amp;BA52&amp;":AK100")&lt;&gt;"休み"),
            1,0),0)+1,4),0),"")</f>
        <v>0</v>
      </c>
      <c r="BD52" s="20">
        <f t="array" aca="1" ref="BD52" ca="1">IFERROR(IF(BC52&lt;&gt;"",IF(BC52&lt;&gt;0,INDEX(
INDIRECT("'シフト一覧（転載）'!"&amp;BC52&amp;":AK100"),1,
MATCH(1,INDEX((LEN(INDIRECT("'シフト一覧（転載）'!"&amp;BC52&amp;":AK100"))&gt;0)
*(INDIRECT("'シフト一覧（転載）'!"&amp;BC52&amp;":AK100")&lt;&gt;"休み"),1,0),0)),0),""),$F$9&amp;"保育無し")</f>
        <v>0</v>
      </c>
      <c r="BE52" s="20">
        <f t="array" aca="1" ref="BE52" ca="1">IFERROR(IF(BC52&lt;&gt;0,ADDRESS(ROW(INDIRECT(BC52)),
    COLUMN(INDIRECT(BC52)) - 1 +
    MATCH(1,INDEX((LEN(INDIRECT("'シフト一覧（転載）'!"&amp;BC52&amp;":AK100"))&gt;0)
            *(INDIRECT("'シフト一覧（転載）'!"&amp;BC52&amp;":AK100")&lt;&gt;"休み"),
            1,0),0)+1,4),0),"")</f>
        <v>0</v>
      </c>
      <c r="BF52" s="20">
        <f t="array" aca="1" ref="BF52" ca="1">IFERROR(IF(BE52&lt;&gt;"",IF(BE52&lt;&gt;0,INDEX(
INDIRECT("'シフト一覧（転載）'!"&amp;BE52&amp;":AK100"),1,
MATCH(1,INDEX((LEN(INDIRECT("'シフト一覧（転載）'!"&amp;BE52&amp;":AK100"))&gt;0)
*(INDIRECT("'シフト一覧（転載）'!"&amp;BE52&amp;":AK100")&lt;&gt;"休み"),1,0),0)),0),""),$F$9&amp;"保育無し")</f>
        <v>0</v>
      </c>
      <c r="BG52" s="20">
        <f t="array" aca="1" ref="BG52" ca="1">IFERROR(IF(BE52&lt;&gt;0,ADDRESS(ROW(INDIRECT(BE52)),
    COLUMN(INDIRECT(BE52)) - 1 +
    MATCH(1,INDEX((LEN(INDIRECT("'シフト一覧（転載）'!"&amp;BE52&amp;":AK100"))&gt;0)
            *(INDIRECT("'シフト一覧（転載）'!"&amp;BE52&amp;":AK100")&lt;&gt;"休み"),
            1,0),0)+1,4),0),"")</f>
        <v>0</v>
      </c>
      <c r="BH52" s="20">
        <f t="array" aca="1" ref="BH52" ca="1">IFERROR(IF(BG52&lt;&gt;"",IF(BG52&lt;&gt;0,INDEX(
INDIRECT("'シフト一覧（転載）'!"&amp;BG52&amp;":AK100"),1,
MATCH(1,INDEX((LEN(INDIRECT("'シフト一覧（転載）'!"&amp;BG52&amp;":AK100"))&gt;0)
*(INDIRECT("'シフト一覧（転載）'!"&amp;BG52&amp;":AK100")&lt;&gt;"休み"),1,0),0)),0),""),$F$9&amp;"保育無し")</f>
        <v>0</v>
      </c>
      <c r="BI52" s="20">
        <f t="array" aca="1" ref="BI52" ca="1">IFERROR(IF(BG52&lt;&gt;0,ADDRESS(ROW(INDIRECT(BG52)),
    COLUMN(INDIRECT(BG52)) - 1 +
    MATCH(1,INDEX((LEN(INDIRECT("'シフト一覧（転載）'!"&amp;BG52&amp;":AK100"))&gt;0)
            *(INDIRECT("'シフト一覧（転載）'!"&amp;BG52&amp;":AK100")&lt;&gt;"休み"),
            1,0),0)+1,4),0),"")</f>
        <v>0</v>
      </c>
      <c r="BJ52" s="20">
        <f t="array" aca="1" ref="BJ52" ca="1">IFERROR(IF(BI52&lt;&gt;"",IF(BI52&lt;&gt;0,INDEX(
INDIRECT("'シフト一覧（転載）'!"&amp;BI52&amp;":AK100"),1,
MATCH(1,INDEX((LEN(INDIRECT("'シフト一覧（転載）'!"&amp;BI52&amp;":AK100"))&gt;0)
*(INDIRECT("'シフト一覧（転載）'!"&amp;BI52&amp;":AK100")&lt;&gt;"休み"),1,0),0)),0),""),$F$9&amp;"保育無し")</f>
        <v>0</v>
      </c>
      <c r="BK52" s="20">
        <f t="array" aca="1" ref="BK52" ca="1">IFERROR(IF(BI52&lt;&gt;0,ADDRESS(ROW(INDIRECT(BI52)),
    COLUMN(INDIRECT(BI52)) - 1 +
    MATCH(1,INDEX((LEN(INDIRECT("'シフト一覧（転載）'!"&amp;BI52&amp;":AK100"))&gt;0)
            *(INDIRECT("'シフト一覧（転載）'!"&amp;BI52&amp;":AK100")&lt;&gt;"休み"),
            1,0),0)+1,4),0),"")</f>
        <v>0</v>
      </c>
      <c r="BL52" s="20">
        <f t="array" aca="1" ref="BL52" ca="1">IFERROR(IF(BK52&lt;&gt;"",IF(BK52&lt;&gt;0,INDEX(
INDIRECT("'シフト一覧（転載）'!"&amp;BK52&amp;":AK100"),1,
MATCH(1,INDEX((LEN(INDIRECT("'シフト一覧（転載）'!"&amp;BK52&amp;":AK100"))&gt;0)
*(INDIRECT("'シフト一覧（転載）'!"&amp;BK52&amp;":AK100")&lt;&gt;"休み"),1,0),0)),0),""),$F$9&amp;"保育無し")</f>
        <v>0</v>
      </c>
      <c r="BM52" s="20">
        <f t="array" aca="1" ref="BM52" ca="1">IFERROR(IF(BK52&lt;&gt;0,ADDRESS(ROW(INDIRECT(BK52)),
    COLUMN(INDIRECT(BK52)) - 1 +
    MATCH(1,INDEX((LEN(INDIRECT("'シフト一覧（転載）'!"&amp;BK52&amp;":AK100"))&gt;0)
            *(INDIRECT("'シフト一覧（転載）'!"&amp;BK52&amp;":AK100")&lt;&gt;"休み"),
            1,0),0)+1,4),0),"")</f>
        <v>0</v>
      </c>
      <c r="BN52" s="20">
        <f t="array" aca="1" ref="BN52" ca="1">IFERROR(IF(BM52&lt;&gt;"",IF(BM52&lt;&gt;0,INDEX(
INDIRECT("'シフト一覧（転載）'!"&amp;BM52&amp;":AK100"),1,
MATCH(1,INDEX((LEN(INDIRECT("'シフト一覧（転載）'!"&amp;BM52&amp;":AK100"))&gt;0)
*(INDIRECT("'シフト一覧（転載）'!"&amp;BM52&amp;":AK100")&lt;&gt;"休み"),1,0),0)),0),""),$F$9&amp;"保育無し")</f>
        <v>0</v>
      </c>
      <c r="BO52" s="20">
        <f t="array" aca="1" ref="BO52" ca="1">IFERROR(IF(BM52&lt;&gt;0,ADDRESS(ROW(INDIRECT(BM52)),
    COLUMN(INDIRECT(BM52)) - 1 +
    MATCH(1,INDEX((LEN(INDIRECT("'シフト一覧（転載）'!"&amp;BM52&amp;":AK100"))&gt;0)
            *(INDIRECT("'シフト一覧（転載）'!"&amp;BM52&amp;":AK100")&lt;&gt;"休み"),
            1,0),0)+1,4),0),"")</f>
        <v>0</v>
      </c>
      <c r="BP52" s="20">
        <f t="array" aca="1" ref="BP52" ca="1">IFERROR(IF(BO52&lt;&gt;"",IF(BO52&lt;&gt;0,INDEX(
INDIRECT("'シフト一覧（転載）'!"&amp;BO52&amp;":AK100"),1,
MATCH(1,INDEX((LEN(INDIRECT("'シフト一覧（転載）'!"&amp;BO52&amp;":AK100"))&gt;0)
*(INDIRECT("'シフト一覧（転載）'!"&amp;BO52&amp;":AK100")&lt;&gt;"休み"),1,0),0)),0),""),$F$9&amp;"保育無し")</f>
        <v>0</v>
      </c>
      <c r="BQ52" s="20">
        <f t="array" aca="1" ref="BQ52" ca="1">IFERROR(IF(BO52&lt;&gt;0,ADDRESS(ROW(INDIRECT(BO52)),
    COLUMN(INDIRECT(BO52)) - 1 +
    MATCH(1,INDEX((LEN(INDIRECT("'シフト一覧（転載）'!"&amp;BO52&amp;":AK100"))&gt;0)
            *(INDIRECT("'シフト一覧（転載）'!"&amp;BO52&amp;":AK100")&lt;&gt;"休み"),
            1,0),0)+1,4),0),"")</f>
        <v>0</v>
      </c>
      <c r="BR52" s="20">
        <f t="array" aca="1" ref="BR52" ca="1">IFERROR(IF(BQ52&lt;&gt;"",IF(BQ52&lt;&gt;0,INDEX(
INDIRECT("'シフト一覧（転載）'!"&amp;BQ52&amp;":AK100"),1,
MATCH(1,INDEX((LEN(INDIRECT("'シフト一覧（転載）'!"&amp;BQ52&amp;":AK100"))&gt;0)
*(INDIRECT("'シフト一覧（転載）'!"&amp;BQ52&amp;":AK100")&lt;&gt;"休み"),1,0),0)),0),""),$F$9&amp;"保育無し")</f>
        <v>0</v>
      </c>
      <c r="BS52" s="20">
        <f t="array" aca="1" ref="BS52" ca="1">IFERROR(IF(BQ52&lt;&gt;0,ADDRESS(ROW(INDIRECT(BQ52)),
    COLUMN(INDIRECT(BQ52)) - 1 +
    MATCH(1,INDEX((LEN(INDIRECT("'シフト一覧（転載）'!"&amp;BQ52&amp;":AK100"))&gt;0)
            *(INDIRECT("'シフト一覧（転載）'!"&amp;BQ52&amp;":AK100")&lt;&gt;"休み"),
            1,0),0)+1,4),0),"")</f>
        <v>0</v>
      </c>
      <c r="BT52" s="20">
        <f t="array" aca="1" ref="BT52" ca="1">IFERROR(IF(BS52&lt;&gt;"",IF(BS52&lt;&gt;0,INDEX(
INDIRECT("'シフト一覧（転載）'!"&amp;BS52&amp;":AK100"),1,
MATCH(1,INDEX((LEN(INDIRECT("'シフト一覧（転載）'!"&amp;BS52&amp;":AK100"))&gt;0)
*(INDIRECT("'シフト一覧（転載）'!"&amp;BS52&amp;":AK100")&lt;&gt;"休み"),1,0),0)),0),""),$F$9&amp;"保育無し")</f>
        <v>0</v>
      </c>
      <c r="BU52" s="20">
        <f t="array" aca="1" ref="BU52" ca="1">IFERROR(IF(BS52&lt;&gt;0,ADDRESS(ROW(INDIRECT(BS52)),
    COLUMN(INDIRECT(BS52)) - 1 +
    MATCH(1,INDEX((LEN(INDIRECT("'シフト一覧（転載）'!"&amp;BS52&amp;":AK100"))&gt;0)
            *(INDIRECT("'シフト一覧（転載）'!"&amp;BS52&amp;":AK100")&lt;&gt;"休み"),
            1,0),0)+1,4),0),"")</f>
        <v>0</v>
      </c>
      <c r="BV52" s="20">
        <f t="array" aca="1" ref="BV52" ca="1">IFERROR(IF(BU52&lt;&gt;"",IF(BU52&lt;&gt;0,INDEX(
INDIRECT("'シフト一覧（転載）'!"&amp;BU52&amp;":AK100"),1,
MATCH(1,INDEX((LEN(INDIRECT("'シフト一覧（転載）'!"&amp;BU52&amp;":AK100"))&gt;0)
*(INDIRECT("'シフト一覧（転載）'!"&amp;BU52&amp;":AK100")&lt;&gt;"休み"),1,0),0)),0),""),$F$9&amp;"保育無し")</f>
        <v>0</v>
      </c>
      <c r="BW52" s="20">
        <f t="array" aca="1" ref="BW52" ca="1">IFERROR(IF(BU52&lt;&gt;0,ADDRESS(ROW(INDIRECT(BU52)),
    COLUMN(INDIRECT(BU52)) - 1 +
    MATCH(1,INDEX((LEN(INDIRECT("'シフト一覧（転載）'!"&amp;BU52&amp;":AK100"))&gt;0)
            *(INDIRECT("'シフト一覧（転載）'!"&amp;BU52&amp;":AK100")&lt;&gt;"休み"),
            1,0),0)+1,4),0),"")</f>
        <v>0</v>
      </c>
      <c r="BX52" s="20">
        <f t="array" aca="1" ref="BX52" ca="1">IFERROR(IF(BW52&lt;&gt;"",IF(BW52&lt;&gt;0,INDEX(
INDIRECT("'シフト一覧（転載）'!"&amp;BW52&amp;":AK100"),1,
MATCH(1,INDEX((LEN(INDIRECT("'シフト一覧（転載）'!"&amp;BW52&amp;":AK100"))&gt;0)
*(INDIRECT("'シフト一覧（転載）'!"&amp;BW52&amp;":AK100")&lt;&gt;"休み"),1,0),0)),0),""),$F$9&amp;"保育無し")</f>
        <v>0</v>
      </c>
      <c r="BY52" s="20">
        <f t="array" aca="1" ref="BY52" ca="1">IFERROR(IF(BW52&lt;&gt;0,ADDRESS(ROW(INDIRECT(BW52)),
    COLUMN(INDIRECT(BW52)) - 1 +
    MATCH(1,INDEX((LEN(INDIRECT("'シフト一覧（転載）'!"&amp;BW52&amp;":AK100"))&gt;0)
            *(INDIRECT("'シフト一覧（転載）'!"&amp;BW52&amp;":AK100")&lt;&gt;"休み"),
            1,0),0)+1,4),0),"")</f>
        <v>0</v>
      </c>
    </row>
    <row r="53" spans="13:77" ht="19.8" customHeight="1" x14ac:dyDescent="0.2">
      <c r="M53" s="104"/>
      <c r="N53" s="102"/>
      <c r="O53" s="107"/>
      <c r="P53" s="21">
        <f t="array" aca="1" ref="P53" ca="1">IFERROR(IF(M52&lt;&gt;"",INDEX('シフト一覧（転載）'!$F$8:$AK$100,
    MATCH(1,(ISNUMBER(SEARCH(M52,'シフト一覧（転載）'!$A$8:$A$100)))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MATCH(1,(ISNUMBER(SEARCH(M52,'シフト一覧（転載）'!$A$8:$A$100)))
                *(ISNUMBER(SEARCH($F$9,'シフト一覧（転載）'!$B$8:$B$100))),
                0),0),0)),0),"")</f>
        <v>0</v>
      </c>
      <c r="Q53" s="21">
        <f ca="1">IF(P52=0,0,
IF(OR(P52="",COUNTIF(P52,"*保育無し*")),"",
IF(MOD(P53-P52,1)*24&gt;=8,1,
IF(MOD(P53-P52,1)*24&gt;=6,0.75,0))))</f>
        <v>0</v>
      </c>
      <c r="R53" s="21">
        <f t="array" aca="1" ref="R53" ca="1">IFERROR(IF(Q52&lt;&gt;0,INDEX(
INDIRECT("'シフト一覧（転載）'!"&amp;Q52&amp;":AK100"),1+1,
MATCH(1,INDEX((LEN(INDIRECT("'シフト一覧（転載）'!"&amp;Q52&amp;":AK100"))&gt;0)
*(INDIRECT("'シフト一覧（転載）'!"&amp;Q52&amp;":AK100")&lt;&gt;"休み"),1,0),0)),0),"")</f>
        <v>0</v>
      </c>
      <c r="S53" s="21">
        <f ca="1">IF(R52=0,0,
IF(OR(R52="",COUNTIF(R52,"*保育無し*")),"",
IF(MOD(R53-R52,1)*24&gt;=8,1,
IF(MOD(R53-R52,1)*24&gt;=6,0.75,0))))</f>
        <v>0</v>
      </c>
      <c r="T53" s="21">
        <f t="array" aca="1" ref="T53" ca="1">IFERROR(IF(S52&lt;&gt;0,INDEX(
INDIRECT("'シフト一覧（転載）'!"&amp;S52&amp;":AK100"),1+1,
MATCH(1,INDEX((LEN(INDIRECT("'シフト一覧（転載）'!"&amp;S52&amp;":AK100"))&gt;0)
*(INDIRECT("'シフト一覧（転載）'!"&amp;S52&amp;":AK100")&lt;&gt;"休み"),1,0),0)),0),"")</f>
        <v>0</v>
      </c>
      <c r="U53" s="21">
        <f ca="1">IF(T52=0,0,
IF(OR(T52="",COUNTIF(T52,"*保育無し*")),"",
IF(MOD(T53-T52,1)*24&gt;=8,1,
IF(MOD(T53-T52,1)*24&gt;=6,0.75,0))))</f>
        <v>0</v>
      </c>
      <c r="V53" s="21">
        <f t="array" aca="1" ref="V53" ca="1">IFERROR(IF(U52&lt;&gt;0,INDEX(
INDIRECT("'シフト一覧（転載）'!"&amp;U52&amp;":AK100"),1+1,
MATCH(1,INDEX((LEN(INDIRECT("'シフト一覧（転載）'!"&amp;U52&amp;":AK100"))&gt;0)
*(INDIRECT("'シフト一覧（転載）'!"&amp;U52&amp;":AK100")&lt;&gt;"休み"),1,0),0)),0),"")</f>
        <v>0</v>
      </c>
      <c r="W53" s="21">
        <f ca="1">IF(V52=0,0,
IF(OR(V52="",COUNTIF(V52,"*保育無し*")),"",
IF(MOD(V53-V52,1)*24&gt;=8,1,
IF(MOD(V53-V52,1)*24&gt;=6,0.75,0))))</f>
        <v>0</v>
      </c>
      <c r="X53" s="21">
        <f t="array" aca="1" ref="X53" ca="1">IFERROR(IF(W52&lt;&gt;0,INDEX(
INDIRECT("'シフト一覧（転載）'!"&amp;W52&amp;":AK100"),1+1,
MATCH(1,INDEX((LEN(INDIRECT("'シフト一覧（転載）'!"&amp;W52&amp;":AK100"))&gt;0)
*(INDIRECT("'シフト一覧（転載）'!"&amp;W52&amp;":AK100")&lt;&gt;"休み"),1,0),0)),0),"")</f>
        <v>0</v>
      </c>
      <c r="Y53" s="21">
        <f ca="1">IF(X52=0,0,
IF(OR(X52="",COUNTIF(X52,"*保育無し*")),"",
IF(MOD(X53-X52,1)*24&gt;=8,1,
IF(MOD(X53-X52,1)*24&gt;=6,0.75,0))))</f>
        <v>0</v>
      </c>
      <c r="Z53" s="21">
        <f t="array" aca="1" ref="Z53" ca="1">IFERROR(IF(Y52&lt;&gt;0,INDEX(
INDIRECT("'シフト一覧（転載）'!"&amp;Y52&amp;":AK100"),1+1,
MATCH(1,INDEX((LEN(INDIRECT("'シフト一覧（転載）'!"&amp;Y52&amp;":AK100"))&gt;0)
*(INDIRECT("'シフト一覧（転載）'!"&amp;Y52&amp;":AK100")&lt;&gt;"休み"),1,0),0)),0),"")</f>
        <v>0</v>
      </c>
      <c r="AA53" s="21">
        <f ca="1">IF(Z52=0,0,
IF(OR(Z52="",COUNTIF(Z52,"*保育無し*")),"",
IF(MOD(Z53-Z52,1)*24&gt;=8,1,
IF(MOD(Z53-Z52,1)*24&gt;=6,0.75,0))))</f>
        <v>0</v>
      </c>
      <c r="AB53" s="21">
        <f t="array" aca="1" ref="AB53" ca="1">IFERROR(IF(AA52&lt;&gt;0,INDEX(
INDIRECT("'シフト一覧（転載）'!"&amp;AA52&amp;":AK100"),1+1,
MATCH(1,INDEX((LEN(INDIRECT("'シフト一覧（転載）'!"&amp;AA52&amp;":AK100"))&gt;0)
*(INDIRECT("'シフト一覧（転載）'!"&amp;AA52&amp;":AK100")&lt;&gt;"休み"),1,0),0)),0),"")</f>
        <v>0</v>
      </c>
      <c r="AC53" s="21">
        <f ca="1">IF(AB52=0,0,
IF(OR(AB52="",COUNTIF(AB52,"*保育無し*")),"",
IF(MOD(AB53-AB52,1)*24&gt;=8,1,
IF(MOD(AB53-AB52,1)*24&gt;=6,0.75,0))))</f>
        <v>0</v>
      </c>
      <c r="AD53" s="21">
        <f t="array" aca="1" ref="AD53" ca="1">IFERROR(IF(AC52&lt;&gt;0,INDEX(
INDIRECT("'シフト一覧（転載）'!"&amp;AC52&amp;":AK100"),1+1,
MATCH(1,INDEX((LEN(INDIRECT("'シフト一覧（転載）'!"&amp;AC52&amp;":AK100"))&gt;0)
*(INDIRECT("'シフト一覧（転載）'!"&amp;AC52&amp;":AK100")&lt;&gt;"休み"),1,0),0)),0),"")</f>
        <v>0</v>
      </c>
      <c r="AE53" s="21">
        <f ca="1">IF(AD52=0,0,
IF(OR(AD52="",COUNTIF(AD52,"*保育無し*")),"",
IF(MOD(AD53-AD52,1)*24&gt;=8,1,
IF(MOD(AD53-AD52,1)*24&gt;=6,0.75,0))))</f>
        <v>0</v>
      </c>
      <c r="AF53" s="21">
        <f t="array" aca="1" ref="AF53" ca="1">IFERROR(IF(AE52&lt;&gt;0,INDEX(
INDIRECT("'シフト一覧（転載）'!"&amp;AE52&amp;":AK100"),1+1,
MATCH(1,INDEX((LEN(INDIRECT("'シフト一覧（転載）'!"&amp;AE52&amp;":AK100"))&gt;0)
*(INDIRECT("'シフト一覧（転載）'!"&amp;AE52&amp;":AK100")&lt;&gt;"休み"),1,0),0)),0),"")</f>
        <v>0</v>
      </c>
      <c r="AG53" s="21">
        <f ca="1">IF(AF52=0,0,
IF(OR(AF52="",COUNTIF(AF52,"*保育無し*")),"",
IF(MOD(AF53-AF52,1)*24&gt;=8,1,
IF(MOD(AF53-AF52,1)*24&gt;=6,0.75,0))))</f>
        <v>0</v>
      </c>
      <c r="AH53" s="21">
        <f t="array" aca="1" ref="AH53" ca="1">IFERROR(IF(AG52&lt;&gt;0,INDEX(
INDIRECT("'シフト一覧（転載）'!"&amp;AG52&amp;":AK100"),1+1,
MATCH(1,INDEX((LEN(INDIRECT("'シフト一覧（転載）'!"&amp;AG52&amp;":AK100"))&gt;0)
*(INDIRECT("'シフト一覧（転載）'!"&amp;AG52&amp;":AK100")&lt;&gt;"休み"),1,0),0)),0),"")</f>
        <v>0</v>
      </c>
      <c r="AI53" s="21">
        <f ca="1">IF(AH52=0,0,
IF(OR(AH52="",COUNTIF(AH52,"*保育無し*")),"",
IF(MOD(AH53-AH52,1)*24&gt;=8,1,
IF(MOD(AH53-AH52,1)*24&gt;=6,0.75,0))))</f>
        <v>0</v>
      </c>
      <c r="AJ53" s="21">
        <f t="array" aca="1" ref="AJ53" ca="1">IFERROR(IF(AI52&lt;&gt;0,INDEX(
INDIRECT("'シフト一覧（転載）'!"&amp;AI52&amp;":AK100"),1+1,
MATCH(1,INDEX((LEN(INDIRECT("'シフト一覧（転載）'!"&amp;AI52&amp;":AK100"))&gt;0)
*(INDIRECT("'シフト一覧（転載）'!"&amp;AI52&amp;":AK100")&lt;&gt;"休み"),1,0),0)),0),"")</f>
        <v>0</v>
      </c>
      <c r="AK53" s="21">
        <f ca="1">IF(AJ52=0,0,
IF(OR(AJ52="",COUNTIF(AJ52,"*保育無し*")),"",
IF(MOD(AJ53-AJ52,1)*24&gt;=8,1,
IF(MOD(AJ53-AJ52,1)*24&gt;=6,0.75,0))))</f>
        <v>0</v>
      </c>
      <c r="AL53" s="21">
        <f t="array" aca="1" ref="AL53" ca="1">IFERROR(IF(AK52&lt;&gt;0,INDEX(
INDIRECT("'シフト一覧（転載）'!"&amp;AK52&amp;":AK100"),1+1,
MATCH(1,INDEX((LEN(INDIRECT("'シフト一覧（転載）'!"&amp;AK52&amp;":AK100"))&gt;0)
*(INDIRECT("'シフト一覧（転載）'!"&amp;AK52&amp;":AK100")&lt;&gt;"休み"),1,0),0)),0),"")</f>
        <v>0</v>
      </c>
      <c r="AM53" s="21">
        <f ca="1">IF(AL52=0,0,
IF(OR(AL52="",COUNTIF(AL52,"*保育無し*")),"",
IF(MOD(AL53-AL52,1)*24&gt;=8,1,
IF(MOD(AL53-AL52,1)*24&gt;=6,0.75,0))))</f>
        <v>0</v>
      </c>
      <c r="AN53" s="21">
        <f t="array" aca="1" ref="AN53" ca="1">IFERROR(IF(AM52&lt;&gt;0,INDEX(
INDIRECT("'シフト一覧（転載）'!"&amp;AM52&amp;":AK100"),1+1,
MATCH(1,INDEX((LEN(INDIRECT("'シフト一覧（転載）'!"&amp;AM52&amp;":AK100"))&gt;0)
*(INDIRECT("'シフト一覧（転載）'!"&amp;AM52&amp;":AK100")&lt;&gt;"休み"),1,0),0)),0),"")</f>
        <v>0</v>
      </c>
      <c r="AO53" s="21">
        <f ca="1">IF(AN52=0,0,
IF(OR(AN52="",COUNTIF(AN52,"*保育無し*")),"",
IF(MOD(AN53-AN52,1)*24&gt;=8,1,
IF(MOD(AN53-AN52,1)*24&gt;=6,0.75,0))))</f>
        <v>0</v>
      </c>
      <c r="AP53" s="21">
        <f t="array" aca="1" ref="AP53" ca="1">IFERROR(IF(AO52&lt;&gt;0,INDEX(
INDIRECT("'シフト一覧（転載）'!"&amp;AO52&amp;":AK100"),1+1,
MATCH(1,INDEX((LEN(INDIRECT("'シフト一覧（転載）'!"&amp;AO52&amp;":AK100"))&gt;0)
*(INDIRECT("'シフト一覧（転載）'!"&amp;AO52&amp;":AK100")&lt;&gt;"休み"),1,0),0)),0),"")</f>
        <v>0</v>
      </c>
      <c r="AQ53" s="21">
        <f ca="1">IF(AP52=0,0,
IF(OR(AP52="",COUNTIF(AP52,"*保育無し*")),"",
IF(MOD(AP53-AP52,1)*24&gt;=8,1,
IF(MOD(AP53-AP52,1)*24&gt;=6,0.75,0))))</f>
        <v>0</v>
      </c>
      <c r="AR53" s="21">
        <f t="array" aca="1" ref="AR53" ca="1">IFERROR(IF(AQ52&lt;&gt;0,INDEX(
INDIRECT("'シフト一覧（転載）'!"&amp;AQ52&amp;":AK100"),1+1,
MATCH(1,INDEX((LEN(INDIRECT("'シフト一覧（転載）'!"&amp;AQ52&amp;":AK100"))&gt;0)
*(INDIRECT("'シフト一覧（転載）'!"&amp;AQ52&amp;":AK100")&lt;&gt;"休み"),1,0),0)),0),"")</f>
        <v>0</v>
      </c>
      <c r="AS53" s="21">
        <f ca="1">IF(AR52=0,0,
IF(OR(AR52="",COUNTIF(AR52,"*保育無し*")),"",
IF(MOD(AR53-AR52,1)*24&gt;=8,1,
IF(MOD(AR53-AR52,1)*24&gt;=6,0.75,0))))</f>
        <v>0</v>
      </c>
      <c r="AT53" s="21">
        <f t="array" aca="1" ref="AT53" ca="1">IFERROR(IF(AS52&lt;&gt;0,INDEX(
INDIRECT("'シフト一覧（転載）'!"&amp;AS52&amp;":AK100"),1+1,
MATCH(1,INDEX((LEN(INDIRECT("'シフト一覧（転載）'!"&amp;AS52&amp;":AK100"))&gt;0)
*(INDIRECT("'シフト一覧（転載）'!"&amp;AS52&amp;":AK100")&lt;&gt;"休み"),1,0),0)),0),"")</f>
        <v>0</v>
      </c>
      <c r="AU53" s="21">
        <f ca="1">IF(AT52=0,0,
IF(OR(AT52="",COUNTIF(AT52,"*保育無し*")),"",
IF(MOD(AT53-AT52,1)*24&gt;=8,1,
IF(MOD(AT53-AT52,1)*24&gt;=6,0.75,0))))</f>
        <v>0</v>
      </c>
      <c r="AV53" s="21">
        <f t="array" aca="1" ref="AV53" ca="1">IFERROR(IF(AU52&lt;&gt;0,INDEX(
INDIRECT("'シフト一覧（転載）'!"&amp;AU52&amp;":AK100"),1+1,
MATCH(1,INDEX((LEN(INDIRECT("'シフト一覧（転載）'!"&amp;AU52&amp;":AK100"))&gt;0)
*(INDIRECT("'シフト一覧（転載）'!"&amp;AU52&amp;":AK100")&lt;&gt;"休み"),1,0),0)),0),"")</f>
        <v>0</v>
      </c>
      <c r="AW53" s="21">
        <f ca="1">IF(AV52=0,0,
IF(OR(AV52="",COUNTIF(AV52,"*保育無し*")),"",
IF(MOD(AV53-AV52,1)*24&gt;=8,1,
IF(MOD(AV53-AV52,1)*24&gt;=6,0.75,0))))</f>
        <v>0</v>
      </c>
      <c r="AX53" s="21">
        <f t="array" aca="1" ref="AX53" ca="1">IFERROR(IF(AW52&lt;&gt;0,INDEX(
INDIRECT("'シフト一覧（転載）'!"&amp;AW52&amp;":AK100"),1+1,
MATCH(1,INDEX((LEN(INDIRECT("'シフト一覧（転載）'!"&amp;AW52&amp;":AK100"))&gt;0)
*(INDIRECT("'シフト一覧（転載）'!"&amp;AW52&amp;":AK100")&lt;&gt;"休み"),1,0),0)),0),"")</f>
        <v>0</v>
      </c>
      <c r="AY53" s="21">
        <f ca="1">IF(AX52=0,0,
IF(OR(AX52="",COUNTIF(AX52,"*保育無し*")),"",
IF(MOD(AX53-AX52,1)*24&gt;=8,1,
IF(MOD(AX53-AX52,1)*24&gt;=6,0.75,0))))</f>
        <v>0</v>
      </c>
      <c r="AZ53" s="21">
        <f t="array" aca="1" ref="AZ53" ca="1">IFERROR(IF(AY52&lt;&gt;0,INDEX(
INDIRECT("'シフト一覧（転載）'!"&amp;AY52&amp;":AK100"),1+1,
MATCH(1,INDEX((LEN(INDIRECT("'シフト一覧（転載）'!"&amp;AY52&amp;":AK100"))&gt;0)
*(INDIRECT("'シフト一覧（転載）'!"&amp;AY52&amp;":AK100")&lt;&gt;"休み"),1,0),0)),0),"")</f>
        <v>0</v>
      </c>
      <c r="BA53" s="21">
        <f ca="1">IF(AZ52=0,0,
IF(OR(AZ52="",COUNTIF(AZ52,"*保育無し*")),"",
IF(MOD(AZ53-AZ52,1)*24&gt;=8,1,
IF(MOD(AZ53-AZ52,1)*24&gt;=6,0.75,0))))</f>
        <v>0</v>
      </c>
      <c r="BB53" s="21">
        <f t="array" aca="1" ref="BB53" ca="1">IFERROR(IF(BA52&lt;&gt;0,INDEX(
INDIRECT("'シフト一覧（転載）'!"&amp;BA52&amp;":AK100"),1+1,
MATCH(1,INDEX((LEN(INDIRECT("'シフト一覧（転載）'!"&amp;BA52&amp;":AK100"))&gt;0)
*(INDIRECT("'シフト一覧（転載）'!"&amp;BA52&amp;":AK100")&lt;&gt;"休み"),1,0),0)),0),"")</f>
        <v>0</v>
      </c>
      <c r="BC53" s="21">
        <f ca="1">IF(BB52=0,0,
IF(OR(BB52="",COUNTIF(BB52,"*保育無し*")),"",
IF(MOD(BB53-BB52,1)*24&gt;=8,1,
IF(MOD(BB53-BB52,1)*24&gt;=6,0.75,0))))</f>
        <v>0</v>
      </c>
      <c r="BD53" s="21">
        <f t="array" aca="1" ref="BD53" ca="1">IFERROR(IF(BC52&lt;&gt;0,INDEX(
INDIRECT("'シフト一覧（転載）'!"&amp;BC52&amp;":AK100"),1+1,
MATCH(1,INDEX((LEN(INDIRECT("'シフト一覧（転載）'!"&amp;BC52&amp;":AK100"))&gt;0)
*(INDIRECT("'シフト一覧（転載）'!"&amp;BC52&amp;":AK100")&lt;&gt;"休み"),1,0),0)),0),"")</f>
        <v>0</v>
      </c>
      <c r="BE53" s="21">
        <f ca="1">IF(BD52=0,0,
IF(OR(BD52="",COUNTIF(BD52,"*保育無し*")),"",
IF(MOD(BD53-BD52,1)*24&gt;=8,1,
IF(MOD(BD53-BD52,1)*24&gt;=6,0.75,0))))</f>
        <v>0</v>
      </c>
      <c r="BF53" s="21">
        <f t="array" aca="1" ref="BF53" ca="1">IFERROR(IF(BE52&lt;&gt;0,INDEX(
INDIRECT("'シフト一覧（転載）'!"&amp;BE52&amp;":AK100"),1+1,
MATCH(1,INDEX((LEN(INDIRECT("'シフト一覧（転載）'!"&amp;BE52&amp;":AK100"))&gt;0)
*(INDIRECT("'シフト一覧（転載）'!"&amp;BE52&amp;":AK100")&lt;&gt;"休み"),1,0),0)),0),"")</f>
        <v>0</v>
      </c>
      <c r="BG53" s="21">
        <f ca="1">IF(BF52=0,0,
IF(OR(BF52="",COUNTIF(BF52,"*保育無し*")),"",
IF(MOD(BF53-BF52,1)*24&gt;=8,1,
IF(MOD(BF53-BF52,1)*24&gt;=6,0.75,0))))</f>
        <v>0</v>
      </c>
      <c r="BH53" s="21">
        <f t="array" aca="1" ref="BH53" ca="1">IFERROR(IF(BG52&lt;&gt;0,INDEX(
INDIRECT("'シフト一覧（転載）'!"&amp;BG52&amp;":AK100"),1+1,
MATCH(1,INDEX((LEN(INDIRECT("'シフト一覧（転載）'!"&amp;BG52&amp;":AK100"))&gt;0)
*(INDIRECT("'シフト一覧（転載）'!"&amp;BG52&amp;":AK100")&lt;&gt;"休み"),1,0),0)),0),"")</f>
        <v>0</v>
      </c>
      <c r="BI53" s="21">
        <f ca="1">IF(BH52=0,0,
IF(OR(BH52="",COUNTIF(BH52,"*保育無し*")),"",
IF(MOD(BH53-BH52,1)*24&gt;=8,1,
IF(MOD(BH53-BH52,1)*24&gt;=6,0.75,0))))</f>
        <v>0</v>
      </c>
      <c r="BJ53" s="21">
        <f t="array" aca="1" ref="BJ53" ca="1">IFERROR(IF(BI52&lt;&gt;0,INDEX(
INDIRECT("'シフト一覧（転載）'!"&amp;BI52&amp;":AK100"),1+1,
MATCH(1,INDEX((LEN(INDIRECT("'シフト一覧（転載）'!"&amp;BI52&amp;":AK100"))&gt;0)
*(INDIRECT("'シフト一覧（転載）'!"&amp;BI52&amp;":AK100")&lt;&gt;"休み"),1,0),0)),0),"")</f>
        <v>0</v>
      </c>
      <c r="BK53" s="21">
        <f ca="1">IF(BJ52=0,0,
IF(OR(BJ52="",COUNTIF(BJ52,"*保育無し*")),"",
IF(MOD(BJ53-BJ52,1)*24&gt;=8,1,
IF(MOD(BJ53-BJ52,1)*24&gt;=6,0.75,0))))</f>
        <v>0</v>
      </c>
      <c r="BL53" s="21">
        <f t="array" aca="1" ref="BL53" ca="1">IFERROR(IF(BK52&lt;&gt;0,INDEX(
INDIRECT("'シフト一覧（転載）'!"&amp;BK52&amp;":AK100"),1+1,
MATCH(1,INDEX((LEN(INDIRECT("'シフト一覧（転載）'!"&amp;BK52&amp;":AK100"))&gt;0)
*(INDIRECT("'シフト一覧（転載）'!"&amp;BK52&amp;":AK100")&lt;&gt;"休み"),1,0),0)),0),"")</f>
        <v>0</v>
      </c>
      <c r="BM53" s="21">
        <f ca="1">IF(BL52=0,0,
IF(OR(BL52="",COUNTIF(BL52,"*保育無し*")),"",
IF(MOD(BL53-BL52,1)*24&gt;=8,1,
IF(MOD(BL53-BL52,1)*24&gt;=6,0.75,0))))</f>
        <v>0</v>
      </c>
      <c r="BN53" s="21">
        <f t="array" aca="1" ref="BN53" ca="1">IFERROR(IF(BM52&lt;&gt;0,INDEX(
INDIRECT("'シフト一覧（転載）'!"&amp;BM52&amp;":AK100"),1+1,
MATCH(1,INDEX((LEN(INDIRECT("'シフト一覧（転載）'!"&amp;BM52&amp;":AK100"))&gt;0)
*(INDIRECT("'シフト一覧（転載）'!"&amp;BM52&amp;":AK100")&lt;&gt;"休み"),1,0),0)),0),"")</f>
        <v>0</v>
      </c>
      <c r="BO53" s="21">
        <f ca="1">IF(BN52=0,0,
IF(OR(BN52="",COUNTIF(BN52,"*保育無し*")),"",
IF(MOD(BN53-BN52,1)*24&gt;=8,1,
IF(MOD(BN53-BN52,1)*24&gt;=6,0.75,0))))</f>
        <v>0</v>
      </c>
      <c r="BP53" s="21">
        <f t="array" aca="1" ref="BP53" ca="1">IFERROR(IF(BO52&lt;&gt;0,INDEX(
INDIRECT("'シフト一覧（転載）'!"&amp;BO52&amp;":AK100"),1+1,
MATCH(1,INDEX((LEN(INDIRECT("'シフト一覧（転載）'!"&amp;BO52&amp;":AK100"))&gt;0)
*(INDIRECT("'シフト一覧（転載）'!"&amp;BO52&amp;":AK100")&lt;&gt;"休み"),1,0),0)),0),"")</f>
        <v>0</v>
      </c>
      <c r="BQ53" s="21">
        <f ca="1">IF(BP52=0,0,
IF(OR(BP52="",COUNTIF(BP52,"*保育無し*")),"",
IF(MOD(BP53-BP52,1)*24&gt;=8,1,
IF(MOD(BP53-BP52,1)*24&gt;=6,0.75,0))))</f>
        <v>0</v>
      </c>
      <c r="BR53" s="21">
        <f t="array" aca="1" ref="BR53" ca="1">IFERROR(IF(BQ52&lt;&gt;0,INDEX(
INDIRECT("'シフト一覧（転載）'!"&amp;BQ52&amp;":AK100"),1+1,
MATCH(1,INDEX((LEN(INDIRECT("'シフト一覧（転載）'!"&amp;BQ52&amp;":AK100"))&gt;0)
*(INDIRECT("'シフト一覧（転載）'!"&amp;BQ52&amp;":AK100")&lt;&gt;"休み"),1,0),0)),0),"")</f>
        <v>0</v>
      </c>
      <c r="BS53" s="21">
        <f ca="1">IF(BR52=0,0,
IF(OR(BR52="",COUNTIF(BR52,"*保育無し*")),"",
IF(MOD(BR53-BR52,1)*24&gt;=8,1,
IF(MOD(BR53-BR52,1)*24&gt;=6,0.75,0))))</f>
        <v>0</v>
      </c>
      <c r="BT53" s="21">
        <f t="array" aca="1" ref="BT53" ca="1">IFERROR(IF(BS52&lt;&gt;0,INDEX(
INDIRECT("'シフト一覧（転載）'!"&amp;BS52&amp;":AK100"),1+1,
MATCH(1,INDEX((LEN(INDIRECT("'シフト一覧（転載）'!"&amp;BS52&amp;":AK100"))&gt;0)
*(INDIRECT("'シフト一覧（転載）'!"&amp;BS52&amp;":AK100")&lt;&gt;"休み"),1,0),0)),0),"")</f>
        <v>0</v>
      </c>
      <c r="BU53" s="21">
        <f ca="1">IF(BT52=0,0,
IF(OR(BT52="",COUNTIF(BT52,"*保育無し*")),"",
IF(MOD(BT53-BT52,1)*24&gt;=8,1,
IF(MOD(BT53-BT52,1)*24&gt;=6,0.75,0))))</f>
        <v>0</v>
      </c>
      <c r="BV53" s="21">
        <f t="array" aca="1" ref="BV53" ca="1">IFERROR(IF(BU52&lt;&gt;0,INDEX(
INDIRECT("'シフト一覧（転載）'!"&amp;BU52&amp;":AK100"),1+1,
MATCH(1,INDEX((LEN(INDIRECT("'シフト一覧（転載）'!"&amp;BU52&amp;":AK100"))&gt;0)
*(INDIRECT("'シフト一覧（転載）'!"&amp;BU52&amp;":AK100")&lt;&gt;"休み"),1,0),0)),0),"")</f>
        <v>0</v>
      </c>
      <c r="BW53" s="21">
        <f ca="1">IF(BV52=0,0,
IF(OR(BV52="",COUNTIF(BV52,"*保育無し*")),"",
IF(MOD(BV53-BV52,1)*24&gt;=8,1,
IF(MOD(BV53-BV52,1)*24&gt;=6,0.75,0))))</f>
        <v>0</v>
      </c>
      <c r="BX53" s="21">
        <f t="array" aca="1" ref="BX53" ca="1">IFERROR(IF(BW52&lt;&gt;0,INDEX(
INDIRECT("'シフト一覧（転載）'!"&amp;BW52&amp;":AK100"),1+1,
MATCH(1,INDEX((LEN(INDIRECT("'シフト一覧（転載）'!"&amp;BW52&amp;":AK100"))&gt;0)
*(INDIRECT("'シフト一覧（転載）'!"&amp;BW52&amp;":AK100")&lt;&gt;"休み"),1,0),0)),0),"")</f>
        <v>0</v>
      </c>
      <c r="BY53" s="21">
        <f ca="1">IF(BX52=0,0,
IF(OR(BX52="",COUNTIF(BX52,"*保育無し*")),"",
IF(MOD(BX53-BX52,1)*24&gt;=8,1,
IF(MOD(BX53-BX52,1)*24&gt;=6,0.75,0))))</f>
        <v>0</v>
      </c>
    </row>
    <row r="54" spans="13:77" ht="19.8" customHeight="1" x14ac:dyDescent="0.2">
      <c r="M54" s="103" t="str" cm="1">
        <f t="array" aca="1" ref="M5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4" s="101" t="str">
        <f t="shared" ref="N54" ca="1" si="26">IF(M54&lt;&gt;"",VLOOKUP(M54,$B$12:$C$41,2,FALSE),"")</f>
        <v/>
      </c>
      <c r="O54" s="106" cm="1">
        <f t="array" aca="1" ref="O54" ca="1">IF(COUNTIF(P54,"*保育無*"),0,
SUM(IF(
MOD(COLUMN(INDIRECT("P"&amp; ROW() &amp; ":" &amp; ADDRESS(ROW(), IFERROR(MATCH("*保育無し*", INDIRECT("P"&amp; ROW() &amp; ":BY" &amp; ROW()), 0) + COLUMN(P54) - 2, COLUMN(BX54) + 1), 4))) - COLUMN(P54), 2) = 0,
MOD(INDIRECT("P"&amp; ROW()+1 &amp; ":" &amp; ADDRESS(ROW()+1, IFERROR(MATCH("*保育無し*", INDIRECT("P"&amp; ROW() &amp; ":BY" &amp; ROW()), 0) + COLUMN(P54) - 2, COLUMN(BX54) + 1), 4)) - INDIRECT("P"&amp; ROW() &amp; ":" &amp; ADDRESS(ROW(), IFERROR(MATCH("*保育無し*", INDIRECT("P"&amp; ROW() &amp; ":BY" &amp; ROW()), 0) + COLUMN(P54) - 2, COLUMN(BX54) + 1), 4)),1),0))*24
-SUM(_xlfn._xlws.FILTER(P55:BX55, MOD(COLUMN(P55:BX55) - COLUMN(P55), 2) = 1)))</f>
        <v>0</v>
      </c>
      <c r="P54" s="20">
        <f t="array" aca="1" ref="P54" ca="1">IFERROR(IF(M54&lt;&gt;"",INDEX('シフト一覧（転載）'!$F$8:$AK$100,
    MATCH(1,(ISNUMBER(SEARCH(M54,'シフト一覧（転載）'!$A$8:$A$100)))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MATCH(1,(ISNUMBER(SEARCH(M54,'シフト一覧（転載）'!$A$8:$A$100)))
                *(ISNUMBER(SEARCH($F$9,'シフト一覧（転載）'!$B$8:$B$100))),
                0),0),0)),0),$F$9&amp;"保育無し")</f>
        <v>0</v>
      </c>
      <c r="Q54" s="20">
        <f t="array" aca="1" ref="Q54" ca="1">IFERROR(IF(COUNTIF(P54,"*無*"),"",IF(M54&lt;&gt;"",ADDRESS(
    MATCH(1,(ISNUMBER(SEARCH(M54,'シフト一覧（転載）'!$A$8:$A$100)))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MATCH(1,(ISNUMBER(SEARCH(M54,'シフト一覧（転載）'!$A$8:$A$100)))
                *(ISNUMBER(SEARCH($F$9,'シフト一覧（転載）'!$B$8:$B$100))),0),0),0) + 6,4),0)),0)</f>
        <v>0</v>
      </c>
      <c r="R54" s="20">
        <f t="array" aca="1" ref="R54" ca="1">IFERROR(IF(Q54&lt;&gt;"",IF(Q54&lt;&gt;0,INDEX(
INDIRECT("'シフト一覧（転載）'!"&amp;Q54&amp;":AK100"),1,
MATCH(1,INDEX((LEN(INDIRECT("'シフト一覧（転載）'!"&amp;Q54&amp;":AK100"))&gt;0)
*(INDIRECT("'シフト一覧（転載）'!"&amp;Q54&amp;":AK100")&lt;&gt;"休み"),1,0),0)),0),""),$F$9&amp;"保育無し")</f>
        <v>0</v>
      </c>
      <c r="S54" s="20">
        <f t="array" aca="1" ref="S54" ca="1">IFERROR(IF(Q54&lt;&gt;0,ADDRESS(ROW(INDIRECT(Q54)),
    COLUMN(INDIRECT(Q54)) - 1 +
    MATCH(1,INDEX((LEN(INDIRECT("'シフト一覧（転載）'!"&amp;Q54&amp;":AK100"))&gt;0)
            *(INDIRECT("'シフト一覧（転載）'!"&amp;Q54&amp;":AK100")&lt;&gt;"休み"),
            1,0),0)+1,4),0),"")</f>
        <v>0</v>
      </c>
      <c r="T54" s="20">
        <f t="array" aca="1" ref="T54" ca="1">IFERROR(IF(S54&lt;&gt;"",IF(S54&lt;&gt;0,INDEX(
INDIRECT("'シフト一覧（転載）'!"&amp;S54&amp;":AK100"),1,
MATCH(1,INDEX((LEN(INDIRECT("'シフト一覧（転載）'!"&amp;S54&amp;":AK100"))&gt;0)
*(INDIRECT("'シフト一覧（転載）'!"&amp;S54&amp;":AK100")&lt;&gt;"休み"),1,0),0)),0),""),$F$9&amp;"保育無し")</f>
        <v>0</v>
      </c>
      <c r="U54" s="20">
        <f t="array" aca="1" ref="U54" ca="1">IFERROR(IF(S54&lt;&gt;0,ADDRESS(ROW(INDIRECT(S54)),
    COLUMN(INDIRECT(S54)) - 1 +
    MATCH(1,INDEX((LEN(INDIRECT("'シフト一覧（転載）'!"&amp;S54&amp;":AK100"))&gt;0)
            *(INDIRECT("'シフト一覧（転載）'!"&amp;S54&amp;":AK100")&lt;&gt;"休み"),
            1,0),0)+1,4),0),"")</f>
        <v>0</v>
      </c>
      <c r="V54" s="20">
        <f t="array" aca="1" ref="V54" ca="1">IFERROR(IF(U54&lt;&gt;"",IF(U54&lt;&gt;0,INDEX(
INDIRECT("'シフト一覧（転載）'!"&amp;U54&amp;":AK100"),1,
MATCH(1,INDEX((LEN(INDIRECT("'シフト一覧（転載）'!"&amp;U54&amp;":AK100"))&gt;0)
*(INDIRECT("'シフト一覧（転載）'!"&amp;U54&amp;":AK100")&lt;&gt;"休み"),1,0),0)),0),""),$F$9&amp;"保育無し")</f>
        <v>0</v>
      </c>
      <c r="W54" s="20">
        <f t="array" aca="1" ref="W54" ca="1">IFERROR(IF(U54&lt;&gt;0,ADDRESS(ROW(INDIRECT(U54)),
    COLUMN(INDIRECT(U54)) - 1 +
    MATCH(1,INDEX((LEN(INDIRECT("'シフト一覧（転載）'!"&amp;U54&amp;":AK100"))&gt;0)
            *(INDIRECT("'シフト一覧（転載）'!"&amp;U54&amp;":AK100")&lt;&gt;"休み"),
            1,0),0)+1,4),0),"")</f>
        <v>0</v>
      </c>
      <c r="X54" s="20">
        <f t="array" aca="1" ref="X54" ca="1">IFERROR(IF(W54&lt;&gt;"",IF(W54&lt;&gt;0,INDEX(
INDIRECT("'シフト一覧（転載）'!"&amp;W54&amp;":AK100"),1,
MATCH(1,INDEX((LEN(INDIRECT("'シフト一覧（転載）'!"&amp;W54&amp;":AK100"))&gt;0)
*(INDIRECT("'シフト一覧（転載）'!"&amp;W54&amp;":AK100")&lt;&gt;"休み"),1,0),0)),0),""),$F$9&amp;"保育無し")</f>
        <v>0</v>
      </c>
      <c r="Y54" s="20">
        <f t="array" aca="1" ref="Y54" ca="1">IFERROR(IF(W54&lt;&gt;0,ADDRESS(ROW(INDIRECT(W54)),
    COLUMN(INDIRECT(W54)) - 1 +
    MATCH(1,INDEX((LEN(INDIRECT("'シフト一覧（転載）'!"&amp;W54&amp;":AK100"))&gt;0)
            *(INDIRECT("'シフト一覧（転載）'!"&amp;W54&amp;":AK100")&lt;&gt;"休み"),
            1,0),0)+1,4),0),"")</f>
        <v>0</v>
      </c>
      <c r="Z54" s="20">
        <f t="array" aca="1" ref="Z54" ca="1">IFERROR(IF(Y54&lt;&gt;"",IF(Y54&lt;&gt;0,INDEX(
INDIRECT("'シフト一覧（転載）'!"&amp;Y54&amp;":AK100"),1,
MATCH(1,INDEX((LEN(INDIRECT("'シフト一覧（転載）'!"&amp;Y54&amp;":AK100"))&gt;0)
*(INDIRECT("'シフト一覧（転載）'!"&amp;Y54&amp;":AK100")&lt;&gt;"休み"),1,0),0)),0),""),$F$9&amp;"保育無し")</f>
        <v>0</v>
      </c>
      <c r="AA54" s="20">
        <f t="array" aca="1" ref="AA54" ca="1">IFERROR(IF(Y54&lt;&gt;0,ADDRESS(ROW(INDIRECT(Y54)),
    COLUMN(INDIRECT(Y54)) - 1 +
    MATCH(1,INDEX((LEN(INDIRECT("'シフト一覧（転載）'!"&amp;Y54&amp;":AK100"))&gt;0)
            *(INDIRECT("'シフト一覧（転載）'!"&amp;Y54&amp;":AK100")&lt;&gt;"休み"),
            1,0),0)+1,4),0),"")</f>
        <v>0</v>
      </c>
      <c r="AB54" s="20">
        <f t="array" aca="1" ref="AB54" ca="1">IFERROR(IF(AA54&lt;&gt;"",IF(AA54&lt;&gt;0,INDEX(
INDIRECT("'シフト一覧（転載）'!"&amp;AA54&amp;":AK100"),1,
MATCH(1,INDEX((LEN(INDIRECT("'シフト一覧（転載）'!"&amp;AA54&amp;":AK100"))&gt;0)
*(INDIRECT("'シフト一覧（転載）'!"&amp;AA54&amp;":AK100")&lt;&gt;"休み"),1,0),0)),0),""),$F$9&amp;"保育無し")</f>
        <v>0</v>
      </c>
      <c r="AC54" s="20">
        <f t="array" aca="1" ref="AC54" ca="1">IFERROR(IF(AA54&lt;&gt;0,ADDRESS(ROW(INDIRECT(AA54)),
    COLUMN(INDIRECT(AA54)) - 1 +
    MATCH(1,INDEX((LEN(INDIRECT("'シフト一覧（転載）'!"&amp;AA54&amp;":AK100"))&gt;0)
            *(INDIRECT("'シフト一覧（転載）'!"&amp;AA54&amp;":AK100")&lt;&gt;"休み"),
            1,0),0)+1,4),0),"")</f>
        <v>0</v>
      </c>
      <c r="AD54" s="20">
        <f t="array" aca="1" ref="AD54" ca="1">IFERROR(IF(AC54&lt;&gt;"",IF(AC54&lt;&gt;0,INDEX(
INDIRECT("'シフト一覧（転載）'!"&amp;AC54&amp;":AK100"),1,
MATCH(1,INDEX((LEN(INDIRECT("'シフト一覧（転載）'!"&amp;AC54&amp;":AK100"))&gt;0)
*(INDIRECT("'シフト一覧（転載）'!"&amp;AC54&amp;":AK100")&lt;&gt;"休み"),1,0),0)),0),""),$F$9&amp;"保育無し")</f>
        <v>0</v>
      </c>
      <c r="AE54" s="20">
        <f t="array" aca="1" ref="AE54" ca="1">IFERROR(IF(AC54&lt;&gt;0,ADDRESS(ROW(INDIRECT(AC54)),
    COLUMN(INDIRECT(AC54)) - 1 +
    MATCH(1,INDEX((LEN(INDIRECT("'シフト一覧（転載）'!"&amp;AC54&amp;":AK100"))&gt;0)
            *(INDIRECT("'シフト一覧（転載）'!"&amp;AC54&amp;":AK100")&lt;&gt;"休み"),
            1,0),0)+1,4),0),"")</f>
        <v>0</v>
      </c>
      <c r="AF54" s="20">
        <f t="array" aca="1" ref="AF54" ca="1">IFERROR(IF(AE54&lt;&gt;"",IF(AE54&lt;&gt;0,INDEX(
INDIRECT("'シフト一覧（転載）'!"&amp;AE54&amp;":AK100"),1,
MATCH(1,INDEX((LEN(INDIRECT("'シフト一覧（転載）'!"&amp;AE54&amp;":AK100"))&gt;0)
*(INDIRECT("'シフト一覧（転載）'!"&amp;AE54&amp;":AK100")&lt;&gt;"休み"),1,0),0)),0),""),$F$9&amp;"保育無し")</f>
        <v>0</v>
      </c>
      <c r="AG54" s="20">
        <f t="array" aca="1" ref="AG54" ca="1">IFERROR(IF(AE54&lt;&gt;0,ADDRESS(ROW(INDIRECT(AE54)),
    COLUMN(INDIRECT(AE54)) - 1 +
    MATCH(1,INDEX((LEN(INDIRECT("'シフト一覧（転載）'!"&amp;AE54&amp;":AK100"))&gt;0)
            *(INDIRECT("'シフト一覧（転載）'!"&amp;AE54&amp;":AK100")&lt;&gt;"休み"),
            1,0),0)+1,4),0),"")</f>
        <v>0</v>
      </c>
      <c r="AH54" s="20">
        <f t="array" aca="1" ref="AH54" ca="1">IFERROR(IF(AG54&lt;&gt;"",IF(AG54&lt;&gt;0,INDEX(
INDIRECT("'シフト一覧（転載）'!"&amp;AG54&amp;":AK100"),1,
MATCH(1,INDEX((LEN(INDIRECT("'シフト一覧（転載）'!"&amp;AG54&amp;":AK100"))&gt;0)
*(INDIRECT("'シフト一覧（転載）'!"&amp;AG54&amp;":AK100")&lt;&gt;"休み"),1,0),0)),0),""),$F$9&amp;"保育無し")</f>
        <v>0</v>
      </c>
      <c r="AI54" s="20">
        <f t="array" aca="1" ref="AI54" ca="1">IFERROR(IF(AG54&lt;&gt;0,ADDRESS(ROW(INDIRECT(AG54)),
    COLUMN(INDIRECT(AG54)) - 1 +
    MATCH(1,INDEX((LEN(INDIRECT("'シフト一覧（転載）'!"&amp;AG54&amp;":AK100"))&gt;0)
            *(INDIRECT("'シフト一覧（転載）'!"&amp;AG54&amp;":AK100")&lt;&gt;"休み"),
            1,0),0)+1,4),0),"")</f>
        <v>0</v>
      </c>
      <c r="AJ54" s="20">
        <f t="array" aca="1" ref="AJ54" ca="1">IFERROR(IF(AI54&lt;&gt;"",IF(AI54&lt;&gt;0,INDEX(
INDIRECT("'シフト一覧（転載）'!"&amp;AI54&amp;":AK100"),1,
MATCH(1,INDEX((LEN(INDIRECT("'シフト一覧（転載）'!"&amp;AI54&amp;":AK100"))&gt;0)
*(INDIRECT("'シフト一覧（転載）'!"&amp;AI54&amp;":AK100")&lt;&gt;"休み"),1,0),0)),0),""),$F$9&amp;"保育無し")</f>
        <v>0</v>
      </c>
      <c r="AK54" s="20">
        <f t="array" aca="1" ref="AK54" ca="1">IFERROR(IF(AI54&lt;&gt;0,ADDRESS(ROW(INDIRECT(AI54)),
    COLUMN(INDIRECT(AI54)) - 1 +
    MATCH(1,INDEX((LEN(INDIRECT("'シフト一覧（転載）'!"&amp;AI54&amp;":AK100"))&gt;0)
            *(INDIRECT("'シフト一覧（転載）'!"&amp;AI54&amp;":AK100")&lt;&gt;"休み"),
            1,0),0)+1,4),0),"")</f>
        <v>0</v>
      </c>
      <c r="AL54" s="20">
        <f t="array" aca="1" ref="AL54" ca="1">IFERROR(IF(AK54&lt;&gt;"",IF(AK54&lt;&gt;0,INDEX(
INDIRECT("'シフト一覧（転載）'!"&amp;AK54&amp;":AK100"),1,
MATCH(1,INDEX((LEN(INDIRECT("'シフト一覧（転載）'!"&amp;AK54&amp;":AK100"))&gt;0)
*(INDIRECT("'シフト一覧（転載）'!"&amp;AK54&amp;":AK100")&lt;&gt;"休み"),1,0),0)),0),""),$F$9&amp;"保育無し")</f>
        <v>0</v>
      </c>
      <c r="AM54" s="20">
        <f t="array" aca="1" ref="AM54" ca="1">IFERROR(IF(AK54&lt;&gt;0,ADDRESS(ROW(INDIRECT(AK54)),
    COLUMN(INDIRECT(AK54)) - 1 +
    MATCH(1,INDEX((LEN(INDIRECT("'シフト一覧（転載）'!"&amp;AK54&amp;":AK100"))&gt;0)
            *(INDIRECT("'シフト一覧（転載）'!"&amp;AK54&amp;":AK100")&lt;&gt;"休み"),
            1,0),0)+1,4),0),"")</f>
        <v>0</v>
      </c>
      <c r="AN54" s="20">
        <f t="array" aca="1" ref="AN54" ca="1">IFERROR(IF(AM54&lt;&gt;"",IF(AM54&lt;&gt;0,INDEX(
INDIRECT("'シフト一覧（転載）'!"&amp;AM54&amp;":AK100"),1,
MATCH(1,INDEX((LEN(INDIRECT("'シフト一覧（転載）'!"&amp;AM54&amp;":AK100"))&gt;0)
*(INDIRECT("'シフト一覧（転載）'!"&amp;AM54&amp;":AK100")&lt;&gt;"休み"),1,0),0)),0),""),$F$9&amp;"保育無し")</f>
        <v>0</v>
      </c>
      <c r="AO54" s="20">
        <f t="array" aca="1" ref="AO54" ca="1">IFERROR(IF(AM54&lt;&gt;0,ADDRESS(ROW(INDIRECT(AM54)),
    COLUMN(INDIRECT(AM54)) - 1 +
    MATCH(1,INDEX((LEN(INDIRECT("'シフト一覧（転載）'!"&amp;AM54&amp;":AK100"))&gt;0)
            *(INDIRECT("'シフト一覧（転載）'!"&amp;AM54&amp;":AK100")&lt;&gt;"休み"),
            1,0),0)+1,4),0),"")</f>
        <v>0</v>
      </c>
      <c r="AP54" s="20">
        <f t="array" aca="1" ref="AP54" ca="1">IFERROR(IF(AO54&lt;&gt;"",IF(AO54&lt;&gt;0,INDEX(
INDIRECT("'シフト一覧（転載）'!"&amp;AO54&amp;":AK100"),1,
MATCH(1,INDEX((LEN(INDIRECT("'シフト一覧（転載）'!"&amp;AO54&amp;":AK100"))&gt;0)
*(INDIRECT("'シフト一覧（転載）'!"&amp;AO54&amp;":AK100")&lt;&gt;"休み"),1,0),0)),0),""),$F$9&amp;"保育無し")</f>
        <v>0</v>
      </c>
      <c r="AQ54" s="20">
        <f t="array" aca="1" ref="AQ54" ca="1">IFERROR(IF(AO54&lt;&gt;0,ADDRESS(ROW(INDIRECT(AO54)),
    COLUMN(INDIRECT(AO54)) - 1 +
    MATCH(1,INDEX((LEN(INDIRECT("'シフト一覧（転載）'!"&amp;AO54&amp;":AK100"))&gt;0)
            *(INDIRECT("'シフト一覧（転載）'!"&amp;AO54&amp;":AK100")&lt;&gt;"休み"),
            1,0),0)+1,4),0),"")</f>
        <v>0</v>
      </c>
      <c r="AR54" s="20">
        <f t="array" aca="1" ref="AR54" ca="1">IFERROR(IF(AQ54&lt;&gt;"",IF(AQ54&lt;&gt;0,INDEX(
INDIRECT("'シフト一覧（転載）'!"&amp;AQ54&amp;":AK100"),1,
MATCH(1,INDEX((LEN(INDIRECT("'シフト一覧（転載）'!"&amp;AQ54&amp;":AK100"))&gt;0)
*(INDIRECT("'シフト一覧（転載）'!"&amp;AQ54&amp;":AK100")&lt;&gt;"休み"),1,0),0)),0),""),$F$9&amp;"保育無し")</f>
        <v>0</v>
      </c>
      <c r="AS54" s="20">
        <f t="array" aca="1" ref="AS54" ca="1">IFERROR(IF(AQ54&lt;&gt;0,ADDRESS(ROW(INDIRECT(AQ54)),
    COLUMN(INDIRECT(AQ54)) - 1 +
    MATCH(1,INDEX((LEN(INDIRECT("'シフト一覧（転載）'!"&amp;AQ54&amp;":AK100"))&gt;0)
            *(INDIRECT("'シフト一覧（転載）'!"&amp;AQ54&amp;":AK100")&lt;&gt;"休み"),
            1,0),0)+1,4),0),"")</f>
        <v>0</v>
      </c>
      <c r="AT54" s="20">
        <f t="array" aca="1" ref="AT54" ca="1">IFERROR(IF(AS54&lt;&gt;"",IF(AS54&lt;&gt;0,INDEX(
INDIRECT("'シフト一覧（転載）'!"&amp;AS54&amp;":AK100"),1,
MATCH(1,INDEX((LEN(INDIRECT("'シフト一覧（転載）'!"&amp;AS54&amp;":AK100"))&gt;0)
*(INDIRECT("'シフト一覧（転載）'!"&amp;AS54&amp;":AK100")&lt;&gt;"休み"),1,0),0)),0),""),$F$9&amp;"保育無し")</f>
        <v>0</v>
      </c>
      <c r="AU54" s="20">
        <f t="array" aca="1" ref="AU54" ca="1">IFERROR(IF(AS54&lt;&gt;0,ADDRESS(ROW(INDIRECT(AS54)),
    COLUMN(INDIRECT(AS54)) - 1 +
    MATCH(1,INDEX((LEN(INDIRECT("'シフト一覧（転載）'!"&amp;AS54&amp;":AK100"))&gt;0)
            *(INDIRECT("'シフト一覧（転載）'!"&amp;AS54&amp;":AK100")&lt;&gt;"休み"),
            1,0),0)+1,4),0),"")</f>
        <v>0</v>
      </c>
      <c r="AV54" s="20">
        <f t="array" aca="1" ref="AV54" ca="1">IFERROR(IF(AU54&lt;&gt;"",IF(AU54&lt;&gt;0,INDEX(
INDIRECT("'シフト一覧（転載）'!"&amp;AU54&amp;":AK100"),1,
MATCH(1,INDEX((LEN(INDIRECT("'シフト一覧（転載）'!"&amp;AU54&amp;":AK100"))&gt;0)
*(INDIRECT("'シフト一覧（転載）'!"&amp;AU54&amp;":AK100")&lt;&gt;"休み"),1,0),0)),0),""),$F$9&amp;"保育無し")</f>
        <v>0</v>
      </c>
      <c r="AW54" s="20">
        <f t="array" aca="1" ref="AW54" ca="1">IFERROR(IF(AU54&lt;&gt;0,ADDRESS(ROW(INDIRECT(AU54)),
    COLUMN(INDIRECT(AU54)) - 1 +
    MATCH(1,INDEX((LEN(INDIRECT("'シフト一覧（転載）'!"&amp;AU54&amp;":AK100"))&gt;0)
            *(INDIRECT("'シフト一覧（転載）'!"&amp;AU54&amp;":AK100")&lt;&gt;"休み"),
            1,0),0)+1,4),0),"")</f>
        <v>0</v>
      </c>
      <c r="AX54" s="20">
        <f t="array" aca="1" ref="AX54" ca="1">IFERROR(IF(AW54&lt;&gt;"",IF(AW54&lt;&gt;0,INDEX(
INDIRECT("'シフト一覧（転載）'!"&amp;AW54&amp;":AK100"),1,
MATCH(1,INDEX((LEN(INDIRECT("'シフト一覧（転載）'!"&amp;AW54&amp;":AK100"))&gt;0)
*(INDIRECT("'シフト一覧（転載）'!"&amp;AW54&amp;":AK100")&lt;&gt;"休み"),1,0),0)),0),""),$F$9&amp;"保育無し")</f>
        <v>0</v>
      </c>
      <c r="AY54" s="20">
        <f t="array" aca="1" ref="AY54" ca="1">IFERROR(IF(AW54&lt;&gt;0,ADDRESS(ROW(INDIRECT(AW54)),
    COLUMN(INDIRECT(AW54)) - 1 +
    MATCH(1,INDEX((LEN(INDIRECT("'シフト一覧（転載）'!"&amp;AW54&amp;":AK100"))&gt;0)
            *(INDIRECT("'シフト一覧（転載）'!"&amp;AW54&amp;":AK100")&lt;&gt;"休み"),
            1,0),0)+1,4),0),"")</f>
        <v>0</v>
      </c>
      <c r="AZ54" s="20">
        <f t="array" aca="1" ref="AZ54" ca="1">IFERROR(IF(AY54&lt;&gt;"",IF(AY54&lt;&gt;0,INDEX(
INDIRECT("'シフト一覧（転載）'!"&amp;AY54&amp;":AK100"),1,
MATCH(1,INDEX((LEN(INDIRECT("'シフト一覧（転載）'!"&amp;AY54&amp;":AK100"))&gt;0)
*(INDIRECT("'シフト一覧（転載）'!"&amp;AY54&amp;":AK100")&lt;&gt;"休み"),1,0),0)),0),""),$F$9&amp;"保育無し")</f>
        <v>0</v>
      </c>
      <c r="BA54" s="20">
        <f t="array" aca="1" ref="BA54" ca="1">IFERROR(IF(AY54&lt;&gt;0,ADDRESS(ROW(INDIRECT(AY54)),
    COLUMN(INDIRECT(AY54)) - 1 +
    MATCH(1,INDEX((LEN(INDIRECT("'シフト一覧（転載）'!"&amp;AY54&amp;":AK100"))&gt;0)
            *(INDIRECT("'シフト一覧（転載）'!"&amp;AY54&amp;":AK100")&lt;&gt;"休み"),
            1,0),0)+1,4),0),"")</f>
        <v>0</v>
      </c>
      <c r="BB54" s="20">
        <f t="array" aca="1" ref="BB54" ca="1">IFERROR(IF(BA54&lt;&gt;"",IF(BA54&lt;&gt;0,INDEX(
INDIRECT("'シフト一覧（転載）'!"&amp;BA54&amp;":AK100"),1,
MATCH(1,INDEX((LEN(INDIRECT("'シフト一覧（転載）'!"&amp;BA54&amp;":AK100"))&gt;0)
*(INDIRECT("'シフト一覧（転載）'!"&amp;BA54&amp;":AK100")&lt;&gt;"休み"),1,0),0)),0),""),$F$9&amp;"保育無し")</f>
        <v>0</v>
      </c>
      <c r="BC54" s="20">
        <f t="array" aca="1" ref="BC54" ca="1">IFERROR(IF(BA54&lt;&gt;0,ADDRESS(ROW(INDIRECT(BA54)),
    COLUMN(INDIRECT(BA54)) - 1 +
    MATCH(1,INDEX((LEN(INDIRECT("'シフト一覧（転載）'!"&amp;BA54&amp;":AK100"))&gt;0)
            *(INDIRECT("'シフト一覧（転載）'!"&amp;BA54&amp;":AK100")&lt;&gt;"休み"),
            1,0),0)+1,4),0),"")</f>
        <v>0</v>
      </c>
      <c r="BD54" s="20">
        <f t="array" aca="1" ref="BD54" ca="1">IFERROR(IF(BC54&lt;&gt;"",IF(BC54&lt;&gt;0,INDEX(
INDIRECT("'シフト一覧（転載）'!"&amp;BC54&amp;":AK100"),1,
MATCH(1,INDEX((LEN(INDIRECT("'シフト一覧（転載）'!"&amp;BC54&amp;":AK100"))&gt;0)
*(INDIRECT("'シフト一覧（転載）'!"&amp;BC54&amp;":AK100")&lt;&gt;"休み"),1,0),0)),0),""),$F$9&amp;"保育無し")</f>
        <v>0</v>
      </c>
      <c r="BE54" s="20">
        <f t="array" aca="1" ref="BE54" ca="1">IFERROR(IF(BC54&lt;&gt;0,ADDRESS(ROW(INDIRECT(BC54)),
    COLUMN(INDIRECT(BC54)) - 1 +
    MATCH(1,INDEX((LEN(INDIRECT("'シフト一覧（転載）'!"&amp;BC54&amp;":AK100"))&gt;0)
            *(INDIRECT("'シフト一覧（転載）'!"&amp;BC54&amp;":AK100")&lt;&gt;"休み"),
            1,0),0)+1,4),0),"")</f>
        <v>0</v>
      </c>
      <c r="BF54" s="20">
        <f t="array" aca="1" ref="BF54" ca="1">IFERROR(IF(BE54&lt;&gt;"",IF(BE54&lt;&gt;0,INDEX(
INDIRECT("'シフト一覧（転載）'!"&amp;BE54&amp;":AK100"),1,
MATCH(1,INDEX((LEN(INDIRECT("'シフト一覧（転載）'!"&amp;BE54&amp;":AK100"))&gt;0)
*(INDIRECT("'シフト一覧（転載）'!"&amp;BE54&amp;":AK100")&lt;&gt;"休み"),1,0),0)),0),""),$F$9&amp;"保育無し")</f>
        <v>0</v>
      </c>
      <c r="BG54" s="20">
        <f t="array" aca="1" ref="BG54" ca="1">IFERROR(IF(BE54&lt;&gt;0,ADDRESS(ROW(INDIRECT(BE54)),
    COLUMN(INDIRECT(BE54)) - 1 +
    MATCH(1,INDEX((LEN(INDIRECT("'シフト一覧（転載）'!"&amp;BE54&amp;":AK100"))&gt;0)
            *(INDIRECT("'シフト一覧（転載）'!"&amp;BE54&amp;":AK100")&lt;&gt;"休み"),
            1,0),0)+1,4),0),"")</f>
        <v>0</v>
      </c>
      <c r="BH54" s="20">
        <f t="array" aca="1" ref="BH54" ca="1">IFERROR(IF(BG54&lt;&gt;"",IF(BG54&lt;&gt;0,INDEX(
INDIRECT("'シフト一覧（転載）'!"&amp;BG54&amp;":AK100"),1,
MATCH(1,INDEX((LEN(INDIRECT("'シフト一覧（転載）'!"&amp;BG54&amp;":AK100"))&gt;0)
*(INDIRECT("'シフト一覧（転載）'!"&amp;BG54&amp;":AK100")&lt;&gt;"休み"),1,0),0)),0),""),$F$9&amp;"保育無し")</f>
        <v>0</v>
      </c>
      <c r="BI54" s="20">
        <f t="array" aca="1" ref="BI54" ca="1">IFERROR(IF(BG54&lt;&gt;0,ADDRESS(ROW(INDIRECT(BG54)),
    COLUMN(INDIRECT(BG54)) - 1 +
    MATCH(1,INDEX((LEN(INDIRECT("'シフト一覧（転載）'!"&amp;BG54&amp;":AK100"))&gt;0)
            *(INDIRECT("'シフト一覧（転載）'!"&amp;BG54&amp;":AK100")&lt;&gt;"休み"),
            1,0),0)+1,4),0),"")</f>
        <v>0</v>
      </c>
      <c r="BJ54" s="20">
        <f t="array" aca="1" ref="BJ54" ca="1">IFERROR(IF(BI54&lt;&gt;"",IF(BI54&lt;&gt;0,INDEX(
INDIRECT("'シフト一覧（転載）'!"&amp;BI54&amp;":AK100"),1,
MATCH(1,INDEX((LEN(INDIRECT("'シフト一覧（転載）'!"&amp;BI54&amp;":AK100"))&gt;0)
*(INDIRECT("'シフト一覧（転載）'!"&amp;BI54&amp;":AK100")&lt;&gt;"休み"),1,0),0)),0),""),$F$9&amp;"保育無し")</f>
        <v>0</v>
      </c>
      <c r="BK54" s="20">
        <f t="array" aca="1" ref="BK54" ca="1">IFERROR(IF(BI54&lt;&gt;0,ADDRESS(ROW(INDIRECT(BI54)),
    COLUMN(INDIRECT(BI54)) - 1 +
    MATCH(1,INDEX((LEN(INDIRECT("'シフト一覧（転載）'!"&amp;BI54&amp;":AK100"))&gt;0)
            *(INDIRECT("'シフト一覧（転載）'!"&amp;BI54&amp;":AK100")&lt;&gt;"休み"),
            1,0),0)+1,4),0),"")</f>
        <v>0</v>
      </c>
      <c r="BL54" s="20">
        <f t="array" aca="1" ref="BL54" ca="1">IFERROR(IF(BK54&lt;&gt;"",IF(BK54&lt;&gt;0,INDEX(
INDIRECT("'シフト一覧（転載）'!"&amp;BK54&amp;":AK100"),1,
MATCH(1,INDEX((LEN(INDIRECT("'シフト一覧（転載）'!"&amp;BK54&amp;":AK100"))&gt;0)
*(INDIRECT("'シフト一覧（転載）'!"&amp;BK54&amp;":AK100")&lt;&gt;"休み"),1,0),0)),0),""),$F$9&amp;"保育無し")</f>
        <v>0</v>
      </c>
      <c r="BM54" s="20">
        <f t="array" aca="1" ref="BM54" ca="1">IFERROR(IF(BK54&lt;&gt;0,ADDRESS(ROW(INDIRECT(BK54)),
    COLUMN(INDIRECT(BK54)) - 1 +
    MATCH(1,INDEX((LEN(INDIRECT("'シフト一覧（転載）'!"&amp;BK54&amp;":AK100"))&gt;0)
            *(INDIRECT("'シフト一覧（転載）'!"&amp;BK54&amp;":AK100")&lt;&gt;"休み"),
            1,0),0)+1,4),0),"")</f>
        <v>0</v>
      </c>
      <c r="BN54" s="20">
        <f t="array" aca="1" ref="BN54" ca="1">IFERROR(IF(BM54&lt;&gt;"",IF(BM54&lt;&gt;0,INDEX(
INDIRECT("'シフト一覧（転載）'!"&amp;BM54&amp;":AK100"),1,
MATCH(1,INDEX((LEN(INDIRECT("'シフト一覧（転載）'!"&amp;BM54&amp;":AK100"))&gt;0)
*(INDIRECT("'シフト一覧（転載）'!"&amp;BM54&amp;":AK100")&lt;&gt;"休み"),1,0),0)),0),""),$F$9&amp;"保育無し")</f>
        <v>0</v>
      </c>
      <c r="BO54" s="20">
        <f t="array" aca="1" ref="BO54" ca="1">IFERROR(IF(BM54&lt;&gt;0,ADDRESS(ROW(INDIRECT(BM54)),
    COLUMN(INDIRECT(BM54)) - 1 +
    MATCH(1,INDEX((LEN(INDIRECT("'シフト一覧（転載）'!"&amp;BM54&amp;":AK100"))&gt;0)
            *(INDIRECT("'シフト一覧（転載）'!"&amp;BM54&amp;":AK100")&lt;&gt;"休み"),
            1,0),0)+1,4),0),"")</f>
        <v>0</v>
      </c>
      <c r="BP54" s="20">
        <f t="array" aca="1" ref="BP54" ca="1">IFERROR(IF(BO54&lt;&gt;"",IF(BO54&lt;&gt;0,INDEX(
INDIRECT("'シフト一覧（転載）'!"&amp;BO54&amp;":AK100"),1,
MATCH(1,INDEX((LEN(INDIRECT("'シフト一覧（転載）'!"&amp;BO54&amp;":AK100"))&gt;0)
*(INDIRECT("'シフト一覧（転載）'!"&amp;BO54&amp;":AK100")&lt;&gt;"休み"),1,0),0)),0),""),$F$9&amp;"保育無し")</f>
        <v>0</v>
      </c>
      <c r="BQ54" s="20">
        <f t="array" aca="1" ref="BQ54" ca="1">IFERROR(IF(BO54&lt;&gt;0,ADDRESS(ROW(INDIRECT(BO54)),
    COLUMN(INDIRECT(BO54)) - 1 +
    MATCH(1,INDEX((LEN(INDIRECT("'シフト一覧（転載）'!"&amp;BO54&amp;":AK100"))&gt;0)
            *(INDIRECT("'シフト一覧（転載）'!"&amp;BO54&amp;":AK100")&lt;&gt;"休み"),
            1,0),0)+1,4),0),"")</f>
        <v>0</v>
      </c>
      <c r="BR54" s="20">
        <f t="array" aca="1" ref="BR54" ca="1">IFERROR(IF(BQ54&lt;&gt;"",IF(BQ54&lt;&gt;0,INDEX(
INDIRECT("'シフト一覧（転載）'!"&amp;BQ54&amp;":AK100"),1,
MATCH(1,INDEX((LEN(INDIRECT("'シフト一覧（転載）'!"&amp;BQ54&amp;":AK100"))&gt;0)
*(INDIRECT("'シフト一覧（転載）'!"&amp;BQ54&amp;":AK100")&lt;&gt;"休み"),1,0),0)),0),""),$F$9&amp;"保育無し")</f>
        <v>0</v>
      </c>
      <c r="BS54" s="20">
        <f t="array" aca="1" ref="BS54" ca="1">IFERROR(IF(BQ54&lt;&gt;0,ADDRESS(ROW(INDIRECT(BQ54)),
    COLUMN(INDIRECT(BQ54)) - 1 +
    MATCH(1,INDEX((LEN(INDIRECT("'シフト一覧（転載）'!"&amp;BQ54&amp;":AK100"))&gt;0)
            *(INDIRECT("'シフト一覧（転載）'!"&amp;BQ54&amp;":AK100")&lt;&gt;"休み"),
            1,0),0)+1,4),0),"")</f>
        <v>0</v>
      </c>
      <c r="BT54" s="20">
        <f t="array" aca="1" ref="BT54" ca="1">IFERROR(IF(BS54&lt;&gt;"",IF(BS54&lt;&gt;0,INDEX(
INDIRECT("'シフト一覧（転載）'!"&amp;BS54&amp;":AK100"),1,
MATCH(1,INDEX((LEN(INDIRECT("'シフト一覧（転載）'!"&amp;BS54&amp;":AK100"))&gt;0)
*(INDIRECT("'シフト一覧（転載）'!"&amp;BS54&amp;":AK100")&lt;&gt;"休み"),1,0),0)),0),""),$F$9&amp;"保育無し")</f>
        <v>0</v>
      </c>
      <c r="BU54" s="20">
        <f t="array" aca="1" ref="BU54" ca="1">IFERROR(IF(BS54&lt;&gt;0,ADDRESS(ROW(INDIRECT(BS54)),
    COLUMN(INDIRECT(BS54)) - 1 +
    MATCH(1,INDEX((LEN(INDIRECT("'シフト一覧（転載）'!"&amp;BS54&amp;":AK100"))&gt;0)
            *(INDIRECT("'シフト一覧（転載）'!"&amp;BS54&amp;":AK100")&lt;&gt;"休み"),
            1,0),0)+1,4),0),"")</f>
        <v>0</v>
      </c>
      <c r="BV54" s="20">
        <f t="array" aca="1" ref="BV54" ca="1">IFERROR(IF(BU54&lt;&gt;"",IF(BU54&lt;&gt;0,INDEX(
INDIRECT("'シフト一覧（転載）'!"&amp;BU54&amp;":AK100"),1,
MATCH(1,INDEX((LEN(INDIRECT("'シフト一覧（転載）'!"&amp;BU54&amp;":AK100"))&gt;0)
*(INDIRECT("'シフト一覧（転載）'!"&amp;BU54&amp;":AK100")&lt;&gt;"休み"),1,0),0)),0),""),$F$9&amp;"保育無し")</f>
        <v>0</v>
      </c>
      <c r="BW54" s="20">
        <f t="array" aca="1" ref="BW54" ca="1">IFERROR(IF(BU54&lt;&gt;0,ADDRESS(ROW(INDIRECT(BU54)),
    COLUMN(INDIRECT(BU54)) - 1 +
    MATCH(1,INDEX((LEN(INDIRECT("'シフト一覧（転載）'!"&amp;BU54&amp;":AK100"))&gt;0)
            *(INDIRECT("'シフト一覧（転載）'!"&amp;BU54&amp;":AK100")&lt;&gt;"休み"),
            1,0),0)+1,4),0),"")</f>
        <v>0</v>
      </c>
      <c r="BX54" s="20">
        <f t="array" aca="1" ref="BX54" ca="1">IFERROR(IF(BW54&lt;&gt;"",IF(BW54&lt;&gt;0,INDEX(
INDIRECT("'シフト一覧（転載）'!"&amp;BW54&amp;":AK100"),1,
MATCH(1,INDEX((LEN(INDIRECT("'シフト一覧（転載）'!"&amp;BW54&amp;":AK100"))&gt;0)
*(INDIRECT("'シフト一覧（転載）'!"&amp;BW54&amp;":AK100")&lt;&gt;"休み"),1,0),0)),0),""),$F$9&amp;"保育無し")</f>
        <v>0</v>
      </c>
      <c r="BY54" s="20">
        <f t="array" aca="1" ref="BY54" ca="1">IFERROR(IF(BW54&lt;&gt;0,ADDRESS(ROW(INDIRECT(BW54)),
    COLUMN(INDIRECT(BW54)) - 1 +
    MATCH(1,INDEX((LEN(INDIRECT("'シフト一覧（転載）'!"&amp;BW54&amp;":AK100"))&gt;0)
            *(INDIRECT("'シフト一覧（転載）'!"&amp;BW54&amp;":AK100")&lt;&gt;"休み"),
            1,0),0)+1,4),0),"")</f>
        <v>0</v>
      </c>
    </row>
    <row r="55" spans="13:77" ht="19.8" customHeight="1" x14ac:dyDescent="0.2">
      <c r="M55" s="104"/>
      <c r="N55" s="102"/>
      <c r="O55" s="107"/>
      <c r="P55" s="21">
        <f t="array" aca="1" ref="P55" ca="1">IFERROR(IF(M54&lt;&gt;"",INDEX('シフト一覧（転載）'!$F$8:$AK$100,
    MATCH(1,(ISNUMBER(SEARCH(M54,'シフト一覧（転載）'!$A$8:$A$100)))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MATCH(1,(ISNUMBER(SEARCH(M54,'シフト一覧（転載）'!$A$8:$A$100)))
                *(ISNUMBER(SEARCH($F$9,'シフト一覧（転載）'!$B$8:$B$100))),
                0),0),0)),0),"")</f>
        <v>0</v>
      </c>
      <c r="Q55" s="21">
        <f ca="1">IF(P54=0,0,
IF(OR(P54="",COUNTIF(P54,"*保育無し*")),"",
IF(MOD(P55-P54,1)*24&gt;=8,1,
IF(MOD(P55-P54,1)*24&gt;=6,0.75,0))))</f>
        <v>0</v>
      </c>
      <c r="R55" s="21">
        <f t="array" aca="1" ref="R55" ca="1">IFERROR(IF(Q54&lt;&gt;0,INDEX(
INDIRECT("'シフト一覧（転載）'!"&amp;Q54&amp;":AK100"),1+1,
MATCH(1,INDEX((LEN(INDIRECT("'シフト一覧（転載）'!"&amp;Q54&amp;":AK100"))&gt;0)
*(INDIRECT("'シフト一覧（転載）'!"&amp;Q54&amp;":AK100")&lt;&gt;"休み"),1,0),0)),0),"")</f>
        <v>0</v>
      </c>
      <c r="S55" s="21">
        <f ca="1">IF(R54=0,0,
IF(OR(R54="",COUNTIF(R54,"*保育無し*")),"",
IF(MOD(R55-R54,1)*24&gt;=8,1,
IF(MOD(R55-R54,1)*24&gt;=6,0.75,0))))</f>
        <v>0</v>
      </c>
      <c r="T55" s="21">
        <f t="array" aca="1" ref="T55" ca="1">IFERROR(IF(S54&lt;&gt;0,INDEX(
INDIRECT("'シフト一覧（転載）'!"&amp;S54&amp;":AK100"),1+1,
MATCH(1,INDEX((LEN(INDIRECT("'シフト一覧（転載）'!"&amp;S54&amp;":AK100"))&gt;0)
*(INDIRECT("'シフト一覧（転載）'!"&amp;S54&amp;":AK100")&lt;&gt;"休み"),1,0),0)),0),"")</f>
        <v>0</v>
      </c>
      <c r="U55" s="21">
        <f ca="1">IF(T54=0,0,
IF(OR(T54="",COUNTIF(T54,"*保育無し*")),"",
IF(MOD(T55-T54,1)*24&gt;=8,1,
IF(MOD(T55-T54,1)*24&gt;=6,0.75,0))))</f>
        <v>0</v>
      </c>
      <c r="V55" s="21">
        <f t="array" aca="1" ref="V55" ca="1">IFERROR(IF(U54&lt;&gt;0,INDEX(
INDIRECT("'シフト一覧（転載）'!"&amp;U54&amp;":AK100"),1+1,
MATCH(1,INDEX((LEN(INDIRECT("'シフト一覧（転載）'!"&amp;U54&amp;":AK100"))&gt;0)
*(INDIRECT("'シフト一覧（転載）'!"&amp;U54&amp;":AK100")&lt;&gt;"休み"),1,0),0)),0),"")</f>
        <v>0</v>
      </c>
      <c r="W55" s="21">
        <f ca="1">IF(V54=0,0,
IF(OR(V54="",COUNTIF(V54,"*保育無し*")),"",
IF(MOD(V55-V54,1)*24&gt;=8,1,
IF(MOD(V55-V54,1)*24&gt;=6,0.75,0))))</f>
        <v>0</v>
      </c>
      <c r="X55" s="21">
        <f t="array" aca="1" ref="X55" ca="1">IFERROR(IF(W54&lt;&gt;0,INDEX(
INDIRECT("'シフト一覧（転載）'!"&amp;W54&amp;":AK100"),1+1,
MATCH(1,INDEX((LEN(INDIRECT("'シフト一覧（転載）'!"&amp;W54&amp;":AK100"))&gt;0)
*(INDIRECT("'シフト一覧（転載）'!"&amp;W54&amp;":AK100")&lt;&gt;"休み"),1,0),0)),0),"")</f>
        <v>0</v>
      </c>
      <c r="Y55" s="21">
        <f ca="1">IF(X54=0,0,
IF(OR(X54="",COUNTIF(X54,"*保育無し*")),"",
IF(MOD(X55-X54,1)*24&gt;=8,1,
IF(MOD(X55-X54,1)*24&gt;=6,0.75,0))))</f>
        <v>0</v>
      </c>
      <c r="Z55" s="21">
        <f t="array" aca="1" ref="Z55" ca="1">IFERROR(IF(Y54&lt;&gt;0,INDEX(
INDIRECT("'シフト一覧（転載）'!"&amp;Y54&amp;":AK100"),1+1,
MATCH(1,INDEX((LEN(INDIRECT("'シフト一覧（転載）'!"&amp;Y54&amp;":AK100"))&gt;0)
*(INDIRECT("'シフト一覧（転載）'!"&amp;Y54&amp;":AK100")&lt;&gt;"休み"),1,0),0)),0),"")</f>
        <v>0</v>
      </c>
      <c r="AA55" s="21">
        <f ca="1">IF(Z54=0,0,
IF(OR(Z54="",COUNTIF(Z54,"*保育無し*")),"",
IF(MOD(Z55-Z54,1)*24&gt;=8,1,
IF(MOD(Z55-Z54,1)*24&gt;=6,0.75,0))))</f>
        <v>0</v>
      </c>
      <c r="AB55" s="21">
        <f t="array" aca="1" ref="AB55" ca="1">IFERROR(IF(AA54&lt;&gt;0,INDEX(
INDIRECT("'シフト一覧（転載）'!"&amp;AA54&amp;":AK100"),1+1,
MATCH(1,INDEX((LEN(INDIRECT("'シフト一覧（転載）'!"&amp;AA54&amp;":AK100"))&gt;0)
*(INDIRECT("'シフト一覧（転載）'!"&amp;AA54&amp;":AK100")&lt;&gt;"休み"),1,0),0)),0),"")</f>
        <v>0</v>
      </c>
      <c r="AC55" s="21">
        <f ca="1">IF(AB54=0,0,
IF(OR(AB54="",COUNTIF(AB54,"*保育無し*")),"",
IF(MOD(AB55-AB54,1)*24&gt;=8,1,
IF(MOD(AB55-AB54,1)*24&gt;=6,0.75,0))))</f>
        <v>0</v>
      </c>
      <c r="AD55" s="21">
        <f t="array" aca="1" ref="AD55" ca="1">IFERROR(IF(AC54&lt;&gt;0,INDEX(
INDIRECT("'シフト一覧（転載）'!"&amp;AC54&amp;":AK100"),1+1,
MATCH(1,INDEX((LEN(INDIRECT("'シフト一覧（転載）'!"&amp;AC54&amp;":AK100"))&gt;0)
*(INDIRECT("'シフト一覧（転載）'!"&amp;AC54&amp;":AK100")&lt;&gt;"休み"),1,0),0)),0),"")</f>
        <v>0</v>
      </c>
      <c r="AE55" s="21">
        <f ca="1">IF(AD54=0,0,
IF(OR(AD54="",COUNTIF(AD54,"*保育無し*")),"",
IF(MOD(AD55-AD54,1)*24&gt;=8,1,
IF(MOD(AD55-AD54,1)*24&gt;=6,0.75,0))))</f>
        <v>0</v>
      </c>
      <c r="AF55" s="21">
        <f t="array" aca="1" ref="AF55" ca="1">IFERROR(IF(AE54&lt;&gt;0,INDEX(
INDIRECT("'シフト一覧（転載）'!"&amp;AE54&amp;":AK100"),1+1,
MATCH(1,INDEX((LEN(INDIRECT("'シフト一覧（転載）'!"&amp;AE54&amp;":AK100"))&gt;0)
*(INDIRECT("'シフト一覧（転載）'!"&amp;AE54&amp;":AK100")&lt;&gt;"休み"),1,0),0)),0),"")</f>
        <v>0</v>
      </c>
      <c r="AG55" s="21">
        <f ca="1">IF(AF54=0,0,
IF(OR(AF54="",COUNTIF(AF54,"*保育無し*")),"",
IF(MOD(AF55-AF54,1)*24&gt;=8,1,
IF(MOD(AF55-AF54,1)*24&gt;=6,0.75,0))))</f>
        <v>0</v>
      </c>
      <c r="AH55" s="21">
        <f t="array" aca="1" ref="AH55" ca="1">IFERROR(IF(AG54&lt;&gt;0,INDEX(
INDIRECT("'シフト一覧（転載）'!"&amp;AG54&amp;":AK100"),1+1,
MATCH(1,INDEX((LEN(INDIRECT("'シフト一覧（転載）'!"&amp;AG54&amp;":AK100"))&gt;0)
*(INDIRECT("'シフト一覧（転載）'!"&amp;AG54&amp;":AK100")&lt;&gt;"休み"),1,0),0)),0),"")</f>
        <v>0</v>
      </c>
      <c r="AI55" s="21">
        <f ca="1">IF(AH54=0,0,
IF(OR(AH54="",COUNTIF(AH54,"*保育無し*")),"",
IF(MOD(AH55-AH54,1)*24&gt;=8,1,
IF(MOD(AH55-AH54,1)*24&gt;=6,0.75,0))))</f>
        <v>0</v>
      </c>
      <c r="AJ55" s="21">
        <f t="array" aca="1" ref="AJ55" ca="1">IFERROR(IF(AI54&lt;&gt;0,INDEX(
INDIRECT("'シフト一覧（転載）'!"&amp;AI54&amp;":AK100"),1+1,
MATCH(1,INDEX((LEN(INDIRECT("'シフト一覧（転載）'!"&amp;AI54&amp;":AK100"))&gt;0)
*(INDIRECT("'シフト一覧（転載）'!"&amp;AI54&amp;":AK100")&lt;&gt;"休み"),1,0),0)),0),"")</f>
        <v>0</v>
      </c>
      <c r="AK55" s="21">
        <f ca="1">IF(AJ54=0,0,
IF(OR(AJ54="",COUNTIF(AJ54,"*保育無し*")),"",
IF(MOD(AJ55-AJ54,1)*24&gt;=8,1,
IF(MOD(AJ55-AJ54,1)*24&gt;=6,0.75,0))))</f>
        <v>0</v>
      </c>
      <c r="AL55" s="21">
        <f t="array" aca="1" ref="AL55" ca="1">IFERROR(IF(AK54&lt;&gt;0,INDEX(
INDIRECT("'シフト一覧（転載）'!"&amp;AK54&amp;":AK100"),1+1,
MATCH(1,INDEX((LEN(INDIRECT("'シフト一覧（転載）'!"&amp;AK54&amp;":AK100"))&gt;0)
*(INDIRECT("'シフト一覧（転載）'!"&amp;AK54&amp;":AK100")&lt;&gt;"休み"),1,0),0)),0),"")</f>
        <v>0</v>
      </c>
      <c r="AM55" s="21">
        <f ca="1">IF(AL54=0,0,
IF(OR(AL54="",COUNTIF(AL54,"*保育無し*")),"",
IF(MOD(AL55-AL54,1)*24&gt;=8,1,
IF(MOD(AL55-AL54,1)*24&gt;=6,0.75,0))))</f>
        <v>0</v>
      </c>
      <c r="AN55" s="21">
        <f t="array" aca="1" ref="AN55" ca="1">IFERROR(IF(AM54&lt;&gt;0,INDEX(
INDIRECT("'シフト一覧（転載）'!"&amp;AM54&amp;":AK100"),1+1,
MATCH(1,INDEX((LEN(INDIRECT("'シフト一覧（転載）'!"&amp;AM54&amp;":AK100"))&gt;0)
*(INDIRECT("'シフト一覧（転載）'!"&amp;AM54&amp;":AK100")&lt;&gt;"休み"),1,0),0)),0),"")</f>
        <v>0</v>
      </c>
      <c r="AO55" s="21">
        <f ca="1">IF(AN54=0,0,
IF(OR(AN54="",COUNTIF(AN54,"*保育無し*")),"",
IF(MOD(AN55-AN54,1)*24&gt;=8,1,
IF(MOD(AN55-AN54,1)*24&gt;=6,0.75,0))))</f>
        <v>0</v>
      </c>
      <c r="AP55" s="21">
        <f t="array" aca="1" ref="AP55" ca="1">IFERROR(IF(AO54&lt;&gt;0,INDEX(
INDIRECT("'シフト一覧（転載）'!"&amp;AO54&amp;":AK100"),1+1,
MATCH(1,INDEX((LEN(INDIRECT("'シフト一覧（転載）'!"&amp;AO54&amp;":AK100"))&gt;0)
*(INDIRECT("'シフト一覧（転載）'!"&amp;AO54&amp;":AK100")&lt;&gt;"休み"),1,0),0)),0),"")</f>
        <v>0</v>
      </c>
      <c r="AQ55" s="21">
        <f ca="1">IF(AP54=0,0,
IF(OR(AP54="",COUNTIF(AP54,"*保育無し*")),"",
IF(MOD(AP55-AP54,1)*24&gt;=8,1,
IF(MOD(AP55-AP54,1)*24&gt;=6,0.75,0))))</f>
        <v>0</v>
      </c>
      <c r="AR55" s="21">
        <f t="array" aca="1" ref="AR55" ca="1">IFERROR(IF(AQ54&lt;&gt;0,INDEX(
INDIRECT("'シフト一覧（転載）'!"&amp;AQ54&amp;":AK100"),1+1,
MATCH(1,INDEX((LEN(INDIRECT("'シフト一覧（転載）'!"&amp;AQ54&amp;":AK100"))&gt;0)
*(INDIRECT("'シフト一覧（転載）'!"&amp;AQ54&amp;":AK100")&lt;&gt;"休み"),1,0),0)),0),"")</f>
        <v>0</v>
      </c>
      <c r="AS55" s="21">
        <f ca="1">IF(AR54=0,0,
IF(OR(AR54="",COUNTIF(AR54,"*保育無し*")),"",
IF(MOD(AR55-AR54,1)*24&gt;=8,1,
IF(MOD(AR55-AR54,1)*24&gt;=6,0.75,0))))</f>
        <v>0</v>
      </c>
      <c r="AT55" s="21">
        <f t="array" aca="1" ref="AT55" ca="1">IFERROR(IF(AS54&lt;&gt;0,INDEX(
INDIRECT("'シフト一覧（転載）'!"&amp;AS54&amp;":AK100"),1+1,
MATCH(1,INDEX((LEN(INDIRECT("'シフト一覧（転載）'!"&amp;AS54&amp;":AK100"))&gt;0)
*(INDIRECT("'シフト一覧（転載）'!"&amp;AS54&amp;":AK100")&lt;&gt;"休み"),1,0),0)),0),"")</f>
        <v>0</v>
      </c>
      <c r="AU55" s="21">
        <f ca="1">IF(AT54=0,0,
IF(OR(AT54="",COUNTIF(AT54,"*保育無し*")),"",
IF(MOD(AT55-AT54,1)*24&gt;=8,1,
IF(MOD(AT55-AT54,1)*24&gt;=6,0.75,0))))</f>
        <v>0</v>
      </c>
      <c r="AV55" s="21">
        <f t="array" aca="1" ref="AV55" ca="1">IFERROR(IF(AU54&lt;&gt;0,INDEX(
INDIRECT("'シフト一覧（転載）'!"&amp;AU54&amp;":AK100"),1+1,
MATCH(1,INDEX((LEN(INDIRECT("'シフト一覧（転載）'!"&amp;AU54&amp;":AK100"))&gt;0)
*(INDIRECT("'シフト一覧（転載）'!"&amp;AU54&amp;":AK100")&lt;&gt;"休み"),1,0),0)),0),"")</f>
        <v>0</v>
      </c>
      <c r="AW55" s="21">
        <f ca="1">IF(AV54=0,0,
IF(OR(AV54="",COUNTIF(AV54,"*保育無し*")),"",
IF(MOD(AV55-AV54,1)*24&gt;=8,1,
IF(MOD(AV55-AV54,1)*24&gt;=6,0.75,0))))</f>
        <v>0</v>
      </c>
      <c r="AX55" s="21">
        <f t="array" aca="1" ref="AX55" ca="1">IFERROR(IF(AW54&lt;&gt;0,INDEX(
INDIRECT("'シフト一覧（転載）'!"&amp;AW54&amp;":AK100"),1+1,
MATCH(1,INDEX((LEN(INDIRECT("'シフト一覧（転載）'!"&amp;AW54&amp;":AK100"))&gt;0)
*(INDIRECT("'シフト一覧（転載）'!"&amp;AW54&amp;":AK100")&lt;&gt;"休み"),1,0),0)),0),"")</f>
        <v>0</v>
      </c>
      <c r="AY55" s="21">
        <f ca="1">IF(AX54=0,0,
IF(OR(AX54="",COUNTIF(AX54,"*保育無し*")),"",
IF(MOD(AX55-AX54,1)*24&gt;=8,1,
IF(MOD(AX55-AX54,1)*24&gt;=6,0.75,0))))</f>
        <v>0</v>
      </c>
      <c r="AZ55" s="21">
        <f t="array" aca="1" ref="AZ55" ca="1">IFERROR(IF(AY54&lt;&gt;0,INDEX(
INDIRECT("'シフト一覧（転載）'!"&amp;AY54&amp;":AK100"),1+1,
MATCH(1,INDEX((LEN(INDIRECT("'シフト一覧（転載）'!"&amp;AY54&amp;":AK100"))&gt;0)
*(INDIRECT("'シフト一覧（転載）'!"&amp;AY54&amp;":AK100")&lt;&gt;"休み"),1,0),0)),0),"")</f>
        <v>0</v>
      </c>
      <c r="BA55" s="21">
        <f ca="1">IF(AZ54=0,0,
IF(OR(AZ54="",COUNTIF(AZ54,"*保育無し*")),"",
IF(MOD(AZ55-AZ54,1)*24&gt;=8,1,
IF(MOD(AZ55-AZ54,1)*24&gt;=6,0.75,0))))</f>
        <v>0</v>
      </c>
      <c r="BB55" s="21">
        <f t="array" aca="1" ref="BB55" ca="1">IFERROR(IF(BA54&lt;&gt;0,INDEX(
INDIRECT("'シフト一覧（転載）'!"&amp;BA54&amp;":AK100"),1+1,
MATCH(1,INDEX((LEN(INDIRECT("'シフト一覧（転載）'!"&amp;BA54&amp;":AK100"))&gt;0)
*(INDIRECT("'シフト一覧（転載）'!"&amp;BA54&amp;":AK100")&lt;&gt;"休み"),1,0),0)),0),"")</f>
        <v>0</v>
      </c>
      <c r="BC55" s="21">
        <f ca="1">IF(BB54=0,0,
IF(OR(BB54="",COUNTIF(BB54,"*保育無し*")),"",
IF(MOD(BB55-BB54,1)*24&gt;=8,1,
IF(MOD(BB55-BB54,1)*24&gt;=6,0.75,0))))</f>
        <v>0</v>
      </c>
      <c r="BD55" s="21">
        <f t="array" aca="1" ref="BD55" ca="1">IFERROR(IF(BC54&lt;&gt;0,INDEX(
INDIRECT("'シフト一覧（転載）'!"&amp;BC54&amp;":AK100"),1+1,
MATCH(1,INDEX((LEN(INDIRECT("'シフト一覧（転載）'!"&amp;BC54&amp;":AK100"))&gt;0)
*(INDIRECT("'シフト一覧（転載）'!"&amp;BC54&amp;":AK100")&lt;&gt;"休み"),1,0),0)),0),"")</f>
        <v>0</v>
      </c>
      <c r="BE55" s="21">
        <f ca="1">IF(BD54=0,0,
IF(OR(BD54="",COUNTIF(BD54,"*保育無し*")),"",
IF(MOD(BD55-BD54,1)*24&gt;=8,1,
IF(MOD(BD55-BD54,1)*24&gt;=6,0.75,0))))</f>
        <v>0</v>
      </c>
      <c r="BF55" s="21">
        <f t="array" aca="1" ref="BF55" ca="1">IFERROR(IF(BE54&lt;&gt;0,INDEX(
INDIRECT("'シフト一覧（転載）'!"&amp;BE54&amp;":AK100"),1+1,
MATCH(1,INDEX((LEN(INDIRECT("'シフト一覧（転載）'!"&amp;BE54&amp;":AK100"))&gt;0)
*(INDIRECT("'シフト一覧（転載）'!"&amp;BE54&amp;":AK100")&lt;&gt;"休み"),1,0),0)),0),"")</f>
        <v>0</v>
      </c>
      <c r="BG55" s="21">
        <f ca="1">IF(BF54=0,0,
IF(OR(BF54="",COUNTIF(BF54,"*保育無し*")),"",
IF(MOD(BF55-BF54,1)*24&gt;=8,1,
IF(MOD(BF55-BF54,1)*24&gt;=6,0.75,0))))</f>
        <v>0</v>
      </c>
      <c r="BH55" s="21">
        <f t="array" aca="1" ref="BH55" ca="1">IFERROR(IF(BG54&lt;&gt;0,INDEX(
INDIRECT("'シフト一覧（転載）'!"&amp;BG54&amp;":AK100"),1+1,
MATCH(1,INDEX((LEN(INDIRECT("'シフト一覧（転載）'!"&amp;BG54&amp;":AK100"))&gt;0)
*(INDIRECT("'シフト一覧（転載）'!"&amp;BG54&amp;":AK100")&lt;&gt;"休み"),1,0),0)),0),"")</f>
        <v>0</v>
      </c>
      <c r="BI55" s="21">
        <f ca="1">IF(BH54=0,0,
IF(OR(BH54="",COUNTIF(BH54,"*保育無し*")),"",
IF(MOD(BH55-BH54,1)*24&gt;=8,1,
IF(MOD(BH55-BH54,1)*24&gt;=6,0.75,0))))</f>
        <v>0</v>
      </c>
      <c r="BJ55" s="21">
        <f t="array" aca="1" ref="BJ55" ca="1">IFERROR(IF(BI54&lt;&gt;0,INDEX(
INDIRECT("'シフト一覧（転載）'!"&amp;BI54&amp;":AK100"),1+1,
MATCH(1,INDEX((LEN(INDIRECT("'シフト一覧（転載）'!"&amp;BI54&amp;":AK100"))&gt;0)
*(INDIRECT("'シフト一覧（転載）'!"&amp;BI54&amp;":AK100")&lt;&gt;"休み"),1,0),0)),0),"")</f>
        <v>0</v>
      </c>
      <c r="BK55" s="21">
        <f ca="1">IF(BJ54=0,0,
IF(OR(BJ54="",COUNTIF(BJ54,"*保育無し*")),"",
IF(MOD(BJ55-BJ54,1)*24&gt;=8,1,
IF(MOD(BJ55-BJ54,1)*24&gt;=6,0.75,0))))</f>
        <v>0</v>
      </c>
      <c r="BL55" s="21">
        <f t="array" aca="1" ref="BL55" ca="1">IFERROR(IF(BK54&lt;&gt;0,INDEX(
INDIRECT("'シフト一覧（転載）'!"&amp;BK54&amp;":AK100"),1+1,
MATCH(1,INDEX((LEN(INDIRECT("'シフト一覧（転載）'!"&amp;BK54&amp;":AK100"))&gt;0)
*(INDIRECT("'シフト一覧（転載）'!"&amp;BK54&amp;":AK100")&lt;&gt;"休み"),1,0),0)),0),"")</f>
        <v>0</v>
      </c>
      <c r="BM55" s="21">
        <f ca="1">IF(BL54=0,0,
IF(OR(BL54="",COUNTIF(BL54,"*保育無し*")),"",
IF(MOD(BL55-BL54,1)*24&gt;=8,1,
IF(MOD(BL55-BL54,1)*24&gt;=6,0.75,0))))</f>
        <v>0</v>
      </c>
      <c r="BN55" s="21">
        <f t="array" aca="1" ref="BN55" ca="1">IFERROR(IF(BM54&lt;&gt;0,INDEX(
INDIRECT("'シフト一覧（転載）'!"&amp;BM54&amp;":AK100"),1+1,
MATCH(1,INDEX((LEN(INDIRECT("'シフト一覧（転載）'!"&amp;BM54&amp;":AK100"))&gt;0)
*(INDIRECT("'シフト一覧（転載）'!"&amp;BM54&amp;":AK100")&lt;&gt;"休み"),1,0),0)),0),"")</f>
        <v>0</v>
      </c>
      <c r="BO55" s="21">
        <f ca="1">IF(BN54=0,0,
IF(OR(BN54="",COUNTIF(BN54,"*保育無し*")),"",
IF(MOD(BN55-BN54,1)*24&gt;=8,1,
IF(MOD(BN55-BN54,1)*24&gt;=6,0.75,0))))</f>
        <v>0</v>
      </c>
      <c r="BP55" s="21">
        <f t="array" aca="1" ref="BP55" ca="1">IFERROR(IF(BO54&lt;&gt;0,INDEX(
INDIRECT("'シフト一覧（転載）'!"&amp;BO54&amp;":AK100"),1+1,
MATCH(1,INDEX((LEN(INDIRECT("'シフト一覧（転載）'!"&amp;BO54&amp;":AK100"))&gt;0)
*(INDIRECT("'シフト一覧（転載）'!"&amp;BO54&amp;":AK100")&lt;&gt;"休み"),1,0),0)),0),"")</f>
        <v>0</v>
      </c>
      <c r="BQ55" s="21">
        <f ca="1">IF(BP54=0,0,
IF(OR(BP54="",COUNTIF(BP54,"*保育無し*")),"",
IF(MOD(BP55-BP54,1)*24&gt;=8,1,
IF(MOD(BP55-BP54,1)*24&gt;=6,0.75,0))))</f>
        <v>0</v>
      </c>
      <c r="BR55" s="21">
        <f t="array" aca="1" ref="BR55" ca="1">IFERROR(IF(BQ54&lt;&gt;0,INDEX(
INDIRECT("'シフト一覧（転載）'!"&amp;BQ54&amp;":AK100"),1+1,
MATCH(1,INDEX((LEN(INDIRECT("'シフト一覧（転載）'!"&amp;BQ54&amp;":AK100"))&gt;0)
*(INDIRECT("'シフト一覧（転載）'!"&amp;BQ54&amp;":AK100")&lt;&gt;"休み"),1,0),0)),0),"")</f>
        <v>0</v>
      </c>
      <c r="BS55" s="21">
        <f ca="1">IF(BR54=0,0,
IF(OR(BR54="",COUNTIF(BR54,"*保育無し*")),"",
IF(MOD(BR55-BR54,1)*24&gt;=8,1,
IF(MOD(BR55-BR54,1)*24&gt;=6,0.75,0))))</f>
        <v>0</v>
      </c>
      <c r="BT55" s="21">
        <f t="array" aca="1" ref="BT55" ca="1">IFERROR(IF(BS54&lt;&gt;0,INDEX(
INDIRECT("'シフト一覧（転載）'!"&amp;BS54&amp;":AK100"),1+1,
MATCH(1,INDEX((LEN(INDIRECT("'シフト一覧（転載）'!"&amp;BS54&amp;":AK100"))&gt;0)
*(INDIRECT("'シフト一覧（転載）'!"&amp;BS54&amp;":AK100")&lt;&gt;"休み"),1,0),0)),0),"")</f>
        <v>0</v>
      </c>
      <c r="BU55" s="21">
        <f ca="1">IF(BT54=0,0,
IF(OR(BT54="",COUNTIF(BT54,"*保育無し*")),"",
IF(MOD(BT55-BT54,1)*24&gt;=8,1,
IF(MOD(BT55-BT54,1)*24&gt;=6,0.75,0))))</f>
        <v>0</v>
      </c>
      <c r="BV55" s="21">
        <f t="array" aca="1" ref="BV55" ca="1">IFERROR(IF(BU54&lt;&gt;0,INDEX(
INDIRECT("'シフト一覧（転載）'!"&amp;BU54&amp;":AK100"),1+1,
MATCH(1,INDEX((LEN(INDIRECT("'シフト一覧（転載）'!"&amp;BU54&amp;":AK100"))&gt;0)
*(INDIRECT("'シフト一覧（転載）'!"&amp;BU54&amp;":AK100")&lt;&gt;"休み"),1,0),0)),0),"")</f>
        <v>0</v>
      </c>
      <c r="BW55" s="21">
        <f ca="1">IF(BV54=0,0,
IF(OR(BV54="",COUNTIF(BV54,"*保育無し*")),"",
IF(MOD(BV55-BV54,1)*24&gt;=8,1,
IF(MOD(BV55-BV54,1)*24&gt;=6,0.75,0))))</f>
        <v>0</v>
      </c>
      <c r="BX55" s="21">
        <f t="array" aca="1" ref="BX55" ca="1">IFERROR(IF(BW54&lt;&gt;0,INDEX(
INDIRECT("'シフト一覧（転載）'!"&amp;BW54&amp;":AK100"),1+1,
MATCH(1,INDEX((LEN(INDIRECT("'シフト一覧（転載）'!"&amp;BW54&amp;":AK100"))&gt;0)
*(INDIRECT("'シフト一覧（転載）'!"&amp;BW54&amp;":AK100")&lt;&gt;"休み"),1,0),0)),0),"")</f>
        <v>0</v>
      </c>
      <c r="BY55" s="21">
        <f ca="1">IF(BX54=0,0,
IF(OR(BX54="",COUNTIF(BX54,"*保育無し*")),"",
IF(MOD(BX55-BX54,1)*24&gt;=8,1,
IF(MOD(BX55-BX54,1)*24&gt;=6,0.75,0))))</f>
        <v>0</v>
      </c>
    </row>
    <row r="56" spans="13:77" ht="19.8" customHeight="1" x14ac:dyDescent="0.2">
      <c r="M56" s="103" t="str" cm="1">
        <f t="array" aca="1" ref="M5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6" s="101" t="str">
        <f t="shared" ref="N56" ca="1" si="27">IF(M56&lt;&gt;"",VLOOKUP(M56,$B$12:$C$41,2,FALSE),"")</f>
        <v/>
      </c>
      <c r="O56" s="106" cm="1">
        <f t="array" aca="1" ref="O56" ca="1">IF(COUNTIF(P56,"*保育無*"),0,
SUM(IF(
MOD(COLUMN(INDIRECT("P"&amp; ROW() &amp; ":" &amp; ADDRESS(ROW(), IFERROR(MATCH("*保育無し*", INDIRECT("P"&amp; ROW() &amp; ":BY" &amp; ROW()), 0) + COLUMN(P56) - 2, COLUMN(BX56) + 1), 4))) - COLUMN(P56), 2) = 0,
MOD(INDIRECT("P"&amp; ROW()+1 &amp; ":" &amp; ADDRESS(ROW()+1, IFERROR(MATCH("*保育無し*", INDIRECT("P"&amp; ROW() &amp; ":BY" &amp; ROW()), 0) + COLUMN(P56) - 2, COLUMN(BX56) + 1), 4)) - INDIRECT("P"&amp; ROW() &amp; ":" &amp; ADDRESS(ROW(), IFERROR(MATCH("*保育無し*", INDIRECT("P"&amp; ROW() &amp; ":BY" &amp; ROW()), 0) + COLUMN(P56) - 2, COLUMN(BX56) + 1), 4)),1),0))*24
-SUM(_xlfn._xlws.FILTER(P57:BX57, MOD(COLUMN(P57:BX57) - COLUMN(P57), 2) = 1)))</f>
        <v>0</v>
      </c>
      <c r="P56" s="20">
        <f t="array" aca="1" ref="P56" ca="1">IFERROR(IF(M56&lt;&gt;"",INDEX('シフト一覧（転載）'!$F$8:$AK$100,
    MATCH(1,(ISNUMBER(SEARCH(M56,'シフト一覧（転載）'!$A$8:$A$100)))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MATCH(1,(ISNUMBER(SEARCH(M56,'シフト一覧（転載）'!$A$8:$A$100)))
                *(ISNUMBER(SEARCH($F$9,'シフト一覧（転載）'!$B$8:$B$100))),
                0),0),0)),0),$F$9&amp;"保育無し")</f>
        <v>0</v>
      </c>
      <c r="Q56" s="20">
        <f t="array" aca="1" ref="Q56" ca="1">IFERROR(IF(COUNTIF(P56,"*無*"),"",IF(M56&lt;&gt;"",ADDRESS(
    MATCH(1,(ISNUMBER(SEARCH(M56,'シフト一覧（転載）'!$A$8:$A$100)))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MATCH(1,(ISNUMBER(SEARCH(M56,'シフト一覧（転載）'!$A$8:$A$100)))
                *(ISNUMBER(SEARCH($F$9,'シフト一覧（転載）'!$B$8:$B$100))),0),0),0) + 6,4),0)),0)</f>
        <v>0</v>
      </c>
      <c r="R56" s="20">
        <f t="array" aca="1" ref="R56" ca="1">IFERROR(IF(Q56&lt;&gt;"",IF(Q56&lt;&gt;0,INDEX(
INDIRECT("'シフト一覧（転載）'!"&amp;Q56&amp;":AK100"),1,
MATCH(1,INDEX((LEN(INDIRECT("'シフト一覧（転載）'!"&amp;Q56&amp;":AK100"))&gt;0)
*(INDIRECT("'シフト一覧（転載）'!"&amp;Q56&amp;":AK100")&lt;&gt;"休み"),1,0),0)),0),""),$F$9&amp;"保育無し")</f>
        <v>0</v>
      </c>
      <c r="S56" s="20">
        <f t="array" aca="1" ref="S56" ca="1">IFERROR(IF(Q56&lt;&gt;0,ADDRESS(ROW(INDIRECT(Q56)),
    COLUMN(INDIRECT(Q56)) - 1 +
    MATCH(1,INDEX((LEN(INDIRECT("'シフト一覧（転載）'!"&amp;Q56&amp;":AK100"))&gt;0)
            *(INDIRECT("'シフト一覧（転載）'!"&amp;Q56&amp;":AK100")&lt;&gt;"休み"),
            1,0),0)+1,4),0),"")</f>
        <v>0</v>
      </c>
      <c r="T56" s="20">
        <f t="array" aca="1" ref="T56" ca="1">IFERROR(IF(S56&lt;&gt;"",IF(S56&lt;&gt;0,INDEX(
INDIRECT("'シフト一覧（転載）'!"&amp;S56&amp;":AK100"),1,
MATCH(1,INDEX((LEN(INDIRECT("'シフト一覧（転載）'!"&amp;S56&amp;":AK100"))&gt;0)
*(INDIRECT("'シフト一覧（転載）'!"&amp;S56&amp;":AK100")&lt;&gt;"休み"),1,0),0)),0),""),$F$9&amp;"保育無し")</f>
        <v>0</v>
      </c>
      <c r="U56" s="20">
        <f t="array" aca="1" ref="U56" ca="1">IFERROR(IF(S56&lt;&gt;0,ADDRESS(ROW(INDIRECT(S56)),
    COLUMN(INDIRECT(S56)) - 1 +
    MATCH(1,INDEX((LEN(INDIRECT("'シフト一覧（転載）'!"&amp;S56&amp;":AK100"))&gt;0)
            *(INDIRECT("'シフト一覧（転載）'!"&amp;S56&amp;":AK100")&lt;&gt;"休み"),
            1,0),0)+1,4),0),"")</f>
        <v>0</v>
      </c>
      <c r="V56" s="20">
        <f t="array" aca="1" ref="V56" ca="1">IFERROR(IF(U56&lt;&gt;"",IF(U56&lt;&gt;0,INDEX(
INDIRECT("'シフト一覧（転載）'!"&amp;U56&amp;":AK100"),1,
MATCH(1,INDEX((LEN(INDIRECT("'シフト一覧（転載）'!"&amp;U56&amp;":AK100"))&gt;0)
*(INDIRECT("'シフト一覧（転載）'!"&amp;U56&amp;":AK100")&lt;&gt;"休み"),1,0),0)),0),""),$F$9&amp;"保育無し")</f>
        <v>0</v>
      </c>
      <c r="W56" s="20">
        <f t="array" aca="1" ref="W56" ca="1">IFERROR(IF(U56&lt;&gt;0,ADDRESS(ROW(INDIRECT(U56)),
    COLUMN(INDIRECT(U56)) - 1 +
    MATCH(1,INDEX((LEN(INDIRECT("'シフト一覧（転載）'!"&amp;U56&amp;":AK100"))&gt;0)
            *(INDIRECT("'シフト一覧（転載）'!"&amp;U56&amp;":AK100")&lt;&gt;"休み"),
            1,0),0)+1,4),0),"")</f>
        <v>0</v>
      </c>
      <c r="X56" s="20">
        <f t="array" aca="1" ref="X56" ca="1">IFERROR(IF(W56&lt;&gt;"",IF(W56&lt;&gt;0,INDEX(
INDIRECT("'シフト一覧（転載）'!"&amp;W56&amp;":AK100"),1,
MATCH(1,INDEX((LEN(INDIRECT("'シフト一覧（転載）'!"&amp;W56&amp;":AK100"))&gt;0)
*(INDIRECT("'シフト一覧（転載）'!"&amp;W56&amp;":AK100")&lt;&gt;"休み"),1,0),0)),0),""),$F$9&amp;"保育無し")</f>
        <v>0</v>
      </c>
      <c r="Y56" s="20">
        <f t="array" aca="1" ref="Y56" ca="1">IFERROR(IF(W56&lt;&gt;0,ADDRESS(ROW(INDIRECT(W56)),
    COLUMN(INDIRECT(W56)) - 1 +
    MATCH(1,INDEX((LEN(INDIRECT("'シフト一覧（転載）'!"&amp;W56&amp;":AK100"))&gt;0)
            *(INDIRECT("'シフト一覧（転載）'!"&amp;W56&amp;":AK100")&lt;&gt;"休み"),
            1,0),0)+1,4),0),"")</f>
        <v>0</v>
      </c>
      <c r="Z56" s="20">
        <f t="array" aca="1" ref="Z56" ca="1">IFERROR(IF(Y56&lt;&gt;"",IF(Y56&lt;&gt;0,INDEX(
INDIRECT("'シフト一覧（転載）'!"&amp;Y56&amp;":AK100"),1,
MATCH(1,INDEX((LEN(INDIRECT("'シフト一覧（転載）'!"&amp;Y56&amp;":AK100"))&gt;0)
*(INDIRECT("'シフト一覧（転載）'!"&amp;Y56&amp;":AK100")&lt;&gt;"休み"),1,0),0)),0),""),$F$9&amp;"保育無し")</f>
        <v>0</v>
      </c>
      <c r="AA56" s="20">
        <f t="array" aca="1" ref="AA56" ca="1">IFERROR(IF(Y56&lt;&gt;0,ADDRESS(ROW(INDIRECT(Y56)),
    COLUMN(INDIRECT(Y56)) - 1 +
    MATCH(1,INDEX((LEN(INDIRECT("'シフト一覧（転載）'!"&amp;Y56&amp;":AK100"))&gt;0)
            *(INDIRECT("'シフト一覧（転載）'!"&amp;Y56&amp;":AK100")&lt;&gt;"休み"),
            1,0),0)+1,4),0),"")</f>
        <v>0</v>
      </c>
      <c r="AB56" s="20">
        <f t="array" aca="1" ref="AB56" ca="1">IFERROR(IF(AA56&lt;&gt;"",IF(AA56&lt;&gt;0,INDEX(
INDIRECT("'シフト一覧（転載）'!"&amp;AA56&amp;":AK100"),1,
MATCH(1,INDEX((LEN(INDIRECT("'シフト一覧（転載）'!"&amp;AA56&amp;":AK100"))&gt;0)
*(INDIRECT("'シフト一覧（転載）'!"&amp;AA56&amp;":AK100")&lt;&gt;"休み"),1,0),0)),0),""),$F$9&amp;"保育無し")</f>
        <v>0</v>
      </c>
      <c r="AC56" s="20">
        <f t="array" aca="1" ref="AC56" ca="1">IFERROR(IF(AA56&lt;&gt;0,ADDRESS(ROW(INDIRECT(AA56)),
    COLUMN(INDIRECT(AA56)) - 1 +
    MATCH(1,INDEX((LEN(INDIRECT("'シフト一覧（転載）'!"&amp;AA56&amp;":AK100"))&gt;0)
            *(INDIRECT("'シフト一覧（転載）'!"&amp;AA56&amp;":AK100")&lt;&gt;"休み"),
            1,0),0)+1,4),0),"")</f>
        <v>0</v>
      </c>
      <c r="AD56" s="20">
        <f t="array" aca="1" ref="AD56" ca="1">IFERROR(IF(AC56&lt;&gt;"",IF(AC56&lt;&gt;0,INDEX(
INDIRECT("'シフト一覧（転載）'!"&amp;AC56&amp;":AK100"),1,
MATCH(1,INDEX((LEN(INDIRECT("'シフト一覧（転載）'!"&amp;AC56&amp;":AK100"))&gt;0)
*(INDIRECT("'シフト一覧（転載）'!"&amp;AC56&amp;":AK100")&lt;&gt;"休み"),1,0),0)),0),""),$F$9&amp;"保育無し")</f>
        <v>0</v>
      </c>
      <c r="AE56" s="20">
        <f t="array" aca="1" ref="AE56" ca="1">IFERROR(IF(AC56&lt;&gt;0,ADDRESS(ROW(INDIRECT(AC56)),
    COLUMN(INDIRECT(AC56)) - 1 +
    MATCH(1,INDEX((LEN(INDIRECT("'シフト一覧（転載）'!"&amp;AC56&amp;":AK100"))&gt;0)
            *(INDIRECT("'シフト一覧（転載）'!"&amp;AC56&amp;":AK100")&lt;&gt;"休み"),
            1,0),0)+1,4),0),"")</f>
        <v>0</v>
      </c>
      <c r="AF56" s="20">
        <f t="array" aca="1" ref="AF56" ca="1">IFERROR(IF(AE56&lt;&gt;"",IF(AE56&lt;&gt;0,INDEX(
INDIRECT("'シフト一覧（転載）'!"&amp;AE56&amp;":AK100"),1,
MATCH(1,INDEX((LEN(INDIRECT("'シフト一覧（転載）'!"&amp;AE56&amp;":AK100"))&gt;0)
*(INDIRECT("'シフト一覧（転載）'!"&amp;AE56&amp;":AK100")&lt;&gt;"休み"),1,0),0)),0),""),$F$9&amp;"保育無し")</f>
        <v>0</v>
      </c>
      <c r="AG56" s="20">
        <f t="array" aca="1" ref="AG56" ca="1">IFERROR(IF(AE56&lt;&gt;0,ADDRESS(ROW(INDIRECT(AE56)),
    COLUMN(INDIRECT(AE56)) - 1 +
    MATCH(1,INDEX((LEN(INDIRECT("'シフト一覧（転載）'!"&amp;AE56&amp;":AK100"))&gt;0)
            *(INDIRECT("'シフト一覧（転載）'!"&amp;AE56&amp;":AK100")&lt;&gt;"休み"),
            1,0),0)+1,4),0),"")</f>
        <v>0</v>
      </c>
      <c r="AH56" s="20">
        <f t="array" aca="1" ref="AH56" ca="1">IFERROR(IF(AG56&lt;&gt;"",IF(AG56&lt;&gt;0,INDEX(
INDIRECT("'シフト一覧（転載）'!"&amp;AG56&amp;":AK100"),1,
MATCH(1,INDEX((LEN(INDIRECT("'シフト一覧（転載）'!"&amp;AG56&amp;":AK100"))&gt;0)
*(INDIRECT("'シフト一覧（転載）'!"&amp;AG56&amp;":AK100")&lt;&gt;"休み"),1,0),0)),0),""),$F$9&amp;"保育無し")</f>
        <v>0</v>
      </c>
      <c r="AI56" s="20">
        <f t="array" aca="1" ref="AI56" ca="1">IFERROR(IF(AG56&lt;&gt;0,ADDRESS(ROW(INDIRECT(AG56)),
    COLUMN(INDIRECT(AG56)) - 1 +
    MATCH(1,INDEX((LEN(INDIRECT("'シフト一覧（転載）'!"&amp;AG56&amp;":AK100"))&gt;0)
            *(INDIRECT("'シフト一覧（転載）'!"&amp;AG56&amp;":AK100")&lt;&gt;"休み"),
            1,0),0)+1,4),0),"")</f>
        <v>0</v>
      </c>
      <c r="AJ56" s="20">
        <f t="array" aca="1" ref="AJ56" ca="1">IFERROR(IF(AI56&lt;&gt;"",IF(AI56&lt;&gt;0,INDEX(
INDIRECT("'シフト一覧（転載）'!"&amp;AI56&amp;":AK100"),1,
MATCH(1,INDEX((LEN(INDIRECT("'シフト一覧（転載）'!"&amp;AI56&amp;":AK100"))&gt;0)
*(INDIRECT("'シフト一覧（転載）'!"&amp;AI56&amp;":AK100")&lt;&gt;"休み"),1,0),0)),0),""),$F$9&amp;"保育無し")</f>
        <v>0</v>
      </c>
      <c r="AK56" s="20">
        <f t="array" aca="1" ref="AK56" ca="1">IFERROR(IF(AI56&lt;&gt;0,ADDRESS(ROW(INDIRECT(AI56)),
    COLUMN(INDIRECT(AI56)) - 1 +
    MATCH(1,INDEX((LEN(INDIRECT("'シフト一覧（転載）'!"&amp;AI56&amp;":AK100"))&gt;0)
            *(INDIRECT("'シフト一覧（転載）'!"&amp;AI56&amp;":AK100")&lt;&gt;"休み"),
            1,0),0)+1,4),0),"")</f>
        <v>0</v>
      </c>
      <c r="AL56" s="20">
        <f t="array" aca="1" ref="AL56" ca="1">IFERROR(IF(AK56&lt;&gt;"",IF(AK56&lt;&gt;0,INDEX(
INDIRECT("'シフト一覧（転載）'!"&amp;AK56&amp;":AK100"),1,
MATCH(1,INDEX((LEN(INDIRECT("'シフト一覧（転載）'!"&amp;AK56&amp;":AK100"))&gt;0)
*(INDIRECT("'シフト一覧（転載）'!"&amp;AK56&amp;":AK100")&lt;&gt;"休み"),1,0),0)),0),""),$F$9&amp;"保育無し")</f>
        <v>0</v>
      </c>
      <c r="AM56" s="20">
        <f t="array" aca="1" ref="AM56" ca="1">IFERROR(IF(AK56&lt;&gt;0,ADDRESS(ROW(INDIRECT(AK56)),
    COLUMN(INDIRECT(AK56)) - 1 +
    MATCH(1,INDEX((LEN(INDIRECT("'シフト一覧（転載）'!"&amp;AK56&amp;":AK100"))&gt;0)
            *(INDIRECT("'シフト一覧（転載）'!"&amp;AK56&amp;":AK100")&lt;&gt;"休み"),
            1,0),0)+1,4),0),"")</f>
        <v>0</v>
      </c>
      <c r="AN56" s="20">
        <f t="array" aca="1" ref="AN56" ca="1">IFERROR(IF(AM56&lt;&gt;"",IF(AM56&lt;&gt;0,INDEX(
INDIRECT("'シフト一覧（転載）'!"&amp;AM56&amp;":AK100"),1,
MATCH(1,INDEX((LEN(INDIRECT("'シフト一覧（転載）'!"&amp;AM56&amp;":AK100"))&gt;0)
*(INDIRECT("'シフト一覧（転載）'!"&amp;AM56&amp;":AK100")&lt;&gt;"休み"),1,0),0)),0),""),$F$9&amp;"保育無し")</f>
        <v>0</v>
      </c>
      <c r="AO56" s="20">
        <f t="array" aca="1" ref="AO56" ca="1">IFERROR(IF(AM56&lt;&gt;0,ADDRESS(ROW(INDIRECT(AM56)),
    COLUMN(INDIRECT(AM56)) - 1 +
    MATCH(1,INDEX((LEN(INDIRECT("'シフト一覧（転載）'!"&amp;AM56&amp;":AK100"))&gt;0)
            *(INDIRECT("'シフト一覧（転載）'!"&amp;AM56&amp;":AK100")&lt;&gt;"休み"),
            1,0),0)+1,4),0),"")</f>
        <v>0</v>
      </c>
      <c r="AP56" s="20">
        <f t="array" aca="1" ref="AP56" ca="1">IFERROR(IF(AO56&lt;&gt;"",IF(AO56&lt;&gt;0,INDEX(
INDIRECT("'シフト一覧（転載）'!"&amp;AO56&amp;":AK100"),1,
MATCH(1,INDEX((LEN(INDIRECT("'シフト一覧（転載）'!"&amp;AO56&amp;":AK100"))&gt;0)
*(INDIRECT("'シフト一覧（転載）'!"&amp;AO56&amp;":AK100")&lt;&gt;"休み"),1,0),0)),0),""),$F$9&amp;"保育無し")</f>
        <v>0</v>
      </c>
      <c r="AQ56" s="20">
        <f t="array" aca="1" ref="AQ56" ca="1">IFERROR(IF(AO56&lt;&gt;0,ADDRESS(ROW(INDIRECT(AO56)),
    COLUMN(INDIRECT(AO56)) - 1 +
    MATCH(1,INDEX((LEN(INDIRECT("'シフト一覧（転載）'!"&amp;AO56&amp;":AK100"))&gt;0)
            *(INDIRECT("'シフト一覧（転載）'!"&amp;AO56&amp;":AK100")&lt;&gt;"休み"),
            1,0),0)+1,4),0),"")</f>
        <v>0</v>
      </c>
      <c r="AR56" s="20">
        <f t="array" aca="1" ref="AR56" ca="1">IFERROR(IF(AQ56&lt;&gt;"",IF(AQ56&lt;&gt;0,INDEX(
INDIRECT("'シフト一覧（転載）'!"&amp;AQ56&amp;":AK100"),1,
MATCH(1,INDEX((LEN(INDIRECT("'シフト一覧（転載）'!"&amp;AQ56&amp;":AK100"))&gt;0)
*(INDIRECT("'シフト一覧（転載）'!"&amp;AQ56&amp;":AK100")&lt;&gt;"休み"),1,0),0)),0),""),$F$9&amp;"保育無し")</f>
        <v>0</v>
      </c>
      <c r="AS56" s="20">
        <f t="array" aca="1" ref="AS56" ca="1">IFERROR(IF(AQ56&lt;&gt;0,ADDRESS(ROW(INDIRECT(AQ56)),
    COLUMN(INDIRECT(AQ56)) - 1 +
    MATCH(1,INDEX((LEN(INDIRECT("'シフト一覧（転載）'!"&amp;AQ56&amp;":AK100"))&gt;0)
            *(INDIRECT("'シフト一覧（転載）'!"&amp;AQ56&amp;":AK100")&lt;&gt;"休み"),
            1,0),0)+1,4),0),"")</f>
        <v>0</v>
      </c>
      <c r="AT56" s="20">
        <f t="array" aca="1" ref="AT56" ca="1">IFERROR(IF(AS56&lt;&gt;"",IF(AS56&lt;&gt;0,INDEX(
INDIRECT("'シフト一覧（転載）'!"&amp;AS56&amp;":AK100"),1,
MATCH(1,INDEX((LEN(INDIRECT("'シフト一覧（転載）'!"&amp;AS56&amp;":AK100"))&gt;0)
*(INDIRECT("'シフト一覧（転載）'!"&amp;AS56&amp;":AK100")&lt;&gt;"休み"),1,0),0)),0),""),$F$9&amp;"保育無し")</f>
        <v>0</v>
      </c>
      <c r="AU56" s="20">
        <f t="array" aca="1" ref="AU56" ca="1">IFERROR(IF(AS56&lt;&gt;0,ADDRESS(ROW(INDIRECT(AS56)),
    COLUMN(INDIRECT(AS56)) - 1 +
    MATCH(1,INDEX((LEN(INDIRECT("'シフト一覧（転載）'!"&amp;AS56&amp;":AK100"))&gt;0)
            *(INDIRECT("'シフト一覧（転載）'!"&amp;AS56&amp;":AK100")&lt;&gt;"休み"),
            1,0),0)+1,4),0),"")</f>
        <v>0</v>
      </c>
      <c r="AV56" s="20">
        <f t="array" aca="1" ref="AV56" ca="1">IFERROR(IF(AU56&lt;&gt;"",IF(AU56&lt;&gt;0,INDEX(
INDIRECT("'シフト一覧（転載）'!"&amp;AU56&amp;":AK100"),1,
MATCH(1,INDEX((LEN(INDIRECT("'シフト一覧（転載）'!"&amp;AU56&amp;":AK100"))&gt;0)
*(INDIRECT("'シフト一覧（転載）'!"&amp;AU56&amp;":AK100")&lt;&gt;"休み"),1,0),0)),0),""),$F$9&amp;"保育無し")</f>
        <v>0</v>
      </c>
      <c r="AW56" s="20">
        <f t="array" aca="1" ref="AW56" ca="1">IFERROR(IF(AU56&lt;&gt;0,ADDRESS(ROW(INDIRECT(AU56)),
    COLUMN(INDIRECT(AU56)) - 1 +
    MATCH(1,INDEX((LEN(INDIRECT("'シフト一覧（転載）'!"&amp;AU56&amp;":AK100"))&gt;0)
            *(INDIRECT("'シフト一覧（転載）'!"&amp;AU56&amp;":AK100")&lt;&gt;"休み"),
            1,0),0)+1,4),0),"")</f>
        <v>0</v>
      </c>
      <c r="AX56" s="20">
        <f t="array" aca="1" ref="AX56" ca="1">IFERROR(IF(AW56&lt;&gt;"",IF(AW56&lt;&gt;0,INDEX(
INDIRECT("'シフト一覧（転載）'!"&amp;AW56&amp;":AK100"),1,
MATCH(1,INDEX((LEN(INDIRECT("'シフト一覧（転載）'!"&amp;AW56&amp;":AK100"))&gt;0)
*(INDIRECT("'シフト一覧（転載）'!"&amp;AW56&amp;":AK100")&lt;&gt;"休み"),1,0),0)),0),""),$F$9&amp;"保育無し")</f>
        <v>0</v>
      </c>
      <c r="AY56" s="20">
        <f t="array" aca="1" ref="AY56" ca="1">IFERROR(IF(AW56&lt;&gt;0,ADDRESS(ROW(INDIRECT(AW56)),
    COLUMN(INDIRECT(AW56)) - 1 +
    MATCH(1,INDEX((LEN(INDIRECT("'シフト一覧（転載）'!"&amp;AW56&amp;":AK100"))&gt;0)
            *(INDIRECT("'シフト一覧（転載）'!"&amp;AW56&amp;":AK100")&lt;&gt;"休み"),
            1,0),0)+1,4),0),"")</f>
        <v>0</v>
      </c>
      <c r="AZ56" s="20">
        <f t="array" aca="1" ref="AZ56" ca="1">IFERROR(IF(AY56&lt;&gt;"",IF(AY56&lt;&gt;0,INDEX(
INDIRECT("'シフト一覧（転載）'!"&amp;AY56&amp;":AK100"),1,
MATCH(1,INDEX((LEN(INDIRECT("'シフト一覧（転載）'!"&amp;AY56&amp;":AK100"))&gt;0)
*(INDIRECT("'シフト一覧（転載）'!"&amp;AY56&amp;":AK100")&lt;&gt;"休み"),1,0),0)),0),""),$F$9&amp;"保育無し")</f>
        <v>0</v>
      </c>
      <c r="BA56" s="20">
        <f t="array" aca="1" ref="BA56" ca="1">IFERROR(IF(AY56&lt;&gt;0,ADDRESS(ROW(INDIRECT(AY56)),
    COLUMN(INDIRECT(AY56)) - 1 +
    MATCH(1,INDEX((LEN(INDIRECT("'シフト一覧（転載）'!"&amp;AY56&amp;":AK100"))&gt;0)
            *(INDIRECT("'シフト一覧（転載）'!"&amp;AY56&amp;":AK100")&lt;&gt;"休み"),
            1,0),0)+1,4),0),"")</f>
        <v>0</v>
      </c>
      <c r="BB56" s="20">
        <f t="array" aca="1" ref="BB56" ca="1">IFERROR(IF(BA56&lt;&gt;"",IF(BA56&lt;&gt;0,INDEX(
INDIRECT("'シフト一覧（転載）'!"&amp;BA56&amp;":AK100"),1,
MATCH(1,INDEX((LEN(INDIRECT("'シフト一覧（転載）'!"&amp;BA56&amp;":AK100"))&gt;0)
*(INDIRECT("'シフト一覧（転載）'!"&amp;BA56&amp;":AK100")&lt;&gt;"休み"),1,0),0)),0),""),$F$9&amp;"保育無し")</f>
        <v>0</v>
      </c>
      <c r="BC56" s="20">
        <f t="array" aca="1" ref="BC56" ca="1">IFERROR(IF(BA56&lt;&gt;0,ADDRESS(ROW(INDIRECT(BA56)),
    COLUMN(INDIRECT(BA56)) - 1 +
    MATCH(1,INDEX((LEN(INDIRECT("'シフト一覧（転載）'!"&amp;BA56&amp;":AK100"))&gt;0)
            *(INDIRECT("'シフト一覧（転載）'!"&amp;BA56&amp;":AK100")&lt;&gt;"休み"),
            1,0),0)+1,4),0),"")</f>
        <v>0</v>
      </c>
      <c r="BD56" s="20">
        <f t="array" aca="1" ref="BD56" ca="1">IFERROR(IF(BC56&lt;&gt;"",IF(BC56&lt;&gt;0,INDEX(
INDIRECT("'シフト一覧（転載）'!"&amp;BC56&amp;":AK100"),1,
MATCH(1,INDEX((LEN(INDIRECT("'シフト一覧（転載）'!"&amp;BC56&amp;":AK100"))&gt;0)
*(INDIRECT("'シフト一覧（転載）'!"&amp;BC56&amp;":AK100")&lt;&gt;"休み"),1,0),0)),0),""),$F$9&amp;"保育無し")</f>
        <v>0</v>
      </c>
      <c r="BE56" s="20">
        <f t="array" aca="1" ref="BE56" ca="1">IFERROR(IF(BC56&lt;&gt;0,ADDRESS(ROW(INDIRECT(BC56)),
    COLUMN(INDIRECT(BC56)) - 1 +
    MATCH(1,INDEX((LEN(INDIRECT("'シフト一覧（転載）'!"&amp;BC56&amp;":AK100"))&gt;0)
            *(INDIRECT("'シフト一覧（転載）'!"&amp;BC56&amp;":AK100")&lt;&gt;"休み"),
            1,0),0)+1,4),0),"")</f>
        <v>0</v>
      </c>
      <c r="BF56" s="20">
        <f t="array" aca="1" ref="BF56" ca="1">IFERROR(IF(BE56&lt;&gt;"",IF(BE56&lt;&gt;0,INDEX(
INDIRECT("'シフト一覧（転載）'!"&amp;BE56&amp;":AK100"),1,
MATCH(1,INDEX((LEN(INDIRECT("'シフト一覧（転載）'!"&amp;BE56&amp;":AK100"))&gt;0)
*(INDIRECT("'シフト一覧（転載）'!"&amp;BE56&amp;":AK100")&lt;&gt;"休み"),1,0),0)),0),""),$F$9&amp;"保育無し")</f>
        <v>0</v>
      </c>
      <c r="BG56" s="20">
        <f t="array" aca="1" ref="BG56" ca="1">IFERROR(IF(BE56&lt;&gt;0,ADDRESS(ROW(INDIRECT(BE56)),
    COLUMN(INDIRECT(BE56)) - 1 +
    MATCH(1,INDEX((LEN(INDIRECT("'シフト一覧（転載）'!"&amp;BE56&amp;":AK100"))&gt;0)
            *(INDIRECT("'シフト一覧（転載）'!"&amp;BE56&amp;":AK100")&lt;&gt;"休み"),
            1,0),0)+1,4),0),"")</f>
        <v>0</v>
      </c>
      <c r="BH56" s="20">
        <f t="array" aca="1" ref="BH56" ca="1">IFERROR(IF(BG56&lt;&gt;"",IF(BG56&lt;&gt;0,INDEX(
INDIRECT("'シフト一覧（転載）'!"&amp;BG56&amp;":AK100"),1,
MATCH(1,INDEX((LEN(INDIRECT("'シフト一覧（転載）'!"&amp;BG56&amp;":AK100"))&gt;0)
*(INDIRECT("'シフト一覧（転載）'!"&amp;BG56&amp;":AK100")&lt;&gt;"休み"),1,0),0)),0),""),$F$9&amp;"保育無し")</f>
        <v>0</v>
      </c>
      <c r="BI56" s="20">
        <f t="array" aca="1" ref="BI56" ca="1">IFERROR(IF(BG56&lt;&gt;0,ADDRESS(ROW(INDIRECT(BG56)),
    COLUMN(INDIRECT(BG56)) - 1 +
    MATCH(1,INDEX((LEN(INDIRECT("'シフト一覧（転載）'!"&amp;BG56&amp;":AK100"))&gt;0)
            *(INDIRECT("'シフト一覧（転載）'!"&amp;BG56&amp;":AK100")&lt;&gt;"休み"),
            1,0),0)+1,4),0),"")</f>
        <v>0</v>
      </c>
      <c r="BJ56" s="20">
        <f t="array" aca="1" ref="BJ56" ca="1">IFERROR(IF(BI56&lt;&gt;"",IF(BI56&lt;&gt;0,INDEX(
INDIRECT("'シフト一覧（転載）'!"&amp;BI56&amp;":AK100"),1,
MATCH(1,INDEX((LEN(INDIRECT("'シフト一覧（転載）'!"&amp;BI56&amp;":AK100"))&gt;0)
*(INDIRECT("'シフト一覧（転載）'!"&amp;BI56&amp;":AK100")&lt;&gt;"休み"),1,0),0)),0),""),$F$9&amp;"保育無し")</f>
        <v>0</v>
      </c>
      <c r="BK56" s="20">
        <f t="array" aca="1" ref="BK56" ca="1">IFERROR(IF(BI56&lt;&gt;0,ADDRESS(ROW(INDIRECT(BI56)),
    COLUMN(INDIRECT(BI56)) - 1 +
    MATCH(1,INDEX((LEN(INDIRECT("'シフト一覧（転載）'!"&amp;BI56&amp;":AK100"))&gt;0)
            *(INDIRECT("'シフト一覧（転載）'!"&amp;BI56&amp;":AK100")&lt;&gt;"休み"),
            1,0),0)+1,4),0),"")</f>
        <v>0</v>
      </c>
      <c r="BL56" s="20">
        <f t="array" aca="1" ref="BL56" ca="1">IFERROR(IF(BK56&lt;&gt;"",IF(BK56&lt;&gt;0,INDEX(
INDIRECT("'シフト一覧（転載）'!"&amp;BK56&amp;":AK100"),1,
MATCH(1,INDEX((LEN(INDIRECT("'シフト一覧（転載）'!"&amp;BK56&amp;":AK100"))&gt;0)
*(INDIRECT("'シフト一覧（転載）'!"&amp;BK56&amp;":AK100")&lt;&gt;"休み"),1,0),0)),0),""),$F$9&amp;"保育無し")</f>
        <v>0</v>
      </c>
      <c r="BM56" s="20">
        <f t="array" aca="1" ref="BM56" ca="1">IFERROR(IF(BK56&lt;&gt;0,ADDRESS(ROW(INDIRECT(BK56)),
    COLUMN(INDIRECT(BK56)) - 1 +
    MATCH(1,INDEX((LEN(INDIRECT("'シフト一覧（転載）'!"&amp;BK56&amp;":AK100"))&gt;0)
            *(INDIRECT("'シフト一覧（転載）'!"&amp;BK56&amp;":AK100")&lt;&gt;"休み"),
            1,0),0)+1,4),0),"")</f>
        <v>0</v>
      </c>
      <c r="BN56" s="20">
        <f t="array" aca="1" ref="BN56" ca="1">IFERROR(IF(BM56&lt;&gt;"",IF(BM56&lt;&gt;0,INDEX(
INDIRECT("'シフト一覧（転載）'!"&amp;BM56&amp;":AK100"),1,
MATCH(1,INDEX((LEN(INDIRECT("'シフト一覧（転載）'!"&amp;BM56&amp;":AK100"))&gt;0)
*(INDIRECT("'シフト一覧（転載）'!"&amp;BM56&amp;":AK100")&lt;&gt;"休み"),1,0),0)),0),""),$F$9&amp;"保育無し")</f>
        <v>0</v>
      </c>
      <c r="BO56" s="20">
        <f t="array" aca="1" ref="BO56" ca="1">IFERROR(IF(BM56&lt;&gt;0,ADDRESS(ROW(INDIRECT(BM56)),
    COLUMN(INDIRECT(BM56)) - 1 +
    MATCH(1,INDEX((LEN(INDIRECT("'シフト一覧（転載）'!"&amp;BM56&amp;":AK100"))&gt;0)
            *(INDIRECT("'シフト一覧（転載）'!"&amp;BM56&amp;":AK100")&lt;&gt;"休み"),
            1,0),0)+1,4),0),"")</f>
        <v>0</v>
      </c>
      <c r="BP56" s="20">
        <f t="array" aca="1" ref="BP56" ca="1">IFERROR(IF(BO56&lt;&gt;"",IF(BO56&lt;&gt;0,INDEX(
INDIRECT("'シフト一覧（転載）'!"&amp;BO56&amp;":AK100"),1,
MATCH(1,INDEX((LEN(INDIRECT("'シフト一覧（転載）'!"&amp;BO56&amp;":AK100"))&gt;0)
*(INDIRECT("'シフト一覧（転載）'!"&amp;BO56&amp;":AK100")&lt;&gt;"休み"),1,0),0)),0),""),$F$9&amp;"保育無し")</f>
        <v>0</v>
      </c>
      <c r="BQ56" s="20">
        <f t="array" aca="1" ref="BQ56" ca="1">IFERROR(IF(BO56&lt;&gt;0,ADDRESS(ROW(INDIRECT(BO56)),
    COLUMN(INDIRECT(BO56)) - 1 +
    MATCH(1,INDEX((LEN(INDIRECT("'シフト一覧（転載）'!"&amp;BO56&amp;":AK100"))&gt;0)
            *(INDIRECT("'シフト一覧（転載）'!"&amp;BO56&amp;":AK100")&lt;&gt;"休み"),
            1,0),0)+1,4),0),"")</f>
        <v>0</v>
      </c>
      <c r="BR56" s="20">
        <f t="array" aca="1" ref="BR56" ca="1">IFERROR(IF(BQ56&lt;&gt;"",IF(BQ56&lt;&gt;0,INDEX(
INDIRECT("'シフト一覧（転載）'!"&amp;BQ56&amp;":AK100"),1,
MATCH(1,INDEX((LEN(INDIRECT("'シフト一覧（転載）'!"&amp;BQ56&amp;":AK100"))&gt;0)
*(INDIRECT("'シフト一覧（転載）'!"&amp;BQ56&amp;":AK100")&lt;&gt;"休み"),1,0),0)),0),""),$F$9&amp;"保育無し")</f>
        <v>0</v>
      </c>
      <c r="BS56" s="20">
        <f t="array" aca="1" ref="BS56" ca="1">IFERROR(IF(BQ56&lt;&gt;0,ADDRESS(ROW(INDIRECT(BQ56)),
    COLUMN(INDIRECT(BQ56)) - 1 +
    MATCH(1,INDEX((LEN(INDIRECT("'シフト一覧（転載）'!"&amp;BQ56&amp;":AK100"))&gt;0)
            *(INDIRECT("'シフト一覧（転載）'!"&amp;BQ56&amp;":AK100")&lt;&gt;"休み"),
            1,0),0)+1,4),0),"")</f>
        <v>0</v>
      </c>
      <c r="BT56" s="20">
        <f t="array" aca="1" ref="BT56" ca="1">IFERROR(IF(BS56&lt;&gt;"",IF(BS56&lt;&gt;0,INDEX(
INDIRECT("'シフト一覧（転載）'!"&amp;BS56&amp;":AK100"),1,
MATCH(1,INDEX((LEN(INDIRECT("'シフト一覧（転載）'!"&amp;BS56&amp;":AK100"))&gt;0)
*(INDIRECT("'シフト一覧（転載）'!"&amp;BS56&amp;":AK100")&lt;&gt;"休み"),1,0),0)),0),""),$F$9&amp;"保育無し")</f>
        <v>0</v>
      </c>
      <c r="BU56" s="20">
        <f t="array" aca="1" ref="BU56" ca="1">IFERROR(IF(BS56&lt;&gt;0,ADDRESS(ROW(INDIRECT(BS56)),
    COLUMN(INDIRECT(BS56)) - 1 +
    MATCH(1,INDEX((LEN(INDIRECT("'シフト一覧（転載）'!"&amp;BS56&amp;":AK100"))&gt;0)
            *(INDIRECT("'シフト一覧（転載）'!"&amp;BS56&amp;":AK100")&lt;&gt;"休み"),
            1,0),0)+1,4),0),"")</f>
        <v>0</v>
      </c>
      <c r="BV56" s="20">
        <f t="array" aca="1" ref="BV56" ca="1">IFERROR(IF(BU56&lt;&gt;"",IF(BU56&lt;&gt;0,INDEX(
INDIRECT("'シフト一覧（転載）'!"&amp;BU56&amp;":AK100"),1,
MATCH(1,INDEX((LEN(INDIRECT("'シフト一覧（転載）'!"&amp;BU56&amp;":AK100"))&gt;0)
*(INDIRECT("'シフト一覧（転載）'!"&amp;BU56&amp;":AK100")&lt;&gt;"休み"),1,0),0)),0),""),$F$9&amp;"保育無し")</f>
        <v>0</v>
      </c>
      <c r="BW56" s="20">
        <f t="array" aca="1" ref="BW56" ca="1">IFERROR(IF(BU56&lt;&gt;0,ADDRESS(ROW(INDIRECT(BU56)),
    COLUMN(INDIRECT(BU56)) - 1 +
    MATCH(1,INDEX((LEN(INDIRECT("'シフト一覧（転載）'!"&amp;BU56&amp;":AK100"))&gt;0)
            *(INDIRECT("'シフト一覧（転載）'!"&amp;BU56&amp;":AK100")&lt;&gt;"休み"),
            1,0),0)+1,4),0),"")</f>
        <v>0</v>
      </c>
      <c r="BX56" s="20">
        <f t="array" aca="1" ref="BX56" ca="1">IFERROR(IF(BW56&lt;&gt;"",IF(BW56&lt;&gt;0,INDEX(
INDIRECT("'シフト一覧（転載）'!"&amp;BW56&amp;":AK100"),1,
MATCH(1,INDEX((LEN(INDIRECT("'シフト一覧（転載）'!"&amp;BW56&amp;":AK100"))&gt;0)
*(INDIRECT("'シフト一覧（転載）'!"&amp;BW56&amp;":AK100")&lt;&gt;"休み"),1,0),0)),0),""),$F$9&amp;"保育無し")</f>
        <v>0</v>
      </c>
      <c r="BY56" s="20">
        <f t="array" aca="1" ref="BY56" ca="1">IFERROR(IF(BW56&lt;&gt;0,ADDRESS(ROW(INDIRECT(BW56)),
    COLUMN(INDIRECT(BW56)) - 1 +
    MATCH(1,INDEX((LEN(INDIRECT("'シフト一覧（転載）'!"&amp;BW56&amp;":AK100"))&gt;0)
            *(INDIRECT("'シフト一覧（転載）'!"&amp;BW56&amp;":AK100")&lt;&gt;"休み"),
            1,0),0)+1,4),0),"")</f>
        <v>0</v>
      </c>
    </row>
    <row r="57" spans="13:77" ht="19.8" customHeight="1" x14ac:dyDescent="0.2">
      <c r="M57" s="104"/>
      <c r="N57" s="102"/>
      <c r="O57" s="107"/>
      <c r="P57" s="21">
        <f t="array" aca="1" ref="P57" ca="1">IFERROR(IF(M56&lt;&gt;"",INDEX('シフト一覧（転載）'!$F$8:$AK$100,
    MATCH(1,(ISNUMBER(SEARCH(M56,'シフト一覧（転載）'!$A$8:$A$100)))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MATCH(1,(ISNUMBER(SEARCH(M56,'シフト一覧（転載）'!$A$8:$A$100)))
                *(ISNUMBER(SEARCH($F$9,'シフト一覧（転載）'!$B$8:$B$100))),
                0),0),0)),0),"")</f>
        <v>0</v>
      </c>
      <c r="Q57" s="21">
        <f ca="1">IF(P56=0,0,
IF(OR(P56="",COUNTIF(P56,"*保育無し*")),"",
IF(MOD(P57-P56,1)*24&gt;=8,1,
IF(MOD(P57-P56,1)*24&gt;=6,0.75,0))))</f>
        <v>0</v>
      </c>
      <c r="R57" s="21">
        <f t="array" aca="1" ref="R57" ca="1">IFERROR(IF(Q56&lt;&gt;0,INDEX(
INDIRECT("'シフト一覧（転載）'!"&amp;Q56&amp;":AK100"),1+1,
MATCH(1,INDEX((LEN(INDIRECT("'シフト一覧（転載）'!"&amp;Q56&amp;":AK100"))&gt;0)
*(INDIRECT("'シフト一覧（転載）'!"&amp;Q56&amp;":AK100")&lt;&gt;"休み"),1,0),0)),0),"")</f>
        <v>0</v>
      </c>
      <c r="S57" s="21">
        <f ca="1">IF(R56=0,0,
IF(OR(R56="",COUNTIF(R56,"*保育無し*")),"",
IF(MOD(R57-R56,1)*24&gt;=8,1,
IF(MOD(R57-R56,1)*24&gt;=6,0.75,0))))</f>
        <v>0</v>
      </c>
      <c r="T57" s="21">
        <f t="array" aca="1" ref="T57" ca="1">IFERROR(IF(S56&lt;&gt;0,INDEX(
INDIRECT("'シフト一覧（転載）'!"&amp;S56&amp;":AK100"),1+1,
MATCH(1,INDEX((LEN(INDIRECT("'シフト一覧（転載）'!"&amp;S56&amp;":AK100"))&gt;0)
*(INDIRECT("'シフト一覧（転載）'!"&amp;S56&amp;":AK100")&lt;&gt;"休み"),1,0),0)),0),"")</f>
        <v>0</v>
      </c>
      <c r="U57" s="21">
        <f ca="1">IF(T56=0,0,
IF(OR(T56="",COUNTIF(T56,"*保育無し*")),"",
IF(MOD(T57-T56,1)*24&gt;=8,1,
IF(MOD(T57-T56,1)*24&gt;=6,0.75,0))))</f>
        <v>0</v>
      </c>
      <c r="V57" s="21">
        <f t="array" aca="1" ref="V57" ca="1">IFERROR(IF(U56&lt;&gt;0,INDEX(
INDIRECT("'シフト一覧（転載）'!"&amp;U56&amp;":AK100"),1+1,
MATCH(1,INDEX((LEN(INDIRECT("'シフト一覧（転載）'!"&amp;U56&amp;":AK100"))&gt;0)
*(INDIRECT("'シフト一覧（転載）'!"&amp;U56&amp;":AK100")&lt;&gt;"休み"),1,0),0)),0),"")</f>
        <v>0</v>
      </c>
      <c r="W57" s="21">
        <f ca="1">IF(V56=0,0,
IF(OR(V56="",COUNTIF(V56,"*保育無し*")),"",
IF(MOD(V57-V56,1)*24&gt;=8,1,
IF(MOD(V57-V56,1)*24&gt;=6,0.75,0))))</f>
        <v>0</v>
      </c>
      <c r="X57" s="21">
        <f t="array" aca="1" ref="X57" ca="1">IFERROR(IF(W56&lt;&gt;0,INDEX(
INDIRECT("'シフト一覧（転載）'!"&amp;W56&amp;":AK100"),1+1,
MATCH(1,INDEX((LEN(INDIRECT("'シフト一覧（転載）'!"&amp;W56&amp;":AK100"))&gt;0)
*(INDIRECT("'シフト一覧（転載）'!"&amp;W56&amp;":AK100")&lt;&gt;"休み"),1,0),0)),0),"")</f>
        <v>0</v>
      </c>
      <c r="Y57" s="21">
        <f ca="1">IF(X56=0,0,
IF(OR(X56="",COUNTIF(X56,"*保育無し*")),"",
IF(MOD(X57-X56,1)*24&gt;=8,1,
IF(MOD(X57-X56,1)*24&gt;=6,0.75,0))))</f>
        <v>0</v>
      </c>
      <c r="Z57" s="21">
        <f t="array" aca="1" ref="Z57" ca="1">IFERROR(IF(Y56&lt;&gt;0,INDEX(
INDIRECT("'シフト一覧（転載）'!"&amp;Y56&amp;":AK100"),1+1,
MATCH(1,INDEX((LEN(INDIRECT("'シフト一覧（転載）'!"&amp;Y56&amp;":AK100"))&gt;0)
*(INDIRECT("'シフト一覧（転載）'!"&amp;Y56&amp;":AK100")&lt;&gt;"休み"),1,0),0)),0),"")</f>
        <v>0</v>
      </c>
      <c r="AA57" s="21">
        <f ca="1">IF(Z56=0,0,
IF(OR(Z56="",COUNTIF(Z56,"*保育無し*")),"",
IF(MOD(Z57-Z56,1)*24&gt;=8,1,
IF(MOD(Z57-Z56,1)*24&gt;=6,0.75,0))))</f>
        <v>0</v>
      </c>
      <c r="AB57" s="21">
        <f t="array" aca="1" ref="AB57" ca="1">IFERROR(IF(AA56&lt;&gt;0,INDEX(
INDIRECT("'シフト一覧（転載）'!"&amp;AA56&amp;":AK100"),1+1,
MATCH(1,INDEX((LEN(INDIRECT("'シフト一覧（転載）'!"&amp;AA56&amp;":AK100"))&gt;0)
*(INDIRECT("'シフト一覧（転載）'!"&amp;AA56&amp;":AK100")&lt;&gt;"休み"),1,0),0)),0),"")</f>
        <v>0</v>
      </c>
      <c r="AC57" s="21">
        <f ca="1">IF(AB56=0,0,
IF(OR(AB56="",COUNTIF(AB56,"*保育無し*")),"",
IF(MOD(AB57-AB56,1)*24&gt;=8,1,
IF(MOD(AB57-AB56,1)*24&gt;=6,0.75,0))))</f>
        <v>0</v>
      </c>
      <c r="AD57" s="21">
        <f t="array" aca="1" ref="AD57" ca="1">IFERROR(IF(AC56&lt;&gt;0,INDEX(
INDIRECT("'シフト一覧（転載）'!"&amp;AC56&amp;":AK100"),1+1,
MATCH(1,INDEX((LEN(INDIRECT("'シフト一覧（転載）'!"&amp;AC56&amp;":AK100"))&gt;0)
*(INDIRECT("'シフト一覧（転載）'!"&amp;AC56&amp;":AK100")&lt;&gt;"休み"),1,0),0)),0),"")</f>
        <v>0</v>
      </c>
      <c r="AE57" s="21">
        <f ca="1">IF(AD56=0,0,
IF(OR(AD56="",COUNTIF(AD56,"*保育無し*")),"",
IF(MOD(AD57-AD56,1)*24&gt;=8,1,
IF(MOD(AD57-AD56,1)*24&gt;=6,0.75,0))))</f>
        <v>0</v>
      </c>
      <c r="AF57" s="21">
        <f t="array" aca="1" ref="AF57" ca="1">IFERROR(IF(AE56&lt;&gt;0,INDEX(
INDIRECT("'シフト一覧（転載）'!"&amp;AE56&amp;":AK100"),1+1,
MATCH(1,INDEX((LEN(INDIRECT("'シフト一覧（転載）'!"&amp;AE56&amp;":AK100"))&gt;0)
*(INDIRECT("'シフト一覧（転載）'!"&amp;AE56&amp;":AK100")&lt;&gt;"休み"),1,0),0)),0),"")</f>
        <v>0</v>
      </c>
      <c r="AG57" s="21">
        <f ca="1">IF(AF56=0,0,
IF(OR(AF56="",COUNTIF(AF56,"*保育無し*")),"",
IF(MOD(AF57-AF56,1)*24&gt;=8,1,
IF(MOD(AF57-AF56,1)*24&gt;=6,0.75,0))))</f>
        <v>0</v>
      </c>
      <c r="AH57" s="21">
        <f t="array" aca="1" ref="AH57" ca="1">IFERROR(IF(AG56&lt;&gt;0,INDEX(
INDIRECT("'シフト一覧（転載）'!"&amp;AG56&amp;":AK100"),1+1,
MATCH(1,INDEX((LEN(INDIRECT("'シフト一覧（転載）'!"&amp;AG56&amp;":AK100"))&gt;0)
*(INDIRECT("'シフト一覧（転載）'!"&amp;AG56&amp;":AK100")&lt;&gt;"休み"),1,0),0)),0),"")</f>
        <v>0</v>
      </c>
      <c r="AI57" s="21">
        <f ca="1">IF(AH56=0,0,
IF(OR(AH56="",COUNTIF(AH56,"*保育無し*")),"",
IF(MOD(AH57-AH56,1)*24&gt;=8,1,
IF(MOD(AH57-AH56,1)*24&gt;=6,0.75,0))))</f>
        <v>0</v>
      </c>
      <c r="AJ57" s="21">
        <f t="array" aca="1" ref="AJ57" ca="1">IFERROR(IF(AI56&lt;&gt;0,INDEX(
INDIRECT("'シフト一覧（転載）'!"&amp;AI56&amp;":AK100"),1+1,
MATCH(1,INDEX((LEN(INDIRECT("'シフト一覧（転載）'!"&amp;AI56&amp;":AK100"))&gt;0)
*(INDIRECT("'シフト一覧（転載）'!"&amp;AI56&amp;":AK100")&lt;&gt;"休み"),1,0),0)),0),"")</f>
        <v>0</v>
      </c>
      <c r="AK57" s="21">
        <f ca="1">IF(AJ56=0,0,
IF(OR(AJ56="",COUNTIF(AJ56,"*保育無し*")),"",
IF(MOD(AJ57-AJ56,1)*24&gt;=8,1,
IF(MOD(AJ57-AJ56,1)*24&gt;=6,0.75,0))))</f>
        <v>0</v>
      </c>
      <c r="AL57" s="21">
        <f t="array" aca="1" ref="AL57" ca="1">IFERROR(IF(AK56&lt;&gt;0,INDEX(
INDIRECT("'シフト一覧（転載）'!"&amp;AK56&amp;":AK100"),1+1,
MATCH(1,INDEX((LEN(INDIRECT("'シフト一覧（転載）'!"&amp;AK56&amp;":AK100"))&gt;0)
*(INDIRECT("'シフト一覧（転載）'!"&amp;AK56&amp;":AK100")&lt;&gt;"休み"),1,0),0)),0),"")</f>
        <v>0</v>
      </c>
      <c r="AM57" s="21">
        <f ca="1">IF(AL56=0,0,
IF(OR(AL56="",COUNTIF(AL56,"*保育無し*")),"",
IF(MOD(AL57-AL56,1)*24&gt;=8,1,
IF(MOD(AL57-AL56,1)*24&gt;=6,0.75,0))))</f>
        <v>0</v>
      </c>
      <c r="AN57" s="21">
        <f t="array" aca="1" ref="AN57" ca="1">IFERROR(IF(AM56&lt;&gt;0,INDEX(
INDIRECT("'シフト一覧（転載）'!"&amp;AM56&amp;":AK100"),1+1,
MATCH(1,INDEX((LEN(INDIRECT("'シフト一覧（転載）'!"&amp;AM56&amp;":AK100"))&gt;0)
*(INDIRECT("'シフト一覧（転載）'!"&amp;AM56&amp;":AK100")&lt;&gt;"休み"),1,0),0)),0),"")</f>
        <v>0</v>
      </c>
      <c r="AO57" s="21">
        <f ca="1">IF(AN56=0,0,
IF(OR(AN56="",COUNTIF(AN56,"*保育無し*")),"",
IF(MOD(AN57-AN56,1)*24&gt;=8,1,
IF(MOD(AN57-AN56,1)*24&gt;=6,0.75,0))))</f>
        <v>0</v>
      </c>
      <c r="AP57" s="21">
        <f t="array" aca="1" ref="AP57" ca="1">IFERROR(IF(AO56&lt;&gt;0,INDEX(
INDIRECT("'シフト一覧（転載）'!"&amp;AO56&amp;":AK100"),1+1,
MATCH(1,INDEX((LEN(INDIRECT("'シフト一覧（転載）'!"&amp;AO56&amp;":AK100"))&gt;0)
*(INDIRECT("'シフト一覧（転載）'!"&amp;AO56&amp;":AK100")&lt;&gt;"休み"),1,0),0)),0),"")</f>
        <v>0</v>
      </c>
      <c r="AQ57" s="21">
        <f ca="1">IF(AP56=0,0,
IF(OR(AP56="",COUNTIF(AP56,"*保育無し*")),"",
IF(MOD(AP57-AP56,1)*24&gt;=8,1,
IF(MOD(AP57-AP56,1)*24&gt;=6,0.75,0))))</f>
        <v>0</v>
      </c>
      <c r="AR57" s="21">
        <f t="array" aca="1" ref="AR57" ca="1">IFERROR(IF(AQ56&lt;&gt;0,INDEX(
INDIRECT("'シフト一覧（転載）'!"&amp;AQ56&amp;":AK100"),1+1,
MATCH(1,INDEX((LEN(INDIRECT("'シフト一覧（転載）'!"&amp;AQ56&amp;":AK100"))&gt;0)
*(INDIRECT("'シフト一覧（転載）'!"&amp;AQ56&amp;":AK100")&lt;&gt;"休み"),1,0),0)),0),"")</f>
        <v>0</v>
      </c>
      <c r="AS57" s="21">
        <f ca="1">IF(AR56=0,0,
IF(OR(AR56="",COUNTIF(AR56,"*保育無し*")),"",
IF(MOD(AR57-AR56,1)*24&gt;=8,1,
IF(MOD(AR57-AR56,1)*24&gt;=6,0.75,0))))</f>
        <v>0</v>
      </c>
      <c r="AT57" s="21">
        <f t="array" aca="1" ref="AT57" ca="1">IFERROR(IF(AS56&lt;&gt;0,INDEX(
INDIRECT("'シフト一覧（転載）'!"&amp;AS56&amp;":AK100"),1+1,
MATCH(1,INDEX((LEN(INDIRECT("'シフト一覧（転載）'!"&amp;AS56&amp;":AK100"))&gt;0)
*(INDIRECT("'シフト一覧（転載）'!"&amp;AS56&amp;":AK100")&lt;&gt;"休み"),1,0),0)),0),"")</f>
        <v>0</v>
      </c>
      <c r="AU57" s="21">
        <f ca="1">IF(AT56=0,0,
IF(OR(AT56="",COUNTIF(AT56,"*保育無し*")),"",
IF(MOD(AT57-AT56,1)*24&gt;=8,1,
IF(MOD(AT57-AT56,1)*24&gt;=6,0.75,0))))</f>
        <v>0</v>
      </c>
      <c r="AV57" s="21">
        <f t="array" aca="1" ref="AV57" ca="1">IFERROR(IF(AU56&lt;&gt;0,INDEX(
INDIRECT("'シフト一覧（転載）'!"&amp;AU56&amp;":AK100"),1+1,
MATCH(1,INDEX((LEN(INDIRECT("'シフト一覧（転載）'!"&amp;AU56&amp;":AK100"))&gt;0)
*(INDIRECT("'シフト一覧（転載）'!"&amp;AU56&amp;":AK100")&lt;&gt;"休み"),1,0),0)),0),"")</f>
        <v>0</v>
      </c>
      <c r="AW57" s="21">
        <f ca="1">IF(AV56=0,0,
IF(OR(AV56="",COUNTIF(AV56,"*保育無し*")),"",
IF(MOD(AV57-AV56,1)*24&gt;=8,1,
IF(MOD(AV57-AV56,1)*24&gt;=6,0.75,0))))</f>
        <v>0</v>
      </c>
      <c r="AX57" s="21">
        <f t="array" aca="1" ref="AX57" ca="1">IFERROR(IF(AW56&lt;&gt;0,INDEX(
INDIRECT("'シフト一覧（転載）'!"&amp;AW56&amp;":AK100"),1+1,
MATCH(1,INDEX((LEN(INDIRECT("'シフト一覧（転載）'!"&amp;AW56&amp;":AK100"))&gt;0)
*(INDIRECT("'シフト一覧（転載）'!"&amp;AW56&amp;":AK100")&lt;&gt;"休み"),1,0),0)),0),"")</f>
        <v>0</v>
      </c>
      <c r="AY57" s="21">
        <f ca="1">IF(AX56=0,0,
IF(OR(AX56="",COUNTIF(AX56,"*保育無し*")),"",
IF(MOD(AX57-AX56,1)*24&gt;=8,1,
IF(MOD(AX57-AX56,1)*24&gt;=6,0.75,0))))</f>
        <v>0</v>
      </c>
      <c r="AZ57" s="21">
        <f t="array" aca="1" ref="AZ57" ca="1">IFERROR(IF(AY56&lt;&gt;0,INDEX(
INDIRECT("'シフト一覧（転載）'!"&amp;AY56&amp;":AK100"),1+1,
MATCH(1,INDEX((LEN(INDIRECT("'シフト一覧（転載）'!"&amp;AY56&amp;":AK100"))&gt;0)
*(INDIRECT("'シフト一覧（転載）'!"&amp;AY56&amp;":AK100")&lt;&gt;"休み"),1,0),0)),0),"")</f>
        <v>0</v>
      </c>
      <c r="BA57" s="21">
        <f ca="1">IF(AZ56=0,0,
IF(OR(AZ56="",COUNTIF(AZ56,"*保育無し*")),"",
IF(MOD(AZ57-AZ56,1)*24&gt;=8,1,
IF(MOD(AZ57-AZ56,1)*24&gt;=6,0.75,0))))</f>
        <v>0</v>
      </c>
      <c r="BB57" s="21">
        <f t="array" aca="1" ref="BB57" ca="1">IFERROR(IF(BA56&lt;&gt;0,INDEX(
INDIRECT("'シフト一覧（転載）'!"&amp;BA56&amp;":AK100"),1+1,
MATCH(1,INDEX((LEN(INDIRECT("'シフト一覧（転載）'!"&amp;BA56&amp;":AK100"))&gt;0)
*(INDIRECT("'シフト一覧（転載）'!"&amp;BA56&amp;":AK100")&lt;&gt;"休み"),1,0),0)),0),"")</f>
        <v>0</v>
      </c>
      <c r="BC57" s="21">
        <f ca="1">IF(BB56=0,0,
IF(OR(BB56="",COUNTIF(BB56,"*保育無し*")),"",
IF(MOD(BB57-BB56,1)*24&gt;=8,1,
IF(MOD(BB57-BB56,1)*24&gt;=6,0.75,0))))</f>
        <v>0</v>
      </c>
      <c r="BD57" s="21">
        <f t="array" aca="1" ref="BD57" ca="1">IFERROR(IF(BC56&lt;&gt;0,INDEX(
INDIRECT("'シフト一覧（転載）'!"&amp;BC56&amp;":AK100"),1+1,
MATCH(1,INDEX((LEN(INDIRECT("'シフト一覧（転載）'!"&amp;BC56&amp;":AK100"))&gt;0)
*(INDIRECT("'シフト一覧（転載）'!"&amp;BC56&amp;":AK100")&lt;&gt;"休み"),1,0),0)),0),"")</f>
        <v>0</v>
      </c>
      <c r="BE57" s="21">
        <f ca="1">IF(BD56=0,0,
IF(OR(BD56="",COUNTIF(BD56,"*保育無し*")),"",
IF(MOD(BD57-BD56,1)*24&gt;=8,1,
IF(MOD(BD57-BD56,1)*24&gt;=6,0.75,0))))</f>
        <v>0</v>
      </c>
      <c r="BF57" s="21">
        <f t="array" aca="1" ref="BF57" ca="1">IFERROR(IF(BE56&lt;&gt;0,INDEX(
INDIRECT("'シフト一覧（転載）'!"&amp;BE56&amp;":AK100"),1+1,
MATCH(1,INDEX((LEN(INDIRECT("'シフト一覧（転載）'!"&amp;BE56&amp;":AK100"))&gt;0)
*(INDIRECT("'シフト一覧（転載）'!"&amp;BE56&amp;":AK100")&lt;&gt;"休み"),1,0),0)),0),"")</f>
        <v>0</v>
      </c>
      <c r="BG57" s="21">
        <f ca="1">IF(BF56=0,0,
IF(OR(BF56="",COUNTIF(BF56,"*保育無し*")),"",
IF(MOD(BF57-BF56,1)*24&gt;=8,1,
IF(MOD(BF57-BF56,1)*24&gt;=6,0.75,0))))</f>
        <v>0</v>
      </c>
      <c r="BH57" s="21">
        <f t="array" aca="1" ref="BH57" ca="1">IFERROR(IF(BG56&lt;&gt;0,INDEX(
INDIRECT("'シフト一覧（転載）'!"&amp;BG56&amp;":AK100"),1+1,
MATCH(1,INDEX((LEN(INDIRECT("'シフト一覧（転載）'!"&amp;BG56&amp;":AK100"))&gt;0)
*(INDIRECT("'シフト一覧（転載）'!"&amp;BG56&amp;":AK100")&lt;&gt;"休み"),1,0),0)),0),"")</f>
        <v>0</v>
      </c>
      <c r="BI57" s="21">
        <f ca="1">IF(BH56=0,0,
IF(OR(BH56="",COUNTIF(BH56,"*保育無し*")),"",
IF(MOD(BH57-BH56,1)*24&gt;=8,1,
IF(MOD(BH57-BH56,1)*24&gt;=6,0.75,0))))</f>
        <v>0</v>
      </c>
      <c r="BJ57" s="21">
        <f t="array" aca="1" ref="BJ57" ca="1">IFERROR(IF(BI56&lt;&gt;0,INDEX(
INDIRECT("'シフト一覧（転載）'!"&amp;BI56&amp;":AK100"),1+1,
MATCH(1,INDEX((LEN(INDIRECT("'シフト一覧（転載）'!"&amp;BI56&amp;":AK100"))&gt;0)
*(INDIRECT("'シフト一覧（転載）'!"&amp;BI56&amp;":AK100")&lt;&gt;"休み"),1,0),0)),0),"")</f>
        <v>0</v>
      </c>
      <c r="BK57" s="21">
        <f ca="1">IF(BJ56=0,0,
IF(OR(BJ56="",COUNTIF(BJ56,"*保育無し*")),"",
IF(MOD(BJ57-BJ56,1)*24&gt;=8,1,
IF(MOD(BJ57-BJ56,1)*24&gt;=6,0.75,0))))</f>
        <v>0</v>
      </c>
      <c r="BL57" s="21">
        <f t="array" aca="1" ref="BL57" ca="1">IFERROR(IF(BK56&lt;&gt;0,INDEX(
INDIRECT("'シフト一覧（転載）'!"&amp;BK56&amp;":AK100"),1+1,
MATCH(1,INDEX((LEN(INDIRECT("'シフト一覧（転載）'!"&amp;BK56&amp;":AK100"))&gt;0)
*(INDIRECT("'シフト一覧（転載）'!"&amp;BK56&amp;":AK100")&lt;&gt;"休み"),1,0),0)),0),"")</f>
        <v>0</v>
      </c>
      <c r="BM57" s="21">
        <f ca="1">IF(BL56=0,0,
IF(OR(BL56="",COUNTIF(BL56,"*保育無し*")),"",
IF(MOD(BL57-BL56,1)*24&gt;=8,1,
IF(MOD(BL57-BL56,1)*24&gt;=6,0.75,0))))</f>
        <v>0</v>
      </c>
      <c r="BN57" s="21">
        <f t="array" aca="1" ref="BN57" ca="1">IFERROR(IF(BM56&lt;&gt;0,INDEX(
INDIRECT("'シフト一覧（転載）'!"&amp;BM56&amp;":AK100"),1+1,
MATCH(1,INDEX((LEN(INDIRECT("'シフト一覧（転載）'!"&amp;BM56&amp;":AK100"))&gt;0)
*(INDIRECT("'シフト一覧（転載）'!"&amp;BM56&amp;":AK100")&lt;&gt;"休み"),1,0),0)),0),"")</f>
        <v>0</v>
      </c>
      <c r="BO57" s="21">
        <f ca="1">IF(BN56=0,0,
IF(OR(BN56="",COUNTIF(BN56,"*保育無し*")),"",
IF(MOD(BN57-BN56,1)*24&gt;=8,1,
IF(MOD(BN57-BN56,1)*24&gt;=6,0.75,0))))</f>
        <v>0</v>
      </c>
      <c r="BP57" s="21">
        <f t="array" aca="1" ref="BP57" ca="1">IFERROR(IF(BO56&lt;&gt;0,INDEX(
INDIRECT("'シフト一覧（転載）'!"&amp;BO56&amp;":AK100"),1+1,
MATCH(1,INDEX((LEN(INDIRECT("'シフト一覧（転載）'!"&amp;BO56&amp;":AK100"))&gt;0)
*(INDIRECT("'シフト一覧（転載）'!"&amp;BO56&amp;":AK100")&lt;&gt;"休み"),1,0),0)),0),"")</f>
        <v>0</v>
      </c>
      <c r="BQ57" s="21">
        <f ca="1">IF(BP56=0,0,
IF(OR(BP56="",COUNTIF(BP56,"*保育無し*")),"",
IF(MOD(BP57-BP56,1)*24&gt;=8,1,
IF(MOD(BP57-BP56,1)*24&gt;=6,0.75,0))))</f>
        <v>0</v>
      </c>
      <c r="BR57" s="21">
        <f t="array" aca="1" ref="BR57" ca="1">IFERROR(IF(BQ56&lt;&gt;0,INDEX(
INDIRECT("'シフト一覧（転載）'!"&amp;BQ56&amp;":AK100"),1+1,
MATCH(1,INDEX((LEN(INDIRECT("'シフト一覧（転載）'!"&amp;BQ56&amp;":AK100"))&gt;0)
*(INDIRECT("'シフト一覧（転載）'!"&amp;BQ56&amp;":AK100")&lt;&gt;"休み"),1,0),0)),0),"")</f>
        <v>0</v>
      </c>
      <c r="BS57" s="21">
        <f ca="1">IF(BR56=0,0,
IF(OR(BR56="",COUNTIF(BR56,"*保育無し*")),"",
IF(MOD(BR57-BR56,1)*24&gt;=8,1,
IF(MOD(BR57-BR56,1)*24&gt;=6,0.75,0))))</f>
        <v>0</v>
      </c>
      <c r="BT57" s="21">
        <f t="array" aca="1" ref="BT57" ca="1">IFERROR(IF(BS56&lt;&gt;0,INDEX(
INDIRECT("'シフト一覧（転載）'!"&amp;BS56&amp;":AK100"),1+1,
MATCH(1,INDEX((LEN(INDIRECT("'シフト一覧（転載）'!"&amp;BS56&amp;":AK100"))&gt;0)
*(INDIRECT("'シフト一覧（転載）'!"&amp;BS56&amp;":AK100")&lt;&gt;"休み"),1,0),0)),0),"")</f>
        <v>0</v>
      </c>
      <c r="BU57" s="21">
        <f ca="1">IF(BT56=0,0,
IF(OR(BT56="",COUNTIF(BT56,"*保育無し*")),"",
IF(MOD(BT57-BT56,1)*24&gt;=8,1,
IF(MOD(BT57-BT56,1)*24&gt;=6,0.75,0))))</f>
        <v>0</v>
      </c>
      <c r="BV57" s="21">
        <f t="array" aca="1" ref="BV57" ca="1">IFERROR(IF(BU56&lt;&gt;0,INDEX(
INDIRECT("'シフト一覧（転載）'!"&amp;BU56&amp;":AK100"),1+1,
MATCH(1,INDEX((LEN(INDIRECT("'シフト一覧（転載）'!"&amp;BU56&amp;":AK100"))&gt;0)
*(INDIRECT("'シフト一覧（転載）'!"&amp;BU56&amp;":AK100")&lt;&gt;"休み"),1,0),0)),0),"")</f>
        <v>0</v>
      </c>
      <c r="BW57" s="21">
        <f ca="1">IF(BV56=0,0,
IF(OR(BV56="",COUNTIF(BV56,"*保育無し*")),"",
IF(MOD(BV57-BV56,1)*24&gt;=8,1,
IF(MOD(BV57-BV56,1)*24&gt;=6,0.75,0))))</f>
        <v>0</v>
      </c>
      <c r="BX57" s="21">
        <f t="array" aca="1" ref="BX57" ca="1">IFERROR(IF(BW56&lt;&gt;0,INDEX(
INDIRECT("'シフト一覧（転載）'!"&amp;BW56&amp;":AK100"),1+1,
MATCH(1,INDEX((LEN(INDIRECT("'シフト一覧（転載）'!"&amp;BW56&amp;":AK100"))&gt;0)
*(INDIRECT("'シフト一覧（転載）'!"&amp;BW56&amp;":AK100")&lt;&gt;"休み"),1,0),0)),0),"")</f>
        <v>0</v>
      </c>
      <c r="BY57" s="21">
        <f ca="1">IF(BX56=0,0,
IF(OR(BX56="",COUNTIF(BX56,"*保育無し*")),"",
IF(MOD(BX57-BX56,1)*24&gt;=8,1,
IF(MOD(BX57-BX56,1)*24&gt;=6,0.75,0))))</f>
        <v>0</v>
      </c>
    </row>
    <row r="58" spans="13:77" ht="19.8" customHeight="1" x14ac:dyDescent="0.2">
      <c r="M58" s="103" t="str" cm="1">
        <f t="array" aca="1" ref="M5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58" s="101" t="str">
        <f t="shared" ref="N58" ca="1" si="28">IF(M58&lt;&gt;"",VLOOKUP(M58,$B$12:$C$41,2,FALSE),"")</f>
        <v/>
      </c>
      <c r="O58" s="106" cm="1">
        <f t="array" aca="1" ref="O58" ca="1">IF(COUNTIF(P58,"*保育無*"),0,
SUM(IF(
MOD(COLUMN(INDIRECT("P"&amp; ROW() &amp; ":" &amp; ADDRESS(ROW(), IFERROR(MATCH("*保育無し*", INDIRECT("P"&amp; ROW() &amp; ":BY" &amp; ROW()), 0) + COLUMN(P58) - 2, COLUMN(BX58) + 1), 4))) - COLUMN(P58), 2) = 0,
MOD(INDIRECT("P"&amp; ROW()+1 &amp; ":" &amp; ADDRESS(ROW()+1, IFERROR(MATCH("*保育無し*", INDIRECT("P"&amp; ROW() &amp; ":BY" &amp; ROW()), 0) + COLUMN(P58) - 2, COLUMN(BX58) + 1), 4)) - INDIRECT("P"&amp; ROW() &amp; ":" &amp; ADDRESS(ROW(), IFERROR(MATCH("*保育無し*", INDIRECT("P"&amp; ROW() &amp; ":BY" &amp; ROW()), 0) + COLUMN(P58) - 2, COLUMN(BX58) + 1), 4)),1),0))*24
-SUM(_xlfn._xlws.FILTER(P59:BX59, MOD(COLUMN(P59:BX59) - COLUMN(P59), 2) = 1)))</f>
        <v>0</v>
      </c>
      <c r="P58" s="20">
        <f t="array" aca="1" ref="P58" ca="1">IFERROR(IF(M58&lt;&gt;"",INDEX('シフト一覧（転載）'!$F$8:$AK$100,
    MATCH(1,(ISNUMBER(SEARCH(M58,'シフト一覧（転載）'!$A$8:$A$100)))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MATCH(1,(ISNUMBER(SEARCH(M58,'シフト一覧（転載）'!$A$8:$A$100)))
                *(ISNUMBER(SEARCH($F$9,'シフト一覧（転載）'!$B$8:$B$100))),
                0),0),0)),0),$F$9&amp;"保育無し")</f>
        <v>0</v>
      </c>
      <c r="Q58" s="20">
        <f t="array" aca="1" ref="Q58" ca="1">IFERROR(IF(COUNTIF(P58,"*無*"),"",IF(M58&lt;&gt;"",ADDRESS(
    MATCH(1,(ISNUMBER(SEARCH(M58,'シフト一覧（転載）'!$A$8:$A$100)))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MATCH(1,(ISNUMBER(SEARCH(M58,'シフト一覧（転載）'!$A$8:$A$100)))
                *(ISNUMBER(SEARCH($F$9,'シフト一覧（転載）'!$B$8:$B$100))),0),0),0) + 6,4),0)),0)</f>
        <v>0</v>
      </c>
      <c r="R58" s="20">
        <f t="array" aca="1" ref="R58" ca="1">IFERROR(IF(Q58&lt;&gt;"",IF(Q58&lt;&gt;0,INDEX(
INDIRECT("'シフト一覧（転載）'!"&amp;Q58&amp;":AK100"),1,
MATCH(1,INDEX((LEN(INDIRECT("'シフト一覧（転載）'!"&amp;Q58&amp;":AK100"))&gt;0)
*(INDIRECT("'シフト一覧（転載）'!"&amp;Q58&amp;":AK100")&lt;&gt;"休み"),1,0),0)),0),""),$F$9&amp;"保育無し")</f>
        <v>0</v>
      </c>
      <c r="S58" s="20">
        <f t="array" aca="1" ref="S58" ca="1">IFERROR(IF(Q58&lt;&gt;0,ADDRESS(ROW(INDIRECT(Q58)),
    COLUMN(INDIRECT(Q58)) - 1 +
    MATCH(1,INDEX((LEN(INDIRECT("'シフト一覧（転載）'!"&amp;Q58&amp;":AK100"))&gt;0)
            *(INDIRECT("'シフト一覧（転載）'!"&amp;Q58&amp;":AK100")&lt;&gt;"休み"),
            1,0),0)+1,4),0),"")</f>
        <v>0</v>
      </c>
      <c r="T58" s="20">
        <f t="array" aca="1" ref="T58" ca="1">IFERROR(IF(S58&lt;&gt;"",IF(S58&lt;&gt;0,INDEX(
INDIRECT("'シフト一覧（転載）'!"&amp;S58&amp;":AK100"),1,
MATCH(1,INDEX((LEN(INDIRECT("'シフト一覧（転載）'!"&amp;S58&amp;":AK100"))&gt;0)
*(INDIRECT("'シフト一覧（転載）'!"&amp;S58&amp;":AK100")&lt;&gt;"休み"),1,0),0)),0),""),$F$9&amp;"保育無し")</f>
        <v>0</v>
      </c>
      <c r="U58" s="20">
        <f t="array" aca="1" ref="U58" ca="1">IFERROR(IF(S58&lt;&gt;0,ADDRESS(ROW(INDIRECT(S58)),
    COLUMN(INDIRECT(S58)) - 1 +
    MATCH(1,INDEX((LEN(INDIRECT("'シフト一覧（転載）'!"&amp;S58&amp;":AK100"))&gt;0)
            *(INDIRECT("'シフト一覧（転載）'!"&amp;S58&amp;":AK100")&lt;&gt;"休み"),
            1,0),0)+1,4),0),"")</f>
        <v>0</v>
      </c>
      <c r="V58" s="20">
        <f t="array" aca="1" ref="V58" ca="1">IFERROR(IF(U58&lt;&gt;"",IF(U58&lt;&gt;0,INDEX(
INDIRECT("'シフト一覧（転載）'!"&amp;U58&amp;":AK100"),1,
MATCH(1,INDEX((LEN(INDIRECT("'シフト一覧（転載）'!"&amp;U58&amp;":AK100"))&gt;0)
*(INDIRECT("'シフト一覧（転載）'!"&amp;U58&amp;":AK100")&lt;&gt;"休み"),1,0),0)),0),""),$F$9&amp;"保育無し")</f>
        <v>0</v>
      </c>
      <c r="W58" s="20">
        <f t="array" aca="1" ref="W58" ca="1">IFERROR(IF(U58&lt;&gt;0,ADDRESS(ROW(INDIRECT(U58)),
    COLUMN(INDIRECT(U58)) - 1 +
    MATCH(1,INDEX((LEN(INDIRECT("'シフト一覧（転載）'!"&amp;U58&amp;":AK100"))&gt;0)
            *(INDIRECT("'シフト一覧（転載）'!"&amp;U58&amp;":AK100")&lt;&gt;"休み"),
            1,0),0)+1,4),0),"")</f>
        <v>0</v>
      </c>
      <c r="X58" s="20">
        <f t="array" aca="1" ref="X58" ca="1">IFERROR(IF(W58&lt;&gt;"",IF(W58&lt;&gt;0,INDEX(
INDIRECT("'シフト一覧（転載）'!"&amp;W58&amp;":AK100"),1,
MATCH(1,INDEX((LEN(INDIRECT("'シフト一覧（転載）'!"&amp;W58&amp;":AK100"))&gt;0)
*(INDIRECT("'シフト一覧（転載）'!"&amp;W58&amp;":AK100")&lt;&gt;"休み"),1,0),0)),0),""),$F$9&amp;"保育無し")</f>
        <v>0</v>
      </c>
      <c r="Y58" s="20">
        <f t="array" aca="1" ref="Y58" ca="1">IFERROR(IF(W58&lt;&gt;0,ADDRESS(ROW(INDIRECT(W58)),
    COLUMN(INDIRECT(W58)) - 1 +
    MATCH(1,INDEX((LEN(INDIRECT("'シフト一覧（転載）'!"&amp;W58&amp;":AK100"))&gt;0)
            *(INDIRECT("'シフト一覧（転載）'!"&amp;W58&amp;":AK100")&lt;&gt;"休み"),
            1,0),0)+1,4),0),"")</f>
        <v>0</v>
      </c>
      <c r="Z58" s="20">
        <f t="array" aca="1" ref="Z58" ca="1">IFERROR(IF(Y58&lt;&gt;"",IF(Y58&lt;&gt;0,INDEX(
INDIRECT("'シフト一覧（転載）'!"&amp;Y58&amp;":AK100"),1,
MATCH(1,INDEX((LEN(INDIRECT("'シフト一覧（転載）'!"&amp;Y58&amp;":AK100"))&gt;0)
*(INDIRECT("'シフト一覧（転載）'!"&amp;Y58&amp;":AK100")&lt;&gt;"休み"),1,0),0)),0),""),$F$9&amp;"保育無し")</f>
        <v>0</v>
      </c>
      <c r="AA58" s="20">
        <f t="array" aca="1" ref="AA58" ca="1">IFERROR(IF(Y58&lt;&gt;0,ADDRESS(ROW(INDIRECT(Y58)),
    COLUMN(INDIRECT(Y58)) - 1 +
    MATCH(1,INDEX((LEN(INDIRECT("'シフト一覧（転載）'!"&amp;Y58&amp;":AK100"))&gt;0)
            *(INDIRECT("'シフト一覧（転載）'!"&amp;Y58&amp;":AK100")&lt;&gt;"休み"),
            1,0),0)+1,4),0),"")</f>
        <v>0</v>
      </c>
      <c r="AB58" s="20">
        <f t="array" aca="1" ref="AB58" ca="1">IFERROR(IF(AA58&lt;&gt;"",IF(AA58&lt;&gt;0,INDEX(
INDIRECT("'シフト一覧（転載）'!"&amp;AA58&amp;":AK100"),1,
MATCH(1,INDEX((LEN(INDIRECT("'シフト一覧（転載）'!"&amp;AA58&amp;":AK100"))&gt;0)
*(INDIRECT("'シフト一覧（転載）'!"&amp;AA58&amp;":AK100")&lt;&gt;"休み"),1,0),0)),0),""),$F$9&amp;"保育無し")</f>
        <v>0</v>
      </c>
      <c r="AC58" s="20">
        <f t="array" aca="1" ref="AC58" ca="1">IFERROR(IF(AA58&lt;&gt;0,ADDRESS(ROW(INDIRECT(AA58)),
    COLUMN(INDIRECT(AA58)) - 1 +
    MATCH(1,INDEX((LEN(INDIRECT("'シフト一覧（転載）'!"&amp;AA58&amp;":AK100"))&gt;0)
            *(INDIRECT("'シフト一覧（転載）'!"&amp;AA58&amp;":AK100")&lt;&gt;"休み"),
            1,0),0)+1,4),0),"")</f>
        <v>0</v>
      </c>
      <c r="AD58" s="20">
        <f t="array" aca="1" ref="AD58" ca="1">IFERROR(IF(AC58&lt;&gt;"",IF(AC58&lt;&gt;0,INDEX(
INDIRECT("'シフト一覧（転載）'!"&amp;AC58&amp;":AK100"),1,
MATCH(1,INDEX((LEN(INDIRECT("'シフト一覧（転載）'!"&amp;AC58&amp;":AK100"))&gt;0)
*(INDIRECT("'シフト一覧（転載）'!"&amp;AC58&amp;":AK100")&lt;&gt;"休み"),1,0),0)),0),""),$F$9&amp;"保育無し")</f>
        <v>0</v>
      </c>
      <c r="AE58" s="20">
        <f t="array" aca="1" ref="AE58" ca="1">IFERROR(IF(AC58&lt;&gt;0,ADDRESS(ROW(INDIRECT(AC58)),
    COLUMN(INDIRECT(AC58)) - 1 +
    MATCH(1,INDEX((LEN(INDIRECT("'シフト一覧（転載）'!"&amp;AC58&amp;":AK100"))&gt;0)
            *(INDIRECT("'シフト一覧（転載）'!"&amp;AC58&amp;":AK100")&lt;&gt;"休み"),
            1,0),0)+1,4),0),"")</f>
        <v>0</v>
      </c>
      <c r="AF58" s="20">
        <f t="array" aca="1" ref="AF58" ca="1">IFERROR(IF(AE58&lt;&gt;"",IF(AE58&lt;&gt;0,INDEX(
INDIRECT("'シフト一覧（転載）'!"&amp;AE58&amp;":AK100"),1,
MATCH(1,INDEX((LEN(INDIRECT("'シフト一覧（転載）'!"&amp;AE58&amp;":AK100"))&gt;0)
*(INDIRECT("'シフト一覧（転載）'!"&amp;AE58&amp;":AK100")&lt;&gt;"休み"),1,0),0)),0),""),$F$9&amp;"保育無し")</f>
        <v>0</v>
      </c>
      <c r="AG58" s="20">
        <f t="array" aca="1" ref="AG58" ca="1">IFERROR(IF(AE58&lt;&gt;0,ADDRESS(ROW(INDIRECT(AE58)),
    COLUMN(INDIRECT(AE58)) - 1 +
    MATCH(1,INDEX((LEN(INDIRECT("'シフト一覧（転載）'!"&amp;AE58&amp;":AK100"))&gt;0)
            *(INDIRECT("'シフト一覧（転載）'!"&amp;AE58&amp;":AK100")&lt;&gt;"休み"),
            1,0),0)+1,4),0),"")</f>
        <v>0</v>
      </c>
      <c r="AH58" s="20">
        <f t="array" aca="1" ref="AH58" ca="1">IFERROR(IF(AG58&lt;&gt;"",IF(AG58&lt;&gt;0,INDEX(
INDIRECT("'シフト一覧（転載）'!"&amp;AG58&amp;":AK100"),1,
MATCH(1,INDEX((LEN(INDIRECT("'シフト一覧（転載）'!"&amp;AG58&amp;":AK100"))&gt;0)
*(INDIRECT("'シフト一覧（転載）'!"&amp;AG58&amp;":AK100")&lt;&gt;"休み"),1,0),0)),0),""),$F$9&amp;"保育無し")</f>
        <v>0</v>
      </c>
      <c r="AI58" s="20">
        <f t="array" aca="1" ref="AI58" ca="1">IFERROR(IF(AG58&lt;&gt;0,ADDRESS(ROW(INDIRECT(AG58)),
    COLUMN(INDIRECT(AG58)) - 1 +
    MATCH(1,INDEX((LEN(INDIRECT("'シフト一覧（転載）'!"&amp;AG58&amp;":AK100"))&gt;0)
            *(INDIRECT("'シフト一覧（転載）'!"&amp;AG58&amp;":AK100")&lt;&gt;"休み"),
            1,0),0)+1,4),0),"")</f>
        <v>0</v>
      </c>
      <c r="AJ58" s="20">
        <f t="array" aca="1" ref="AJ58" ca="1">IFERROR(IF(AI58&lt;&gt;"",IF(AI58&lt;&gt;0,INDEX(
INDIRECT("'シフト一覧（転載）'!"&amp;AI58&amp;":AK100"),1,
MATCH(1,INDEX((LEN(INDIRECT("'シフト一覧（転載）'!"&amp;AI58&amp;":AK100"))&gt;0)
*(INDIRECT("'シフト一覧（転載）'!"&amp;AI58&amp;":AK100")&lt;&gt;"休み"),1,0),0)),0),""),$F$9&amp;"保育無し")</f>
        <v>0</v>
      </c>
      <c r="AK58" s="20">
        <f t="array" aca="1" ref="AK58" ca="1">IFERROR(IF(AI58&lt;&gt;0,ADDRESS(ROW(INDIRECT(AI58)),
    COLUMN(INDIRECT(AI58)) - 1 +
    MATCH(1,INDEX((LEN(INDIRECT("'シフト一覧（転載）'!"&amp;AI58&amp;":AK100"))&gt;0)
            *(INDIRECT("'シフト一覧（転載）'!"&amp;AI58&amp;":AK100")&lt;&gt;"休み"),
            1,0),0)+1,4),0),"")</f>
        <v>0</v>
      </c>
      <c r="AL58" s="20">
        <f t="array" aca="1" ref="AL58" ca="1">IFERROR(IF(AK58&lt;&gt;"",IF(AK58&lt;&gt;0,INDEX(
INDIRECT("'シフト一覧（転載）'!"&amp;AK58&amp;":AK100"),1,
MATCH(1,INDEX((LEN(INDIRECT("'シフト一覧（転載）'!"&amp;AK58&amp;":AK100"))&gt;0)
*(INDIRECT("'シフト一覧（転載）'!"&amp;AK58&amp;":AK100")&lt;&gt;"休み"),1,0),0)),0),""),$F$9&amp;"保育無し")</f>
        <v>0</v>
      </c>
      <c r="AM58" s="20">
        <f t="array" aca="1" ref="AM58" ca="1">IFERROR(IF(AK58&lt;&gt;0,ADDRESS(ROW(INDIRECT(AK58)),
    COLUMN(INDIRECT(AK58)) - 1 +
    MATCH(1,INDEX((LEN(INDIRECT("'シフト一覧（転載）'!"&amp;AK58&amp;":AK100"))&gt;0)
            *(INDIRECT("'シフト一覧（転載）'!"&amp;AK58&amp;":AK100")&lt;&gt;"休み"),
            1,0),0)+1,4),0),"")</f>
        <v>0</v>
      </c>
      <c r="AN58" s="20">
        <f t="array" aca="1" ref="AN58" ca="1">IFERROR(IF(AM58&lt;&gt;"",IF(AM58&lt;&gt;0,INDEX(
INDIRECT("'シフト一覧（転載）'!"&amp;AM58&amp;":AK100"),1,
MATCH(1,INDEX((LEN(INDIRECT("'シフト一覧（転載）'!"&amp;AM58&amp;":AK100"))&gt;0)
*(INDIRECT("'シフト一覧（転載）'!"&amp;AM58&amp;":AK100")&lt;&gt;"休み"),1,0),0)),0),""),$F$9&amp;"保育無し")</f>
        <v>0</v>
      </c>
      <c r="AO58" s="20">
        <f t="array" aca="1" ref="AO58" ca="1">IFERROR(IF(AM58&lt;&gt;0,ADDRESS(ROW(INDIRECT(AM58)),
    COLUMN(INDIRECT(AM58)) - 1 +
    MATCH(1,INDEX((LEN(INDIRECT("'シフト一覧（転載）'!"&amp;AM58&amp;":AK100"))&gt;0)
            *(INDIRECT("'シフト一覧（転載）'!"&amp;AM58&amp;":AK100")&lt;&gt;"休み"),
            1,0),0)+1,4),0),"")</f>
        <v>0</v>
      </c>
      <c r="AP58" s="20">
        <f t="array" aca="1" ref="AP58" ca="1">IFERROR(IF(AO58&lt;&gt;"",IF(AO58&lt;&gt;0,INDEX(
INDIRECT("'シフト一覧（転載）'!"&amp;AO58&amp;":AK100"),1,
MATCH(1,INDEX((LEN(INDIRECT("'シフト一覧（転載）'!"&amp;AO58&amp;":AK100"))&gt;0)
*(INDIRECT("'シフト一覧（転載）'!"&amp;AO58&amp;":AK100")&lt;&gt;"休み"),1,0),0)),0),""),$F$9&amp;"保育無し")</f>
        <v>0</v>
      </c>
      <c r="AQ58" s="20">
        <f t="array" aca="1" ref="AQ58" ca="1">IFERROR(IF(AO58&lt;&gt;0,ADDRESS(ROW(INDIRECT(AO58)),
    COLUMN(INDIRECT(AO58)) - 1 +
    MATCH(1,INDEX((LEN(INDIRECT("'シフト一覧（転載）'!"&amp;AO58&amp;":AK100"))&gt;0)
            *(INDIRECT("'シフト一覧（転載）'!"&amp;AO58&amp;":AK100")&lt;&gt;"休み"),
            1,0),0)+1,4),0),"")</f>
        <v>0</v>
      </c>
      <c r="AR58" s="20">
        <f t="array" aca="1" ref="AR58" ca="1">IFERROR(IF(AQ58&lt;&gt;"",IF(AQ58&lt;&gt;0,INDEX(
INDIRECT("'シフト一覧（転載）'!"&amp;AQ58&amp;":AK100"),1,
MATCH(1,INDEX((LEN(INDIRECT("'シフト一覧（転載）'!"&amp;AQ58&amp;":AK100"))&gt;0)
*(INDIRECT("'シフト一覧（転載）'!"&amp;AQ58&amp;":AK100")&lt;&gt;"休み"),1,0),0)),0),""),$F$9&amp;"保育無し")</f>
        <v>0</v>
      </c>
      <c r="AS58" s="20">
        <f t="array" aca="1" ref="AS58" ca="1">IFERROR(IF(AQ58&lt;&gt;0,ADDRESS(ROW(INDIRECT(AQ58)),
    COLUMN(INDIRECT(AQ58)) - 1 +
    MATCH(1,INDEX((LEN(INDIRECT("'シフト一覧（転載）'!"&amp;AQ58&amp;":AK100"))&gt;0)
            *(INDIRECT("'シフト一覧（転載）'!"&amp;AQ58&amp;":AK100")&lt;&gt;"休み"),
            1,0),0)+1,4),0),"")</f>
        <v>0</v>
      </c>
      <c r="AT58" s="20">
        <f t="array" aca="1" ref="AT58" ca="1">IFERROR(IF(AS58&lt;&gt;"",IF(AS58&lt;&gt;0,INDEX(
INDIRECT("'シフト一覧（転載）'!"&amp;AS58&amp;":AK100"),1,
MATCH(1,INDEX((LEN(INDIRECT("'シフト一覧（転載）'!"&amp;AS58&amp;":AK100"))&gt;0)
*(INDIRECT("'シフト一覧（転載）'!"&amp;AS58&amp;":AK100")&lt;&gt;"休み"),1,0),0)),0),""),$F$9&amp;"保育無し")</f>
        <v>0</v>
      </c>
      <c r="AU58" s="20">
        <f t="array" aca="1" ref="AU58" ca="1">IFERROR(IF(AS58&lt;&gt;0,ADDRESS(ROW(INDIRECT(AS58)),
    COLUMN(INDIRECT(AS58)) - 1 +
    MATCH(1,INDEX((LEN(INDIRECT("'シフト一覧（転載）'!"&amp;AS58&amp;":AK100"))&gt;0)
            *(INDIRECT("'シフト一覧（転載）'!"&amp;AS58&amp;":AK100")&lt;&gt;"休み"),
            1,0),0)+1,4),0),"")</f>
        <v>0</v>
      </c>
      <c r="AV58" s="20">
        <f t="array" aca="1" ref="AV58" ca="1">IFERROR(IF(AU58&lt;&gt;"",IF(AU58&lt;&gt;0,INDEX(
INDIRECT("'シフト一覧（転載）'!"&amp;AU58&amp;":AK100"),1,
MATCH(1,INDEX((LEN(INDIRECT("'シフト一覧（転載）'!"&amp;AU58&amp;":AK100"))&gt;0)
*(INDIRECT("'シフト一覧（転載）'!"&amp;AU58&amp;":AK100")&lt;&gt;"休み"),1,0),0)),0),""),$F$9&amp;"保育無し")</f>
        <v>0</v>
      </c>
      <c r="AW58" s="20">
        <f t="array" aca="1" ref="AW58" ca="1">IFERROR(IF(AU58&lt;&gt;0,ADDRESS(ROW(INDIRECT(AU58)),
    COLUMN(INDIRECT(AU58)) - 1 +
    MATCH(1,INDEX((LEN(INDIRECT("'シフト一覧（転載）'!"&amp;AU58&amp;":AK100"))&gt;0)
            *(INDIRECT("'シフト一覧（転載）'!"&amp;AU58&amp;":AK100")&lt;&gt;"休み"),
            1,0),0)+1,4),0),"")</f>
        <v>0</v>
      </c>
      <c r="AX58" s="20">
        <f t="array" aca="1" ref="AX58" ca="1">IFERROR(IF(AW58&lt;&gt;"",IF(AW58&lt;&gt;0,INDEX(
INDIRECT("'シフト一覧（転載）'!"&amp;AW58&amp;":AK100"),1,
MATCH(1,INDEX((LEN(INDIRECT("'シフト一覧（転載）'!"&amp;AW58&amp;":AK100"))&gt;0)
*(INDIRECT("'シフト一覧（転載）'!"&amp;AW58&amp;":AK100")&lt;&gt;"休み"),1,0),0)),0),""),$F$9&amp;"保育無し")</f>
        <v>0</v>
      </c>
      <c r="AY58" s="20">
        <f t="array" aca="1" ref="AY58" ca="1">IFERROR(IF(AW58&lt;&gt;0,ADDRESS(ROW(INDIRECT(AW58)),
    COLUMN(INDIRECT(AW58)) - 1 +
    MATCH(1,INDEX((LEN(INDIRECT("'シフト一覧（転載）'!"&amp;AW58&amp;":AK100"))&gt;0)
            *(INDIRECT("'シフト一覧（転載）'!"&amp;AW58&amp;":AK100")&lt;&gt;"休み"),
            1,0),0)+1,4),0),"")</f>
        <v>0</v>
      </c>
      <c r="AZ58" s="20">
        <f t="array" aca="1" ref="AZ58" ca="1">IFERROR(IF(AY58&lt;&gt;"",IF(AY58&lt;&gt;0,INDEX(
INDIRECT("'シフト一覧（転載）'!"&amp;AY58&amp;":AK100"),1,
MATCH(1,INDEX((LEN(INDIRECT("'シフト一覧（転載）'!"&amp;AY58&amp;":AK100"))&gt;0)
*(INDIRECT("'シフト一覧（転載）'!"&amp;AY58&amp;":AK100")&lt;&gt;"休み"),1,0),0)),0),""),$F$9&amp;"保育無し")</f>
        <v>0</v>
      </c>
      <c r="BA58" s="20">
        <f t="array" aca="1" ref="BA58" ca="1">IFERROR(IF(AY58&lt;&gt;0,ADDRESS(ROW(INDIRECT(AY58)),
    COLUMN(INDIRECT(AY58)) - 1 +
    MATCH(1,INDEX((LEN(INDIRECT("'シフト一覧（転載）'!"&amp;AY58&amp;":AK100"))&gt;0)
            *(INDIRECT("'シフト一覧（転載）'!"&amp;AY58&amp;":AK100")&lt;&gt;"休み"),
            1,0),0)+1,4),0),"")</f>
        <v>0</v>
      </c>
      <c r="BB58" s="20">
        <f t="array" aca="1" ref="BB58" ca="1">IFERROR(IF(BA58&lt;&gt;"",IF(BA58&lt;&gt;0,INDEX(
INDIRECT("'シフト一覧（転載）'!"&amp;BA58&amp;":AK100"),1,
MATCH(1,INDEX((LEN(INDIRECT("'シフト一覧（転載）'!"&amp;BA58&amp;":AK100"))&gt;0)
*(INDIRECT("'シフト一覧（転載）'!"&amp;BA58&amp;":AK100")&lt;&gt;"休み"),1,0),0)),0),""),$F$9&amp;"保育無し")</f>
        <v>0</v>
      </c>
      <c r="BC58" s="20">
        <f t="array" aca="1" ref="BC58" ca="1">IFERROR(IF(BA58&lt;&gt;0,ADDRESS(ROW(INDIRECT(BA58)),
    COLUMN(INDIRECT(BA58)) - 1 +
    MATCH(1,INDEX((LEN(INDIRECT("'シフト一覧（転載）'!"&amp;BA58&amp;":AK100"))&gt;0)
            *(INDIRECT("'シフト一覧（転載）'!"&amp;BA58&amp;":AK100")&lt;&gt;"休み"),
            1,0),0)+1,4),0),"")</f>
        <v>0</v>
      </c>
      <c r="BD58" s="20">
        <f t="array" aca="1" ref="BD58" ca="1">IFERROR(IF(BC58&lt;&gt;"",IF(BC58&lt;&gt;0,INDEX(
INDIRECT("'シフト一覧（転載）'!"&amp;BC58&amp;":AK100"),1,
MATCH(1,INDEX((LEN(INDIRECT("'シフト一覧（転載）'!"&amp;BC58&amp;":AK100"))&gt;0)
*(INDIRECT("'シフト一覧（転載）'!"&amp;BC58&amp;":AK100")&lt;&gt;"休み"),1,0),0)),0),""),$F$9&amp;"保育無し")</f>
        <v>0</v>
      </c>
      <c r="BE58" s="20">
        <f t="array" aca="1" ref="BE58" ca="1">IFERROR(IF(BC58&lt;&gt;0,ADDRESS(ROW(INDIRECT(BC58)),
    COLUMN(INDIRECT(BC58)) - 1 +
    MATCH(1,INDEX((LEN(INDIRECT("'シフト一覧（転載）'!"&amp;BC58&amp;":AK100"))&gt;0)
            *(INDIRECT("'シフト一覧（転載）'!"&amp;BC58&amp;":AK100")&lt;&gt;"休み"),
            1,0),0)+1,4),0),"")</f>
        <v>0</v>
      </c>
      <c r="BF58" s="20">
        <f t="array" aca="1" ref="BF58" ca="1">IFERROR(IF(BE58&lt;&gt;"",IF(BE58&lt;&gt;0,INDEX(
INDIRECT("'シフト一覧（転載）'!"&amp;BE58&amp;":AK100"),1,
MATCH(1,INDEX((LEN(INDIRECT("'シフト一覧（転載）'!"&amp;BE58&amp;":AK100"))&gt;0)
*(INDIRECT("'シフト一覧（転載）'!"&amp;BE58&amp;":AK100")&lt;&gt;"休み"),1,0),0)),0),""),$F$9&amp;"保育無し")</f>
        <v>0</v>
      </c>
      <c r="BG58" s="20">
        <f t="array" aca="1" ref="BG58" ca="1">IFERROR(IF(BE58&lt;&gt;0,ADDRESS(ROW(INDIRECT(BE58)),
    COLUMN(INDIRECT(BE58)) - 1 +
    MATCH(1,INDEX((LEN(INDIRECT("'シフト一覧（転載）'!"&amp;BE58&amp;":AK100"))&gt;0)
            *(INDIRECT("'シフト一覧（転載）'!"&amp;BE58&amp;":AK100")&lt;&gt;"休み"),
            1,0),0)+1,4),0),"")</f>
        <v>0</v>
      </c>
      <c r="BH58" s="20">
        <f t="array" aca="1" ref="BH58" ca="1">IFERROR(IF(BG58&lt;&gt;"",IF(BG58&lt;&gt;0,INDEX(
INDIRECT("'シフト一覧（転載）'!"&amp;BG58&amp;":AK100"),1,
MATCH(1,INDEX((LEN(INDIRECT("'シフト一覧（転載）'!"&amp;BG58&amp;":AK100"))&gt;0)
*(INDIRECT("'シフト一覧（転載）'!"&amp;BG58&amp;":AK100")&lt;&gt;"休み"),1,0),0)),0),""),$F$9&amp;"保育無し")</f>
        <v>0</v>
      </c>
      <c r="BI58" s="20">
        <f t="array" aca="1" ref="BI58" ca="1">IFERROR(IF(BG58&lt;&gt;0,ADDRESS(ROW(INDIRECT(BG58)),
    COLUMN(INDIRECT(BG58)) - 1 +
    MATCH(1,INDEX((LEN(INDIRECT("'シフト一覧（転載）'!"&amp;BG58&amp;":AK100"))&gt;0)
            *(INDIRECT("'シフト一覧（転載）'!"&amp;BG58&amp;":AK100")&lt;&gt;"休み"),
            1,0),0)+1,4),0),"")</f>
        <v>0</v>
      </c>
      <c r="BJ58" s="20">
        <f t="array" aca="1" ref="BJ58" ca="1">IFERROR(IF(BI58&lt;&gt;"",IF(BI58&lt;&gt;0,INDEX(
INDIRECT("'シフト一覧（転載）'!"&amp;BI58&amp;":AK100"),1,
MATCH(1,INDEX((LEN(INDIRECT("'シフト一覧（転載）'!"&amp;BI58&amp;":AK100"))&gt;0)
*(INDIRECT("'シフト一覧（転載）'!"&amp;BI58&amp;":AK100")&lt;&gt;"休み"),1,0),0)),0),""),$F$9&amp;"保育無し")</f>
        <v>0</v>
      </c>
      <c r="BK58" s="20">
        <f t="array" aca="1" ref="BK58" ca="1">IFERROR(IF(BI58&lt;&gt;0,ADDRESS(ROW(INDIRECT(BI58)),
    COLUMN(INDIRECT(BI58)) - 1 +
    MATCH(1,INDEX((LEN(INDIRECT("'シフト一覧（転載）'!"&amp;BI58&amp;":AK100"))&gt;0)
            *(INDIRECT("'シフト一覧（転載）'!"&amp;BI58&amp;":AK100")&lt;&gt;"休み"),
            1,0),0)+1,4),0),"")</f>
        <v>0</v>
      </c>
      <c r="BL58" s="20">
        <f t="array" aca="1" ref="BL58" ca="1">IFERROR(IF(BK58&lt;&gt;"",IF(BK58&lt;&gt;0,INDEX(
INDIRECT("'シフト一覧（転載）'!"&amp;BK58&amp;":AK100"),1,
MATCH(1,INDEX((LEN(INDIRECT("'シフト一覧（転載）'!"&amp;BK58&amp;":AK100"))&gt;0)
*(INDIRECT("'シフト一覧（転載）'!"&amp;BK58&amp;":AK100")&lt;&gt;"休み"),1,0),0)),0),""),$F$9&amp;"保育無し")</f>
        <v>0</v>
      </c>
      <c r="BM58" s="20">
        <f t="array" aca="1" ref="BM58" ca="1">IFERROR(IF(BK58&lt;&gt;0,ADDRESS(ROW(INDIRECT(BK58)),
    COLUMN(INDIRECT(BK58)) - 1 +
    MATCH(1,INDEX((LEN(INDIRECT("'シフト一覧（転載）'!"&amp;BK58&amp;":AK100"))&gt;0)
            *(INDIRECT("'シフト一覧（転載）'!"&amp;BK58&amp;":AK100")&lt;&gt;"休み"),
            1,0),0)+1,4),0),"")</f>
        <v>0</v>
      </c>
      <c r="BN58" s="20">
        <f t="array" aca="1" ref="BN58" ca="1">IFERROR(IF(BM58&lt;&gt;"",IF(BM58&lt;&gt;0,INDEX(
INDIRECT("'シフト一覧（転載）'!"&amp;BM58&amp;":AK100"),1,
MATCH(1,INDEX((LEN(INDIRECT("'シフト一覧（転載）'!"&amp;BM58&amp;":AK100"))&gt;0)
*(INDIRECT("'シフト一覧（転載）'!"&amp;BM58&amp;":AK100")&lt;&gt;"休み"),1,0),0)),0),""),$F$9&amp;"保育無し")</f>
        <v>0</v>
      </c>
      <c r="BO58" s="20">
        <f t="array" aca="1" ref="BO58" ca="1">IFERROR(IF(BM58&lt;&gt;0,ADDRESS(ROW(INDIRECT(BM58)),
    COLUMN(INDIRECT(BM58)) - 1 +
    MATCH(1,INDEX((LEN(INDIRECT("'シフト一覧（転載）'!"&amp;BM58&amp;":AK100"))&gt;0)
            *(INDIRECT("'シフト一覧（転載）'!"&amp;BM58&amp;":AK100")&lt;&gt;"休み"),
            1,0),0)+1,4),0),"")</f>
        <v>0</v>
      </c>
      <c r="BP58" s="20">
        <f t="array" aca="1" ref="BP58" ca="1">IFERROR(IF(BO58&lt;&gt;"",IF(BO58&lt;&gt;0,INDEX(
INDIRECT("'シフト一覧（転載）'!"&amp;BO58&amp;":AK100"),1,
MATCH(1,INDEX((LEN(INDIRECT("'シフト一覧（転載）'!"&amp;BO58&amp;":AK100"))&gt;0)
*(INDIRECT("'シフト一覧（転載）'!"&amp;BO58&amp;":AK100")&lt;&gt;"休み"),1,0),0)),0),""),$F$9&amp;"保育無し")</f>
        <v>0</v>
      </c>
      <c r="BQ58" s="20">
        <f t="array" aca="1" ref="BQ58" ca="1">IFERROR(IF(BO58&lt;&gt;0,ADDRESS(ROW(INDIRECT(BO58)),
    COLUMN(INDIRECT(BO58)) - 1 +
    MATCH(1,INDEX((LEN(INDIRECT("'シフト一覧（転載）'!"&amp;BO58&amp;":AK100"))&gt;0)
            *(INDIRECT("'シフト一覧（転載）'!"&amp;BO58&amp;":AK100")&lt;&gt;"休み"),
            1,0),0)+1,4),0),"")</f>
        <v>0</v>
      </c>
      <c r="BR58" s="20">
        <f t="array" aca="1" ref="BR58" ca="1">IFERROR(IF(BQ58&lt;&gt;"",IF(BQ58&lt;&gt;0,INDEX(
INDIRECT("'シフト一覧（転載）'!"&amp;BQ58&amp;":AK100"),1,
MATCH(1,INDEX((LEN(INDIRECT("'シフト一覧（転載）'!"&amp;BQ58&amp;":AK100"))&gt;0)
*(INDIRECT("'シフト一覧（転載）'!"&amp;BQ58&amp;":AK100")&lt;&gt;"休み"),1,0),0)),0),""),$F$9&amp;"保育無し")</f>
        <v>0</v>
      </c>
      <c r="BS58" s="20">
        <f t="array" aca="1" ref="BS58" ca="1">IFERROR(IF(BQ58&lt;&gt;0,ADDRESS(ROW(INDIRECT(BQ58)),
    COLUMN(INDIRECT(BQ58)) - 1 +
    MATCH(1,INDEX((LEN(INDIRECT("'シフト一覧（転載）'!"&amp;BQ58&amp;":AK100"))&gt;0)
            *(INDIRECT("'シフト一覧（転載）'!"&amp;BQ58&amp;":AK100")&lt;&gt;"休み"),
            1,0),0)+1,4),0),"")</f>
        <v>0</v>
      </c>
      <c r="BT58" s="20">
        <f t="array" aca="1" ref="BT58" ca="1">IFERROR(IF(BS58&lt;&gt;"",IF(BS58&lt;&gt;0,INDEX(
INDIRECT("'シフト一覧（転載）'!"&amp;BS58&amp;":AK100"),1,
MATCH(1,INDEX((LEN(INDIRECT("'シフト一覧（転載）'!"&amp;BS58&amp;":AK100"))&gt;0)
*(INDIRECT("'シフト一覧（転載）'!"&amp;BS58&amp;":AK100")&lt;&gt;"休み"),1,0),0)),0),""),$F$9&amp;"保育無し")</f>
        <v>0</v>
      </c>
      <c r="BU58" s="20">
        <f t="array" aca="1" ref="BU58" ca="1">IFERROR(IF(BS58&lt;&gt;0,ADDRESS(ROW(INDIRECT(BS58)),
    COLUMN(INDIRECT(BS58)) - 1 +
    MATCH(1,INDEX((LEN(INDIRECT("'シフト一覧（転載）'!"&amp;BS58&amp;":AK100"))&gt;0)
            *(INDIRECT("'シフト一覧（転載）'!"&amp;BS58&amp;":AK100")&lt;&gt;"休み"),
            1,0),0)+1,4),0),"")</f>
        <v>0</v>
      </c>
      <c r="BV58" s="20">
        <f t="array" aca="1" ref="BV58" ca="1">IFERROR(IF(BU58&lt;&gt;"",IF(BU58&lt;&gt;0,INDEX(
INDIRECT("'シフト一覧（転載）'!"&amp;BU58&amp;":AK100"),1,
MATCH(1,INDEX((LEN(INDIRECT("'シフト一覧（転載）'!"&amp;BU58&amp;":AK100"))&gt;0)
*(INDIRECT("'シフト一覧（転載）'!"&amp;BU58&amp;":AK100")&lt;&gt;"休み"),1,0),0)),0),""),$F$9&amp;"保育無し")</f>
        <v>0</v>
      </c>
      <c r="BW58" s="20">
        <f t="array" aca="1" ref="BW58" ca="1">IFERROR(IF(BU58&lt;&gt;0,ADDRESS(ROW(INDIRECT(BU58)),
    COLUMN(INDIRECT(BU58)) - 1 +
    MATCH(1,INDEX((LEN(INDIRECT("'シフト一覧（転載）'!"&amp;BU58&amp;":AK100"))&gt;0)
            *(INDIRECT("'シフト一覧（転載）'!"&amp;BU58&amp;":AK100")&lt;&gt;"休み"),
            1,0),0)+1,4),0),"")</f>
        <v>0</v>
      </c>
      <c r="BX58" s="20">
        <f t="array" aca="1" ref="BX58" ca="1">IFERROR(IF(BW58&lt;&gt;"",IF(BW58&lt;&gt;0,INDEX(
INDIRECT("'シフト一覧（転載）'!"&amp;BW58&amp;":AK100"),1,
MATCH(1,INDEX((LEN(INDIRECT("'シフト一覧（転載）'!"&amp;BW58&amp;":AK100"))&gt;0)
*(INDIRECT("'シフト一覧（転載）'!"&amp;BW58&amp;":AK100")&lt;&gt;"休み"),1,0),0)),0),""),$F$9&amp;"保育無し")</f>
        <v>0</v>
      </c>
      <c r="BY58" s="20">
        <f t="array" aca="1" ref="BY58" ca="1">IFERROR(IF(BW58&lt;&gt;0,ADDRESS(ROW(INDIRECT(BW58)),
    COLUMN(INDIRECT(BW58)) - 1 +
    MATCH(1,INDEX((LEN(INDIRECT("'シフト一覧（転載）'!"&amp;BW58&amp;":AK100"))&gt;0)
            *(INDIRECT("'シフト一覧（転載）'!"&amp;BW58&amp;":AK100")&lt;&gt;"休み"),
            1,0),0)+1,4),0),"")</f>
        <v>0</v>
      </c>
    </row>
    <row r="59" spans="13:77" ht="19.8" customHeight="1" x14ac:dyDescent="0.2">
      <c r="M59" s="104"/>
      <c r="N59" s="102"/>
      <c r="O59" s="107"/>
      <c r="P59" s="21">
        <f t="array" aca="1" ref="P59" ca="1">IFERROR(IF(M58&lt;&gt;"",INDEX('シフト一覧（転載）'!$F$8:$AK$100,
    MATCH(1,(ISNUMBER(SEARCH(M58,'シフト一覧（転載）'!$A$8:$A$100)))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MATCH(1,(ISNUMBER(SEARCH(M58,'シフト一覧（転載）'!$A$8:$A$100)))
                *(ISNUMBER(SEARCH($F$9,'シフト一覧（転載）'!$B$8:$B$100))),
                0),0),0)),0),"")</f>
        <v>0</v>
      </c>
      <c r="Q59" s="21">
        <f ca="1">IF(P58=0,0,
IF(OR(P58="",COUNTIF(P58,"*保育無し*")),"",
IF(MOD(P59-P58,1)*24&gt;=8,1,
IF(MOD(P59-P58,1)*24&gt;=6,0.75,0))))</f>
        <v>0</v>
      </c>
      <c r="R59" s="21">
        <f t="array" aca="1" ref="R59" ca="1">IFERROR(IF(Q58&lt;&gt;0,INDEX(
INDIRECT("'シフト一覧（転載）'!"&amp;Q58&amp;":AK100"),1+1,
MATCH(1,INDEX((LEN(INDIRECT("'シフト一覧（転載）'!"&amp;Q58&amp;":AK100"))&gt;0)
*(INDIRECT("'シフト一覧（転載）'!"&amp;Q58&amp;":AK100")&lt;&gt;"休み"),1,0),0)),0),"")</f>
        <v>0</v>
      </c>
      <c r="S59" s="21">
        <f ca="1">IF(R58=0,0,
IF(OR(R58="",COUNTIF(R58,"*保育無し*")),"",
IF(MOD(R59-R58,1)*24&gt;=8,1,
IF(MOD(R59-R58,1)*24&gt;=6,0.75,0))))</f>
        <v>0</v>
      </c>
      <c r="T59" s="21">
        <f t="array" aca="1" ref="T59" ca="1">IFERROR(IF(S58&lt;&gt;0,INDEX(
INDIRECT("'シフト一覧（転載）'!"&amp;S58&amp;":AK100"),1+1,
MATCH(1,INDEX((LEN(INDIRECT("'シフト一覧（転載）'!"&amp;S58&amp;":AK100"))&gt;0)
*(INDIRECT("'シフト一覧（転載）'!"&amp;S58&amp;":AK100")&lt;&gt;"休み"),1,0),0)),0),"")</f>
        <v>0</v>
      </c>
      <c r="U59" s="21">
        <f ca="1">IF(T58=0,0,
IF(OR(T58="",COUNTIF(T58,"*保育無し*")),"",
IF(MOD(T59-T58,1)*24&gt;=8,1,
IF(MOD(T59-T58,1)*24&gt;=6,0.75,0))))</f>
        <v>0</v>
      </c>
      <c r="V59" s="21">
        <f t="array" aca="1" ref="V59" ca="1">IFERROR(IF(U58&lt;&gt;0,INDEX(
INDIRECT("'シフト一覧（転載）'!"&amp;U58&amp;":AK100"),1+1,
MATCH(1,INDEX((LEN(INDIRECT("'シフト一覧（転載）'!"&amp;U58&amp;":AK100"))&gt;0)
*(INDIRECT("'シフト一覧（転載）'!"&amp;U58&amp;":AK100")&lt;&gt;"休み"),1,0),0)),0),"")</f>
        <v>0</v>
      </c>
      <c r="W59" s="21">
        <f ca="1">IF(V58=0,0,
IF(OR(V58="",COUNTIF(V58,"*保育無し*")),"",
IF(MOD(V59-V58,1)*24&gt;=8,1,
IF(MOD(V59-V58,1)*24&gt;=6,0.75,0))))</f>
        <v>0</v>
      </c>
      <c r="X59" s="21">
        <f t="array" aca="1" ref="X59" ca="1">IFERROR(IF(W58&lt;&gt;0,INDEX(
INDIRECT("'シフト一覧（転載）'!"&amp;W58&amp;":AK100"),1+1,
MATCH(1,INDEX((LEN(INDIRECT("'シフト一覧（転載）'!"&amp;W58&amp;":AK100"))&gt;0)
*(INDIRECT("'シフト一覧（転載）'!"&amp;W58&amp;":AK100")&lt;&gt;"休み"),1,0),0)),0),"")</f>
        <v>0</v>
      </c>
      <c r="Y59" s="21">
        <f ca="1">IF(X58=0,0,
IF(OR(X58="",COUNTIF(X58,"*保育無し*")),"",
IF(MOD(X59-X58,1)*24&gt;=8,1,
IF(MOD(X59-X58,1)*24&gt;=6,0.75,0))))</f>
        <v>0</v>
      </c>
      <c r="Z59" s="21">
        <f t="array" aca="1" ref="Z59" ca="1">IFERROR(IF(Y58&lt;&gt;0,INDEX(
INDIRECT("'シフト一覧（転載）'!"&amp;Y58&amp;":AK100"),1+1,
MATCH(1,INDEX((LEN(INDIRECT("'シフト一覧（転載）'!"&amp;Y58&amp;":AK100"))&gt;0)
*(INDIRECT("'シフト一覧（転載）'!"&amp;Y58&amp;":AK100")&lt;&gt;"休み"),1,0),0)),0),"")</f>
        <v>0</v>
      </c>
      <c r="AA59" s="21">
        <f ca="1">IF(Z58=0,0,
IF(OR(Z58="",COUNTIF(Z58,"*保育無し*")),"",
IF(MOD(Z59-Z58,1)*24&gt;=8,1,
IF(MOD(Z59-Z58,1)*24&gt;=6,0.75,0))))</f>
        <v>0</v>
      </c>
      <c r="AB59" s="21">
        <f t="array" aca="1" ref="AB59" ca="1">IFERROR(IF(AA58&lt;&gt;0,INDEX(
INDIRECT("'シフト一覧（転載）'!"&amp;AA58&amp;":AK100"),1+1,
MATCH(1,INDEX((LEN(INDIRECT("'シフト一覧（転載）'!"&amp;AA58&amp;":AK100"))&gt;0)
*(INDIRECT("'シフト一覧（転載）'!"&amp;AA58&amp;":AK100")&lt;&gt;"休み"),1,0),0)),0),"")</f>
        <v>0</v>
      </c>
      <c r="AC59" s="21">
        <f ca="1">IF(AB58=0,0,
IF(OR(AB58="",COUNTIF(AB58,"*保育無し*")),"",
IF(MOD(AB59-AB58,1)*24&gt;=8,1,
IF(MOD(AB59-AB58,1)*24&gt;=6,0.75,0))))</f>
        <v>0</v>
      </c>
      <c r="AD59" s="21">
        <f t="array" aca="1" ref="AD59" ca="1">IFERROR(IF(AC58&lt;&gt;0,INDEX(
INDIRECT("'シフト一覧（転載）'!"&amp;AC58&amp;":AK100"),1+1,
MATCH(1,INDEX((LEN(INDIRECT("'シフト一覧（転載）'!"&amp;AC58&amp;":AK100"))&gt;0)
*(INDIRECT("'シフト一覧（転載）'!"&amp;AC58&amp;":AK100")&lt;&gt;"休み"),1,0),0)),0),"")</f>
        <v>0</v>
      </c>
      <c r="AE59" s="21">
        <f ca="1">IF(AD58=0,0,
IF(OR(AD58="",COUNTIF(AD58,"*保育無し*")),"",
IF(MOD(AD59-AD58,1)*24&gt;=8,1,
IF(MOD(AD59-AD58,1)*24&gt;=6,0.75,0))))</f>
        <v>0</v>
      </c>
      <c r="AF59" s="21">
        <f t="array" aca="1" ref="AF59" ca="1">IFERROR(IF(AE58&lt;&gt;0,INDEX(
INDIRECT("'シフト一覧（転載）'!"&amp;AE58&amp;":AK100"),1+1,
MATCH(1,INDEX((LEN(INDIRECT("'シフト一覧（転載）'!"&amp;AE58&amp;":AK100"))&gt;0)
*(INDIRECT("'シフト一覧（転載）'!"&amp;AE58&amp;":AK100")&lt;&gt;"休み"),1,0),0)),0),"")</f>
        <v>0</v>
      </c>
      <c r="AG59" s="21">
        <f ca="1">IF(AF58=0,0,
IF(OR(AF58="",COUNTIF(AF58,"*保育無し*")),"",
IF(MOD(AF59-AF58,1)*24&gt;=8,1,
IF(MOD(AF59-AF58,1)*24&gt;=6,0.75,0))))</f>
        <v>0</v>
      </c>
      <c r="AH59" s="21">
        <f t="array" aca="1" ref="AH59" ca="1">IFERROR(IF(AG58&lt;&gt;0,INDEX(
INDIRECT("'シフト一覧（転載）'!"&amp;AG58&amp;":AK100"),1+1,
MATCH(1,INDEX((LEN(INDIRECT("'シフト一覧（転載）'!"&amp;AG58&amp;":AK100"))&gt;0)
*(INDIRECT("'シフト一覧（転載）'!"&amp;AG58&amp;":AK100")&lt;&gt;"休み"),1,0),0)),0),"")</f>
        <v>0</v>
      </c>
      <c r="AI59" s="21">
        <f ca="1">IF(AH58=0,0,
IF(OR(AH58="",COUNTIF(AH58,"*保育無し*")),"",
IF(MOD(AH59-AH58,1)*24&gt;=8,1,
IF(MOD(AH59-AH58,1)*24&gt;=6,0.75,0))))</f>
        <v>0</v>
      </c>
      <c r="AJ59" s="21">
        <f t="array" aca="1" ref="AJ59" ca="1">IFERROR(IF(AI58&lt;&gt;0,INDEX(
INDIRECT("'シフト一覧（転載）'!"&amp;AI58&amp;":AK100"),1+1,
MATCH(1,INDEX((LEN(INDIRECT("'シフト一覧（転載）'!"&amp;AI58&amp;":AK100"))&gt;0)
*(INDIRECT("'シフト一覧（転載）'!"&amp;AI58&amp;":AK100")&lt;&gt;"休み"),1,0),0)),0),"")</f>
        <v>0</v>
      </c>
      <c r="AK59" s="21">
        <f ca="1">IF(AJ58=0,0,
IF(OR(AJ58="",COUNTIF(AJ58,"*保育無し*")),"",
IF(MOD(AJ59-AJ58,1)*24&gt;=8,1,
IF(MOD(AJ59-AJ58,1)*24&gt;=6,0.75,0))))</f>
        <v>0</v>
      </c>
      <c r="AL59" s="21">
        <f t="array" aca="1" ref="AL59" ca="1">IFERROR(IF(AK58&lt;&gt;0,INDEX(
INDIRECT("'シフト一覧（転載）'!"&amp;AK58&amp;":AK100"),1+1,
MATCH(1,INDEX((LEN(INDIRECT("'シフト一覧（転載）'!"&amp;AK58&amp;":AK100"))&gt;0)
*(INDIRECT("'シフト一覧（転載）'!"&amp;AK58&amp;":AK100")&lt;&gt;"休み"),1,0),0)),0),"")</f>
        <v>0</v>
      </c>
      <c r="AM59" s="21">
        <f ca="1">IF(AL58=0,0,
IF(OR(AL58="",COUNTIF(AL58,"*保育無し*")),"",
IF(MOD(AL59-AL58,1)*24&gt;=8,1,
IF(MOD(AL59-AL58,1)*24&gt;=6,0.75,0))))</f>
        <v>0</v>
      </c>
      <c r="AN59" s="21">
        <f t="array" aca="1" ref="AN59" ca="1">IFERROR(IF(AM58&lt;&gt;0,INDEX(
INDIRECT("'シフト一覧（転載）'!"&amp;AM58&amp;":AK100"),1+1,
MATCH(1,INDEX((LEN(INDIRECT("'シフト一覧（転載）'!"&amp;AM58&amp;":AK100"))&gt;0)
*(INDIRECT("'シフト一覧（転載）'!"&amp;AM58&amp;":AK100")&lt;&gt;"休み"),1,0),0)),0),"")</f>
        <v>0</v>
      </c>
      <c r="AO59" s="21">
        <f ca="1">IF(AN58=0,0,
IF(OR(AN58="",COUNTIF(AN58,"*保育無し*")),"",
IF(MOD(AN59-AN58,1)*24&gt;=8,1,
IF(MOD(AN59-AN58,1)*24&gt;=6,0.75,0))))</f>
        <v>0</v>
      </c>
      <c r="AP59" s="21">
        <f t="array" aca="1" ref="AP59" ca="1">IFERROR(IF(AO58&lt;&gt;0,INDEX(
INDIRECT("'シフト一覧（転載）'!"&amp;AO58&amp;":AK100"),1+1,
MATCH(1,INDEX((LEN(INDIRECT("'シフト一覧（転載）'!"&amp;AO58&amp;":AK100"))&gt;0)
*(INDIRECT("'シフト一覧（転載）'!"&amp;AO58&amp;":AK100")&lt;&gt;"休み"),1,0),0)),0),"")</f>
        <v>0</v>
      </c>
      <c r="AQ59" s="21">
        <f ca="1">IF(AP58=0,0,
IF(OR(AP58="",COUNTIF(AP58,"*保育無し*")),"",
IF(MOD(AP59-AP58,1)*24&gt;=8,1,
IF(MOD(AP59-AP58,1)*24&gt;=6,0.75,0))))</f>
        <v>0</v>
      </c>
      <c r="AR59" s="21">
        <f t="array" aca="1" ref="AR59" ca="1">IFERROR(IF(AQ58&lt;&gt;0,INDEX(
INDIRECT("'シフト一覧（転載）'!"&amp;AQ58&amp;":AK100"),1+1,
MATCH(1,INDEX((LEN(INDIRECT("'シフト一覧（転載）'!"&amp;AQ58&amp;":AK100"))&gt;0)
*(INDIRECT("'シフト一覧（転載）'!"&amp;AQ58&amp;":AK100")&lt;&gt;"休み"),1,0),0)),0),"")</f>
        <v>0</v>
      </c>
      <c r="AS59" s="21">
        <f ca="1">IF(AR58=0,0,
IF(OR(AR58="",COUNTIF(AR58,"*保育無し*")),"",
IF(MOD(AR59-AR58,1)*24&gt;=8,1,
IF(MOD(AR59-AR58,1)*24&gt;=6,0.75,0))))</f>
        <v>0</v>
      </c>
      <c r="AT59" s="21">
        <f t="array" aca="1" ref="AT59" ca="1">IFERROR(IF(AS58&lt;&gt;0,INDEX(
INDIRECT("'シフト一覧（転載）'!"&amp;AS58&amp;":AK100"),1+1,
MATCH(1,INDEX((LEN(INDIRECT("'シフト一覧（転載）'!"&amp;AS58&amp;":AK100"))&gt;0)
*(INDIRECT("'シフト一覧（転載）'!"&amp;AS58&amp;":AK100")&lt;&gt;"休み"),1,0),0)),0),"")</f>
        <v>0</v>
      </c>
      <c r="AU59" s="21">
        <f ca="1">IF(AT58=0,0,
IF(OR(AT58="",COUNTIF(AT58,"*保育無し*")),"",
IF(MOD(AT59-AT58,1)*24&gt;=8,1,
IF(MOD(AT59-AT58,1)*24&gt;=6,0.75,0))))</f>
        <v>0</v>
      </c>
      <c r="AV59" s="21">
        <f t="array" aca="1" ref="AV59" ca="1">IFERROR(IF(AU58&lt;&gt;0,INDEX(
INDIRECT("'シフト一覧（転載）'!"&amp;AU58&amp;":AK100"),1+1,
MATCH(1,INDEX((LEN(INDIRECT("'シフト一覧（転載）'!"&amp;AU58&amp;":AK100"))&gt;0)
*(INDIRECT("'シフト一覧（転載）'!"&amp;AU58&amp;":AK100")&lt;&gt;"休み"),1,0),0)),0),"")</f>
        <v>0</v>
      </c>
      <c r="AW59" s="21">
        <f ca="1">IF(AV58=0,0,
IF(OR(AV58="",COUNTIF(AV58,"*保育無し*")),"",
IF(MOD(AV59-AV58,1)*24&gt;=8,1,
IF(MOD(AV59-AV58,1)*24&gt;=6,0.75,0))))</f>
        <v>0</v>
      </c>
      <c r="AX59" s="21">
        <f t="array" aca="1" ref="AX59" ca="1">IFERROR(IF(AW58&lt;&gt;0,INDEX(
INDIRECT("'シフト一覧（転載）'!"&amp;AW58&amp;":AK100"),1+1,
MATCH(1,INDEX((LEN(INDIRECT("'シフト一覧（転載）'!"&amp;AW58&amp;":AK100"))&gt;0)
*(INDIRECT("'シフト一覧（転載）'!"&amp;AW58&amp;":AK100")&lt;&gt;"休み"),1,0),0)),0),"")</f>
        <v>0</v>
      </c>
      <c r="AY59" s="21">
        <f ca="1">IF(AX58=0,0,
IF(OR(AX58="",COUNTIF(AX58,"*保育無し*")),"",
IF(MOD(AX59-AX58,1)*24&gt;=8,1,
IF(MOD(AX59-AX58,1)*24&gt;=6,0.75,0))))</f>
        <v>0</v>
      </c>
      <c r="AZ59" s="21">
        <f t="array" aca="1" ref="AZ59" ca="1">IFERROR(IF(AY58&lt;&gt;0,INDEX(
INDIRECT("'シフト一覧（転載）'!"&amp;AY58&amp;":AK100"),1+1,
MATCH(1,INDEX((LEN(INDIRECT("'シフト一覧（転載）'!"&amp;AY58&amp;":AK100"))&gt;0)
*(INDIRECT("'シフト一覧（転載）'!"&amp;AY58&amp;":AK100")&lt;&gt;"休み"),1,0),0)),0),"")</f>
        <v>0</v>
      </c>
      <c r="BA59" s="21">
        <f ca="1">IF(AZ58=0,0,
IF(OR(AZ58="",COUNTIF(AZ58,"*保育無し*")),"",
IF(MOD(AZ59-AZ58,1)*24&gt;=8,1,
IF(MOD(AZ59-AZ58,1)*24&gt;=6,0.75,0))))</f>
        <v>0</v>
      </c>
      <c r="BB59" s="21">
        <f t="array" aca="1" ref="BB59" ca="1">IFERROR(IF(BA58&lt;&gt;0,INDEX(
INDIRECT("'シフト一覧（転載）'!"&amp;BA58&amp;":AK100"),1+1,
MATCH(1,INDEX((LEN(INDIRECT("'シフト一覧（転載）'!"&amp;BA58&amp;":AK100"))&gt;0)
*(INDIRECT("'シフト一覧（転載）'!"&amp;BA58&amp;":AK100")&lt;&gt;"休み"),1,0),0)),0),"")</f>
        <v>0</v>
      </c>
      <c r="BC59" s="21">
        <f ca="1">IF(BB58=0,0,
IF(OR(BB58="",COUNTIF(BB58,"*保育無し*")),"",
IF(MOD(BB59-BB58,1)*24&gt;=8,1,
IF(MOD(BB59-BB58,1)*24&gt;=6,0.75,0))))</f>
        <v>0</v>
      </c>
      <c r="BD59" s="21">
        <f t="array" aca="1" ref="BD59" ca="1">IFERROR(IF(BC58&lt;&gt;0,INDEX(
INDIRECT("'シフト一覧（転載）'!"&amp;BC58&amp;":AK100"),1+1,
MATCH(1,INDEX((LEN(INDIRECT("'シフト一覧（転載）'!"&amp;BC58&amp;":AK100"))&gt;0)
*(INDIRECT("'シフト一覧（転載）'!"&amp;BC58&amp;":AK100")&lt;&gt;"休み"),1,0),0)),0),"")</f>
        <v>0</v>
      </c>
      <c r="BE59" s="21">
        <f ca="1">IF(BD58=0,0,
IF(OR(BD58="",COUNTIF(BD58,"*保育無し*")),"",
IF(MOD(BD59-BD58,1)*24&gt;=8,1,
IF(MOD(BD59-BD58,1)*24&gt;=6,0.75,0))))</f>
        <v>0</v>
      </c>
      <c r="BF59" s="21">
        <f t="array" aca="1" ref="BF59" ca="1">IFERROR(IF(BE58&lt;&gt;0,INDEX(
INDIRECT("'シフト一覧（転載）'!"&amp;BE58&amp;":AK100"),1+1,
MATCH(1,INDEX((LEN(INDIRECT("'シフト一覧（転載）'!"&amp;BE58&amp;":AK100"))&gt;0)
*(INDIRECT("'シフト一覧（転載）'!"&amp;BE58&amp;":AK100")&lt;&gt;"休み"),1,0),0)),0),"")</f>
        <v>0</v>
      </c>
      <c r="BG59" s="21">
        <f ca="1">IF(BF58=0,0,
IF(OR(BF58="",COUNTIF(BF58,"*保育無し*")),"",
IF(MOD(BF59-BF58,1)*24&gt;=8,1,
IF(MOD(BF59-BF58,1)*24&gt;=6,0.75,0))))</f>
        <v>0</v>
      </c>
      <c r="BH59" s="21">
        <f t="array" aca="1" ref="BH59" ca="1">IFERROR(IF(BG58&lt;&gt;0,INDEX(
INDIRECT("'シフト一覧（転載）'!"&amp;BG58&amp;":AK100"),1+1,
MATCH(1,INDEX((LEN(INDIRECT("'シフト一覧（転載）'!"&amp;BG58&amp;":AK100"))&gt;0)
*(INDIRECT("'シフト一覧（転載）'!"&amp;BG58&amp;":AK100")&lt;&gt;"休み"),1,0),0)),0),"")</f>
        <v>0</v>
      </c>
      <c r="BI59" s="21">
        <f ca="1">IF(BH58=0,0,
IF(OR(BH58="",COUNTIF(BH58,"*保育無し*")),"",
IF(MOD(BH59-BH58,1)*24&gt;=8,1,
IF(MOD(BH59-BH58,1)*24&gt;=6,0.75,0))))</f>
        <v>0</v>
      </c>
      <c r="BJ59" s="21">
        <f t="array" aca="1" ref="BJ59" ca="1">IFERROR(IF(BI58&lt;&gt;0,INDEX(
INDIRECT("'シフト一覧（転載）'!"&amp;BI58&amp;":AK100"),1+1,
MATCH(1,INDEX((LEN(INDIRECT("'シフト一覧（転載）'!"&amp;BI58&amp;":AK100"))&gt;0)
*(INDIRECT("'シフト一覧（転載）'!"&amp;BI58&amp;":AK100")&lt;&gt;"休み"),1,0),0)),0),"")</f>
        <v>0</v>
      </c>
      <c r="BK59" s="21">
        <f ca="1">IF(BJ58=0,0,
IF(OR(BJ58="",COUNTIF(BJ58,"*保育無し*")),"",
IF(MOD(BJ59-BJ58,1)*24&gt;=8,1,
IF(MOD(BJ59-BJ58,1)*24&gt;=6,0.75,0))))</f>
        <v>0</v>
      </c>
      <c r="BL59" s="21">
        <f t="array" aca="1" ref="BL59" ca="1">IFERROR(IF(BK58&lt;&gt;0,INDEX(
INDIRECT("'シフト一覧（転載）'!"&amp;BK58&amp;":AK100"),1+1,
MATCH(1,INDEX((LEN(INDIRECT("'シフト一覧（転載）'!"&amp;BK58&amp;":AK100"))&gt;0)
*(INDIRECT("'シフト一覧（転載）'!"&amp;BK58&amp;":AK100")&lt;&gt;"休み"),1,0),0)),0),"")</f>
        <v>0</v>
      </c>
      <c r="BM59" s="21">
        <f ca="1">IF(BL58=0,0,
IF(OR(BL58="",COUNTIF(BL58,"*保育無し*")),"",
IF(MOD(BL59-BL58,1)*24&gt;=8,1,
IF(MOD(BL59-BL58,1)*24&gt;=6,0.75,0))))</f>
        <v>0</v>
      </c>
      <c r="BN59" s="21">
        <f t="array" aca="1" ref="BN59" ca="1">IFERROR(IF(BM58&lt;&gt;0,INDEX(
INDIRECT("'シフト一覧（転載）'!"&amp;BM58&amp;":AK100"),1+1,
MATCH(1,INDEX((LEN(INDIRECT("'シフト一覧（転載）'!"&amp;BM58&amp;":AK100"))&gt;0)
*(INDIRECT("'シフト一覧（転載）'!"&amp;BM58&amp;":AK100")&lt;&gt;"休み"),1,0),0)),0),"")</f>
        <v>0</v>
      </c>
      <c r="BO59" s="21">
        <f ca="1">IF(BN58=0,0,
IF(OR(BN58="",COUNTIF(BN58,"*保育無し*")),"",
IF(MOD(BN59-BN58,1)*24&gt;=8,1,
IF(MOD(BN59-BN58,1)*24&gt;=6,0.75,0))))</f>
        <v>0</v>
      </c>
      <c r="BP59" s="21">
        <f t="array" aca="1" ref="BP59" ca="1">IFERROR(IF(BO58&lt;&gt;0,INDEX(
INDIRECT("'シフト一覧（転載）'!"&amp;BO58&amp;":AK100"),1+1,
MATCH(1,INDEX((LEN(INDIRECT("'シフト一覧（転載）'!"&amp;BO58&amp;":AK100"))&gt;0)
*(INDIRECT("'シフト一覧（転載）'!"&amp;BO58&amp;":AK100")&lt;&gt;"休み"),1,0),0)),0),"")</f>
        <v>0</v>
      </c>
      <c r="BQ59" s="21">
        <f ca="1">IF(BP58=0,0,
IF(OR(BP58="",COUNTIF(BP58,"*保育無し*")),"",
IF(MOD(BP59-BP58,1)*24&gt;=8,1,
IF(MOD(BP59-BP58,1)*24&gt;=6,0.75,0))))</f>
        <v>0</v>
      </c>
      <c r="BR59" s="21">
        <f t="array" aca="1" ref="BR59" ca="1">IFERROR(IF(BQ58&lt;&gt;0,INDEX(
INDIRECT("'シフト一覧（転載）'!"&amp;BQ58&amp;":AK100"),1+1,
MATCH(1,INDEX((LEN(INDIRECT("'シフト一覧（転載）'!"&amp;BQ58&amp;":AK100"))&gt;0)
*(INDIRECT("'シフト一覧（転載）'!"&amp;BQ58&amp;":AK100")&lt;&gt;"休み"),1,0),0)),0),"")</f>
        <v>0</v>
      </c>
      <c r="BS59" s="21">
        <f ca="1">IF(BR58=0,0,
IF(OR(BR58="",COUNTIF(BR58,"*保育無し*")),"",
IF(MOD(BR59-BR58,1)*24&gt;=8,1,
IF(MOD(BR59-BR58,1)*24&gt;=6,0.75,0))))</f>
        <v>0</v>
      </c>
      <c r="BT59" s="21">
        <f t="array" aca="1" ref="BT59" ca="1">IFERROR(IF(BS58&lt;&gt;0,INDEX(
INDIRECT("'シフト一覧（転載）'!"&amp;BS58&amp;":AK100"),1+1,
MATCH(1,INDEX((LEN(INDIRECT("'シフト一覧（転載）'!"&amp;BS58&amp;":AK100"))&gt;0)
*(INDIRECT("'シフト一覧（転載）'!"&amp;BS58&amp;":AK100")&lt;&gt;"休み"),1,0),0)),0),"")</f>
        <v>0</v>
      </c>
      <c r="BU59" s="21">
        <f ca="1">IF(BT58=0,0,
IF(OR(BT58="",COUNTIF(BT58,"*保育無し*")),"",
IF(MOD(BT59-BT58,1)*24&gt;=8,1,
IF(MOD(BT59-BT58,1)*24&gt;=6,0.75,0))))</f>
        <v>0</v>
      </c>
      <c r="BV59" s="21">
        <f t="array" aca="1" ref="BV59" ca="1">IFERROR(IF(BU58&lt;&gt;0,INDEX(
INDIRECT("'シフト一覧（転載）'!"&amp;BU58&amp;":AK100"),1+1,
MATCH(1,INDEX((LEN(INDIRECT("'シフト一覧（転載）'!"&amp;BU58&amp;":AK100"))&gt;0)
*(INDIRECT("'シフト一覧（転載）'!"&amp;BU58&amp;":AK100")&lt;&gt;"休み"),1,0),0)),0),"")</f>
        <v>0</v>
      </c>
      <c r="BW59" s="21">
        <f ca="1">IF(BV58=0,0,
IF(OR(BV58="",COUNTIF(BV58,"*保育無し*")),"",
IF(MOD(BV59-BV58,1)*24&gt;=8,1,
IF(MOD(BV59-BV58,1)*24&gt;=6,0.75,0))))</f>
        <v>0</v>
      </c>
      <c r="BX59" s="21">
        <f t="array" aca="1" ref="BX59" ca="1">IFERROR(IF(BW58&lt;&gt;0,INDEX(
INDIRECT("'シフト一覧（転載）'!"&amp;BW58&amp;":AK100"),1+1,
MATCH(1,INDEX((LEN(INDIRECT("'シフト一覧（転載）'!"&amp;BW58&amp;":AK100"))&gt;0)
*(INDIRECT("'シフト一覧（転載）'!"&amp;BW58&amp;":AK100")&lt;&gt;"休み"),1,0),0)),0),"")</f>
        <v>0</v>
      </c>
      <c r="BY59" s="21">
        <f ca="1">IF(BX58=0,0,
IF(OR(BX58="",COUNTIF(BX58,"*保育無し*")),"",
IF(MOD(BX59-BX58,1)*24&gt;=8,1,
IF(MOD(BX59-BX58,1)*24&gt;=6,0.75,0))))</f>
        <v>0</v>
      </c>
    </row>
    <row r="60" spans="13:77" ht="19.8" customHeight="1" x14ac:dyDescent="0.2">
      <c r="M60" s="103" t="str" cm="1">
        <f t="array" aca="1" ref="M6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0" s="101" t="str">
        <f t="shared" ref="N60" ca="1" si="29">IF(M60&lt;&gt;"",VLOOKUP(M60,$B$12:$C$41,2,FALSE),"")</f>
        <v/>
      </c>
      <c r="O60" s="106" cm="1">
        <f t="array" aca="1" ref="O60" ca="1">IF(COUNTIF(P60,"*保育無*"),0,
SUM(IF(
MOD(COLUMN(INDIRECT("P"&amp; ROW() &amp; ":" &amp; ADDRESS(ROW(), IFERROR(MATCH("*保育無し*", INDIRECT("P"&amp; ROW() &amp; ":BY" &amp; ROW()), 0) + COLUMN(P60) - 2, COLUMN(BX60) + 1), 4))) - COLUMN(P60), 2) = 0,
MOD(INDIRECT("P"&amp; ROW()+1 &amp; ":" &amp; ADDRESS(ROW()+1, IFERROR(MATCH("*保育無し*", INDIRECT("P"&amp; ROW() &amp; ":BY" &amp; ROW()), 0) + COLUMN(P60) - 2, COLUMN(BX60) + 1), 4)) - INDIRECT("P"&amp; ROW() &amp; ":" &amp; ADDRESS(ROW(), IFERROR(MATCH("*保育無し*", INDIRECT("P"&amp; ROW() &amp; ":BY" &amp; ROW()), 0) + COLUMN(P60) - 2, COLUMN(BX60) + 1), 4)),1),0))*24
-SUM(_xlfn._xlws.FILTER(P61:BX61, MOD(COLUMN(P61:BX61) - COLUMN(P61), 2) = 1)))</f>
        <v>0</v>
      </c>
      <c r="P60" s="20">
        <f t="array" aca="1" ref="P60" ca="1">IFERROR(IF(M60&lt;&gt;"",INDEX('シフト一覧（転載）'!$F$8:$AK$100,
    MATCH(1,(ISNUMBER(SEARCH(M60,'シフト一覧（転載）'!$A$8:$A$100)))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MATCH(1,(ISNUMBER(SEARCH(M60,'シフト一覧（転載）'!$A$8:$A$100)))
                *(ISNUMBER(SEARCH($F$9,'シフト一覧（転載）'!$B$8:$B$100))),
                0),0),0)),0),$F$9&amp;"保育無し")</f>
        <v>0</v>
      </c>
      <c r="Q60" s="20">
        <f t="array" aca="1" ref="Q60" ca="1">IFERROR(IF(COUNTIF(P60,"*無*"),"",IF(M60&lt;&gt;"",ADDRESS(
    MATCH(1,(ISNUMBER(SEARCH(M60,'シフト一覧（転載）'!$A$8:$A$100)))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MATCH(1,(ISNUMBER(SEARCH(M60,'シフト一覧（転載）'!$A$8:$A$100)))
                *(ISNUMBER(SEARCH($F$9,'シフト一覧（転載）'!$B$8:$B$100))),0),0),0) + 6,4),0)),0)</f>
        <v>0</v>
      </c>
      <c r="R60" s="20">
        <f t="array" aca="1" ref="R60" ca="1">IFERROR(IF(Q60&lt;&gt;"",IF(Q60&lt;&gt;0,INDEX(
INDIRECT("'シフト一覧（転載）'!"&amp;Q60&amp;":AK100"),1,
MATCH(1,INDEX((LEN(INDIRECT("'シフト一覧（転載）'!"&amp;Q60&amp;":AK100"))&gt;0)
*(INDIRECT("'シフト一覧（転載）'!"&amp;Q60&amp;":AK100")&lt;&gt;"休み"),1,0),0)),0),""),$F$9&amp;"保育無し")</f>
        <v>0</v>
      </c>
      <c r="S60" s="20">
        <f t="array" aca="1" ref="S60" ca="1">IFERROR(IF(Q60&lt;&gt;0,ADDRESS(ROW(INDIRECT(Q60)),
    COLUMN(INDIRECT(Q60)) - 1 +
    MATCH(1,INDEX((LEN(INDIRECT("'シフト一覧（転載）'!"&amp;Q60&amp;":AK100"))&gt;0)
            *(INDIRECT("'シフト一覧（転載）'!"&amp;Q60&amp;":AK100")&lt;&gt;"休み"),
            1,0),0)+1,4),0),"")</f>
        <v>0</v>
      </c>
      <c r="T60" s="20">
        <f t="array" aca="1" ref="T60" ca="1">IFERROR(IF(S60&lt;&gt;"",IF(S60&lt;&gt;0,INDEX(
INDIRECT("'シフト一覧（転載）'!"&amp;S60&amp;":AK100"),1,
MATCH(1,INDEX((LEN(INDIRECT("'シフト一覧（転載）'!"&amp;S60&amp;":AK100"))&gt;0)
*(INDIRECT("'シフト一覧（転載）'!"&amp;S60&amp;":AK100")&lt;&gt;"休み"),1,0),0)),0),""),$F$9&amp;"保育無し")</f>
        <v>0</v>
      </c>
      <c r="U60" s="20">
        <f t="array" aca="1" ref="U60" ca="1">IFERROR(IF(S60&lt;&gt;0,ADDRESS(ROW(INDIRECT(S60)),
    COLUMN(INDIRECT(S60)) - 1 +
    MATCH(1,INDEX((LEN(INDIRECT("'シフト一覧（転載）'!"&amp;S60&amp;":AK100"))&gt;0)
            *(INDIRECT("'シフト一覧（転載）'!"&amp;S60&amp;":AK100")&lt;&gt;"休み"),
            1,0),0)+1,4),0),"")</f>
        <v>0</v>
      </c>
      <c r="V60" s="20">
        <f t="array" aca="1" ref="V60" ca="1">IFERROR(IF(U60&lt;&gt;"",IF(U60&lt;&gt;0,INDEX(
INDIRECT("'シフト一覧（転載）'!"&amp;U60&amp;":AK100"),1,
MATCH(1,INDEX((LEN(INDIRECT("'シフト一覧（転載）'!"&amp;U60&amp;":AK100"))&gt;0)
*(INDIRECT("'シフト一覧（転載）'!"&amp;U60&amp;":AK100")&lt;&gt;"休み"),1,0),0)),0),""),$F$9&amp;"保育無し")</f>
        <v>0</v>
      </c>
      <c r="W60" s="20">
        <f t="array" aca="1" ref="W60" ca="1">IFERROR(IF(U60&lt;&gt;0,ADDRESS(ROW(INDIRECT(U60)),
    COLUMN(INDIRECT(U60)) - 1 +
    MATCH(1,INDEX((LEN(INDIRECT("'シフト一覧（転載）'!"&amp;U60&amp;":AK100"))&gt;0)
            *(INDIRECT("'シフト一覧（転載）'!"&amp;U60&amp;":AK100")&lt;&gt;"休み"),
            1,0),0)+1,4),0),"")</f>
        <v>0</v>
      </c>
      <c r="X60" s="20">
        <f t="array" aca="1" ref="X60" ca="1">IFERROR(IF(W60&lt;&gt;"",IF(W60&lt;&gt;0,INDEX(
INDIRECT("'シフト一覧（転載）'!"&amp;W60&amp;":AK100"),1,
MATCH(1,INDEX((LEN(INDIRECT("'シフト一覧（転載）'!"&amp;W60&amp;":AK100"))&gt;0)
*(INDIRECT("'シフト一覧（転載）'!"&amp;W60&amp;":AK100")&lt;&gt;"休み"),1,0),0)),0),""),$F$9&amp;"保育無し")</f>
        <v>0</v>
      </c>
      <c r="Y60" s="20">
        <f t="array" aca="1" ref="Y60" ca="1">IFERROR(IF(W60&lt;&gt;0,ADDRESS(ROW(INDIRECT(W60)),
    COLUMN(INDIRECT(W60)) - 1 +
    MATCH(1,INDEX((LEN(INDIRECT("'シフト一覧（転載）'!"&amp;W60&amp;":AK100"))&gt;0)
            *(INDIRECT("'シフト一覧（転載）'!"&amp;W60&amp;":AK100")&lt;&gt;"休み"),
            1,0),0)+1,4),0),"")</f>
        <v>0</v>
      </c>
      <c r="Z60" s="20">
        <f t="array" aca="1" ref="Z60" ca="1">IFERROR(IF(Y60&lt;&gt;"",IF(Y60&lt;&gt;0,INDEX(
INDIRECT("'シフト一覧（転載）'!"&amp;Y60&amp;":AK100"),1,
MATCH(1,INDEX((LEN(INDIRECT("'シフト一覧（転載）'!"&amp;Y60&amp;":AK100"))&gt;0)
*(INDIRECT("'シフト一覧（転載）'!"&amp;Y60&amp;":AK100")&lt;&gt;"休み"),1,0),0)),0),""),$F$9&amp;"保育無し")</f>
        <v>0</v>
      </c>
      <c r="AA60" s="20">
        <f t="array" aca="1" ref="AA60" ca="1">IFERROR(IF(Y60&lt;&gt;0,ADDRESS(ROW(INDIRECT(Y60)),
    COLUMN(INDIRECT(Y60)) - 1 +
    MATCH(1,INDEX((LEN(INDIRECT("'シフト一覧（転載）'!"&amp;Y60&amp;":AK100"))&gt;0)
            *(INDIRECT("'シフト一覧（転載）'!"&amp;Y60&amp;":AK100")&lt;&gt;"休み"),
            1,0),0)+1,4),0),"")</f>
        <v>0</v>
      </c>
      <c r="AB60" s="20">
        <f t="array" aca="1" ref="AB60" ca="1">IFERROR(IF(AA60&lt;&gt;"",IF(AA60&lt;&gt;0,INDEX(
INDIRECT("'シフト一覧（転載）'!"&amp;AA60&amp;":AK100"),1,
MATCH(1,INDEX((LEN(INDIRECT("'シフト一覧（転載）'!"&amp;AA60&amp;":AK100"))&gt;0)
*(INDIRECT("'シフト一覧（転載）'!"&amp;AA60&amp;":AK100")&lt;&gt;"休み"),1,0),0)),0),""),$F$9&amp;"保育無し")</f>
        <v>0</v>
      </c>
      <c r="AC60" s="20">
        <f t="array" aca="1" ref="AC60" ca="1">IFERROR(IF(AA60&lt;&gt;0,ADDRESS(ROW(INDIRECT(AA60)),
    COLUMN(INDIRECT(AA60)) - 1 +
    MATCH(1,INDEX((LEN(INDIRECT("'シフト一覧（転載）'!"&amp;AA60&amp;":AK100"))&gt;0)
            *(INDIRECT("'シフト一覧（転載）'!"&amp;AA60&amp;":AK100")&lt;&gt;"休み"),
            1,0),0)+1,4),0),"")</f>
        <v>0</v>
      </c>
      <c r="AD60" s="20">
        <f t="array" aca="1" ref="AD60" ca="1">IFERROR(IF(AC60&lt;&gt;"",IF(AC60&lt;&gt;0,INDEX(
INDIRECT("'シフト一覧（転載）'!"&amp;AC60&amp;":AK100"),1,
MATCH(1,INDEX((LEN(INDIRECT("'シフト一覧（転載）'!"&amp;AC60&amp;":AK100"))&gt;0)
*(INDIRECT("'シフト一覧（転載）'!"&amp;AC60&amp;":AK100")&lt;&gt;"休み"),1,0),0)),0),""),$F$9&amp;"保育無し")</f>
        <v>0</v>
      </c>
      <c r="AE60" s="20">
        <f t="array" aca="1" ref="AE60" ca="1">IFERROR(IF(AC60&lt;&gt;0,ADDRESS(ROW(INDIRECT(AC60)),
    COLUMN(INDIRECT(AC60)) - 1 +
    MATCH(1,INDEX((LEN(INDIRECT("'シフト一覧（転載）'!"&amp;AC60&amp;":AK100"))&gt;0)
            *(INDIRECT("'シフト一覧（転載）'!"&amp;AC60&amp;":AK100")&lt;&gt;"休み"),
            1,0),0)+1,4),0),"")</f>
        <v>0</v>
      </c>
      <c r="AF60" s="20">
        <f t="array" aca="1" ref="AF60" ca="1">IFERROR(IF(AE60&lt;&gt;"",IF(AE60&lt;&gt;0,INDEX(
INDIRECT("'シフト一覧（転載）'!"&amp;AE60&amp;":AK100"),1,
MATCH(1,INDEX((LEN(INDIRECT("'シフト一覧（転載）'!"&amp;AE60&amp;":AK100"))&gt;0)
*(INDIRECT("'シフト一覧（転載）'!"&amp;AE60&amp;":AK100")&lt;&gt;"休み"),1,0),0)),0),""),$F$9&amp;"保育無し")</f>
        <v>0</v>
      </c>
      <c r="AG60" s="20">
        <f t="array" aca="1" ref="AG60" ca="1">IFERROR(IF(AE60&lt;&gt;0,ADDRESS(ROW(INDIRECT(AE60)),
    COLUMN(INDIRECT(AE60)) - 1 +
    MATCH(1,INDEX((LEN(INDIRECT("'シフト一覧（転載）'!"&amp;AE60&amp;":AK100"))&gt;0)
            *(INDIRECT("'シフト一覧（転載）'!"&amp;AE60&amp;":AK100")&lt;&gt;"休み"),
            1,0),0)+1,4),0),"")</f>
        <v>0</v>
      </c>
      <c r="AH60" s="20">
        <f t="array" aca="1" ref="AH60" ca="1">IFERROR(IF(AG60&lt;&gt;"",IF(AG60&lt;&gt;0,INDEX(
INDIRECT("'シフト一覧（転載）'!"&amp;AG60&amp;":AK100"),1,
MATCH(1,INDEX((LEN(INDIRECT("'シフト一覧（転載）'!"&amp;AG60&amp;":AK100"))&gt;0)
*(INDIRECT("'シフト一覧（転載）'!"&amp;AG60&amp;":AK100")&lt;&gt;"休み"),1,0),0)),0),""),$F$9&amp;"保育無し")</f>
        <v>0</v>
      </c>
      <c r="AI60" s="20">
        <f t="array" aca="1" ref="AI60" ca="1">IFERROR(IF(AG60&lt;&gt;0,ADDRESS(ROW(INDIRECT(AG60)),
    COLUMN(INDIRECT(AG60)) - 1 +
    MATCH(1,INDEX((LEN(INDIRECT("'シフト一覧（転載）'!"&amp;AG60&amp;":AK100"))&gt;0)
            *(INDIRECT("'シフト一覧（転載）'!"&amp;AG60&amp;":AK100")&lt;&gt;"休み"),
            1,0),0)+1,4),0),"")</f>
        <v>0</v>
      </c>
      <c r="AJ60" s="20">
        <f t="array" aca="1" ref="AJ60" ca="1">IFERROR(IF(AI60&lt;&gt;"",IF(AI60&lt;&gt;0,INDEX(
INDIRECT("'シフト一覧（転載）'!"&amp;AI60&amp;":AK100"),1,
MATCH(1,INDEX((LEN(INDIRECT("'シフト一覧（転載）'!"&amp;AI60&amp;":AK100"))&gt;0)
*(INDIRECT("'シフト一覧（転載）'!"&amp;AI60&amp;":AK100")&lt;&gt;"休み"),1,0),0)),0),""),$F$9&amp;"保育無し")</f>
        <v>0</v>
      </c>
      <c r="AK60" s="20">
        <f t="array" aca="1" ref="AK60" ca="1">IFERROR(IF(AI60&lt;&gt;0,ADDRESS(ROW(INDIRECT(AI60)),
    COLUMN(INDIRECT(AI60)) - 1 +
    MATCH(1,INDEX((LEN(INDIRECT("'シフト一覧（転載）'!"&amp;AI60&amp;":AK100"))&gt;0)
            *(INDIRECT("'シフト一覧（転載）'!"&amp;AI60&amp;":AK100")&lt;&gt;"休み"),
            1,0),0)+1,4),0),"")</f>
        <v>0</v>
      </c>
      <c r="AL60" s="20">
        <f t="array" aca="1" ref="AL60" ca="1">IFERROR(IF(AK60&lt;&gt;"",IF(AK60&lt;&gt;0,INDEX(
INDIRECT("'シフト一覧（転載）'!"&amp;AK60&amp;":AK100"),1,
MATCH(1,INDEX((LEN(INDIRECT("'シフト一覧（転載）'!"&amp;AK60&amp;":AK100"))&gt;0)
*(INDIRECT("'シフト一覧（転載）'!"&amp;AK60&amp;":AK100")&lt;&gt;"休み"),1,0),0)),0),""),$F$9&amp;"保育無し")</f>
        <v>0</v>
      </c>
      <c r="AM60" s="20">
        <f t="array" aca="1" ref="AM60" ca="1">IFERROR(IF(AK60&lt;&gt;0,ADDRESS(ROW(INDIRECT(AK60)),
    COLUMN(INDIRECT(AK60)) - 1 +
    MATCH(1,INDEX((LEN(INDIRECT("'シフト一覧（転載）'!"&amp;AK60&amp;":AK100"))&gt;0)
            *(INDIRECT("'シフト一覧（転載）'!"&amp;AK60&amp;":AK100")&lt;&gt;"休み"),
            1,0),0)+1,4),0),"")</f>
        <v>0</v>
      </c>
      <c r="AN60" s="20">
        <f t="array" aca="1" ref="AN60" ca="1">IFERROR(IF(AM60&lt;&gt;"",IF(AM60&lt;&gt;0,INDEX(
INDIRECT("'シフト一覧（転載）'!"&amp;AM60&amp;":AK100"),1,
MATCH(1,INDEX((LEN(INDIRECT("'シフト一覧（転載）'!"&amp;AM60&amp;":AK100"))&gt;0)
*(INDIRECT("'シフト一覧（転載）'!"&amp;AM60&amp;":AK100")&lt;&gt;"休み"),1,0),0)),0),""),$F$9&amp;"保育無し")</f>
        <v>0</v>
      </c>
      <c r="AO60" s="20">
        <f t="array" aca="1" ref="AO60" ca="1">IFERROR(IF(AM60&lt;&gt;0,ADDRESS(ROW(INDIRECT(AM60)),
    COLUMN(INDIRECT(AM60)) - 1 +
    MATCH(1,INDEX((LEN(INDIRECT("'シフト一覧（転載）'!"&amp;AM60&amp;":AK100"))&gt;0)
            *(INDIRECT("'シフト一覧（転載）'!"&amp;AM60&amp;":AK100")&lt;&gt;"休み"),
            1,0),0)+1,4),0),"")</f>
        <v>0</v>
      </c>
      <c r="AP60" s="20">
        <f t="array" aca="1" ref="AP60" ca="1">IFERROR(IF(AO60&lt;&gt;"",IF(AO60&lt;&gt;0,INDEX(
INDIRECT("'シフト一覧（転載）'!"&amp;AO60&amp;":AK100"),1,
MATCH(1,INDEX((LEN(INDIRECT("'シフト一覧（転載）'!"&amp;AO60&amp;":AK100"))&gt;0)
*(INDIRECT("'シフト一覧（転載）'!"&amp;AO60&amp;":AK100")&lt;&gt;"休み"),1,0),0)),0),""),$F$9&amp;"保育無し")</f>
        <v>0</v>
      </c>
      <c r="AQ60" s="20">
        <f t="array" aca="1" ref="AQ60" ca="1">IFERROR(IF(AO60&lt;&gt;0,ADDRESS(ROW(INDIRECT(AO60)),
    COLUMN(INDIRECT(AO60)) - 1 +
    MATCH(1,INDEX((LEN(INDIRECT("'シフト一覧（転載）'!"&amp;AO60&amp;":AK100"))&gt;0)
            *(INDIRECT("'シフト一覧（転載）'!"&amp;AO60&amp;":AK100")&lt;&gt;"休み"),
            1,0),0)+1,4),0),"")</f>
        <v>0</v>
      </c>
      <c r="AR60" s="20">
        <f t="array" aca="1" ref="AR60" ca="1">IFERROR(IF(AQ60&lt;&gt;"",IF(AQ60&lt;&gt;0,INDEX(
INDIRECT("'シフト一覧（転載）'!"&amp;AQ60&amp;":AK100"),1,
MATCH(1,INDEX((LEN(INDIRECT("'シフト一覧（転載）'!"&amp;AQ60&amp;":AK100"))&gt;0)
*(INDIRECT("'シフト一覧（転載）'!"&amp;AQ60&amp;":AK100")&lt;&gt;"休み"),1,0),0)),0),""),$F$9&amp;"保育無し")</f>
        <v>0</v>
      </c>
      <c r="AS60" s="20">
        <f t="array" aca="1" ref="AS60" ca="1">IFERROR(IF(AQ60&lt;&gt;0,ADDRESS(ROW(INDIRECT(AQ60)),
    COLUMN(INDIRECT(AQ60)) - 1 +
    MATCH(1,INDEX((LEN(INDIRECT("'シフト一覧（転載）'!"&amp;AQ60&amp;":AK100"))&gt;0)
            *(INDIRECT("'シフト一覧（転載）'!"&amp;AQ60&amp;":AK100")&lt;&gt;"休み"),
            1,0),0)+1,4),0),"")</f>
        <v>0</v>
      </c>
      <c r="AT60" s="20">
        <f t="array" aca="1" ref="AT60" ca="1">IFERROR(IF(AS60&lt;&gt;"",IF(AS60&lt;&gt;0,INDEX(
INDIRECT("'シフト一覧（転載）'!"&amp;AS60&amp;":AK100"),1,
MATCH(1,INDEX((LEN(INDIRECT("'シフト一覧（転載）'!"&amp;AS60&amp;":AK100"))&gt;0)
*(INDIRECT("'シフト一覧（転載）'!"&amp;AS60&amp;":AK100")&lt;&gt;"休み"),1,0),0)),0),""),$F$9&amp;"保育無し")</f>
        <v>0</v>
      </c>
      <c r="AU60" s="20">
        <f t="array" aca="1" ref="AU60" ca="1">IFERROR(IF(AS60&lt;&gt;0,ADDRESS(ROW(INDIRECT(AS60)),
    COLUMN(INDIRECT(AS60)) - 1 +
    MATCH(1,INDEX((LEN(INDIRECT("'シフト一覧（転載）'!"&amp;AS60&amp;":AK100"))&gt;0)
            *(INDIRECT("'シフト一覧（転載）'!"&amp;AS60&amp;":AK100")&lt;&gt;"休み"),
            1,0),0)+1,4),0),"")</f>
        <v>0</v>
      </c>
      <c r="AV60" s="20">
        <f t="array" aca="1" ref="AV60" ca="1">IFERROR(IF(AU60&lt;&gt;"",IF(AU60&lt;&gt;0,INDEX(
INDIRECT("'シフト一覧（転載）'!"&amp;AU60&amp;":AK100"),1,
MATCH(1,INDEX((LEN(INDIRECT("'シフト一覧（転載）'!"&amp;AU60&amp;":AK100"))&gt;0)
*(INDIRECT("'シフト一覧（転載）'!"&amp;AU60&amp;":AK100")&lt;&gt;"休み"),1,0),0)),0),""),$F$9&amp;"保育無し")</f>
        <v>0</v>
      </c>
      <c r="AW60" s="20">
        <f t="array" aca="1" ref="AW60" ca="1">IFERROR(IF(AU60&lt;&gt;0,ADDRESS(ROW(INDIRECT(AU60)),
    COLUMN(INDIRECT(AU60)) - 1 +
    MATCH(1,INDEX((LEN(INDIRECT("'シフト一覧（転載）'!"&amp;AU60&amp;":AK100"))&gt;0)
            *(INDIRECT("'シフト一覧（転載）'!"&amp;AU60&amp;":AK100")&lt;&gt;"休み"),
            1,0),0)+1,4),0),"")</f>
        <v>0</v>
      </c>
      <c r="AX60" s="20">
        <f t="array" aca="1" ref="AX60" ca="1">IFERROR(IF(AW60&lt;&gt;"",IF(AW60&lt;&gt;0,INDEX(
INDIRECT("'シフト一覧（転載）'!"&amp;AW60&amp;":AK100"),1,
MATCH(1,INDEX((LEN(INDIRECT("'シフト一覧（転載）'!"&amp;AW60&amp;":AK100"))&gt;0)
*(INDIRECT("'シフト一覧（転載）'!"&amp;AW60&amp;":AK100")&lt;&gt;"休み"),1,0),0)),0),""),$F$9&amp;"保育無し")</f>
        <v>0</v>
      </c>
      <c r="AY60" s="20">
        <f t="array" aca="1" ref="AY60" ca="1">IFERROR(IF(AW60&lt;&gt;0,ADDRESS(ROW(INDIRECT(AW60)),
    COLUMN(INDIRECT(AW60)) - 1 +
    MATCH(1,INDEX((LEN(INDIRECT("'シフト一覧（転載）'!"&amp;AW60&amp;":AK100"))&gt;0)
            *(INDIRECT("'シフト一覧（転載）'!"&amp;AW60&amp;":AK100")&lt;&gt;"休み"),
            1,0),0)+1,4),0),"")</f>
        <v>0</v>
      </c>
      <c r="AZ60" s="20">
        <f t="array" aca="1" ref="AZ60" ca="1">IFERROR(IF(AY60&lt;&gt;"",IF(AY60&lt;&gt;0,INDEX(
INDIRECT("'シフト一覧（転載）'!"&amp;AY60&amp;":AK100"),1,
MATCH(1,INDEX((LEN(INDIRECT("'シフト一覧（転載）'!"&amp;AY60&amp;":AK100"))&gt;0)
*(INDIRECT("'シフト一覧（転載）'!"&amp;AY60&amp;":AK100")&lt;&gt;"休み"),1,0),0)),0),""),$F$9&amp;"保育無し")</f>
        <v>0</v>
      </c>
      <c r="BA60" s="20">
        <f t="array" aca="1" ref="BA60" ca="1">IFERROR(IF(AY60&lt;&gt;0,ADDRESS(ROW(INDIRECT(AY60)),
    COLUMN(INDIRECT(AY60)) - 1 +
    MATCH(1,INDEX((LEN(INDIRECT("'シフト一覧（転載）'!"&amp;AY60&amp;":AK100"))&gt;0)
            *(INDIRECT("'シフト一覧（転載）'!"&amp;AY60&amp;":AK100")&lt;&gt;"休み"),
            1,0),0)+1,4),0),"")</f>
        <v>0</v>
      </c>
      <c r="BB60" s="20">
        <f t="array" aca="1" ref="BB60" ca="1">IFERROR(IF(BA60&lt;&gt;"",IF(BA60&lt;&gt;0,INDEX(
INDIRECT("'シフト一覧（転載）'!"&amp;BA60&amp;":AK100"),1,
MATCH(1,INDEX((LEN(INDIRECT("'シフト一覧（転載）'!"&amp;BA60&amp;":AK100"))&gt;0)
*(INDIRECT("'シフト一覧（転載）'!"&amp;BA60&amp;":AK100")&lt;&gt;"休み"),1,0),0)),0),""),$F$9&amp;"保育無し")</f>
        <v>0</v>
      </c>
      <c r="BC60" s="20">
        <f t="array" aca="1" ref="BC60" ca="1">IFERROR(IF(BA60&lt;&gt;0,ADDRESS(ROW(INDIRECT(BA60)),
    COLUMN(INDIRECT(BA60)) - 1 +
    MATCH(1,INDEX((LEN(INDIRECT("'シフト一覧（転載）'!"&amp;BA60&amp;":AK100"))&gt;0)
            *(INDIRECT("'シフト一覧（転載）'!"&amp;BA60&amp;":AK100")&lt;&gt;"休み"),
            1,0),0)+1,4),0),"")</f>
        <v>0</v>
      </c>
      <c r="BD60" s="20">
        <f t="array" aca="1" ref="BD60" ca="1">IFERROR(IF(BC60&lt;&gt;"",IF(BC60&lt;&gt;0,INDEX(
INDIRECT("'シフト一覧（転載）'!"&amp;BC60&amp;":AK100"),1,
MATCH(1,INDEX((LEN(INDIRECT("'シフト一覧（転載）'!"&amp;BC60&amp;":AK100"))&gt;0)
*(INDIRECT("'シフト一覧（転載）'!"&amp;BC60&amp;":AK100")&lt;&gt;"休み"),1,0),0)),0),""),$F$9&amp;"保育無し")</f>
        <v>0</v>
      </c>
      <c r="BE60" s="20">
        <f t="array" aca="1" ref="BE60" ca="1">IFERROR(IF(BC60&lt;&gt;0,ADDRESS(ROW(INDIRECT(BC60)),
    COLUMN(INDIRECT(BC60)) - 1 +
    MATCH(1,INDEX((LEN(INDIRECT("'シフト一覧（転載）'!"&amp;BC60&amp;":AK100"))&gt;0)
            *(INDIRECT("'シフト一覧（転載）'!"&amp;BC60&amp;":AK100")&lt;&gt;"休み"),
            1,0),0)+1,4),0),"")</f>
        <v>0</v>
      </c>
      <c r="BF60" s="20">
        <f t="array" aca="1" ref="BF60" ca="1">IFERROR(IF(BE60&lt;&gt;"",IF(BE60&lt;&gt;0,INDEX(
INDIRECT("'シフト一覧（転載）'!"&amp;BE60&amp;":AK100"),1,
MATCH(1,INDEX((LEN(INDIRECT("'シフト一覧（転載）'!"&amp;BE60&amp;":AK100"))&gt;0)
*(INDIRECT("'シフト一覧（転載）'!"&amp;BE60&amp;":AK100")&lt;&gt;"休み"),1,0),0)),0),""),$F$9&amp;"保育無し")</f>
        <v>0</v>
      </c>
      <c r="BG60" s="20">
        <f t="array" aca="1" ref="BG60" ca="1">IFERROR(IF(BE60&lt;&gt;0,ADDRESS(ROW(INDIRECT(BE60)),
    COLUMN(INDIRECT(BE60)) - 1 +
    MATCH(1,INDEX((LEN(INDIRECT("'シフト一覧（転載）'!"&amp;BE60&amp;":AK100"))&gt;0)
            *(INDIRECT("'シフト一覧（転載）'!"&amp;BE60&amp;":AK100")&lt;&gt;"休み"),
            1,0),0)+1,4),0),"")</f>
        <v>0</v>
      </c>
      <c r="BH60" s="20">
        <f t="array" aca="1" ref="BH60" ca="1">IFERROR(IF(BG60&lt;&gt;"",IF(BG60&lt;&gt;0,INDEX(
INDIRECT("'シフト一覧（転載）'!"&amp;BG60&amp;":AK100"),1,
MATCH(1,INDEX((LEN(INDIRECT("'シフト一覧（転載）'!"&amp;BG60&amp;":AK100"))&gt;0)
*(INDIRECT("'シフト一覧（転載）'!"&amp;BG60&amp;":AK100")&lt;&gt;"休み"),1,0),0)),0),""),$F$9&amp;"保育無し")</f>
        <v>0</v>
      </c>
      <c r="BI60" s="20">
        <f t="array" aca="1" ref="BI60" ca="1">IFERROR(IF(BG60&lt;&gt;0,ADDRESS(ROW(INDIRECT(BG60)),
    COLUMN(INDIRECT(BG60)) - 1 +
    MATCH(1,INDEX((LEN(INDIRECT("'シフト一覧（転載）'!"&amp;BG60&amp;":AK100"))&gt;0)
            *(INDIRECT("'シフト一覧（転載）'!"&amp;BG60&amp;":AK100")&lt;&gt;"休み"),
            1,0),0)+1,4),0),"")</f>
        <v>0</v>
      </c>
      <c r="BJ60" s="20">
        <f t="array" aca="1" ref="BJ60" ca="1">IFERROR(IF(BI60&lt;&gt;"",IF(BI60&lt;&gt;0,INDEX(
INDIRECT("'シフト一覧（転載）'!"&amp;BI60&amp;":AK100"),1,
MATCH(1,INDEX((LEN(INDIRECT("'シフト一覧（転載）'!"&amp;BI60&amp;":AK100"))&gt;0)
*(INDIRECT("'シフト一覧（転載）'!"&amp;BI60&amp;":AK100")&lt;&gt;"休み"),1,0),0)),0),""),$F$9&amp;"保育無し")</f>
        <v>0</v>
      </c>
      <c r="BK60" s="20">
        <f t="array" aca="1" ref="BK60" ca="1">IFERROR(IF(BI60&lt;&gt;0,ADDRESS(ROW(INDIRECT(BI60)),
    COLUMN(INDIRECT(BI60)) - 1 +
    MATCH(1,INDEX((LEN(INDIRECT("'シフト一覧（転載）'!"&amp;BI60&amp;":AK100"))&gt;0)
            *(INDIRECT("'シフト一覧（転載）'!"&amp;BI60&amp;":AK100")&lt;&gt;"休み"),
            1,0),0)+1,4),0),"")</f>
        <v>0</v>
      </c>
      <c r="BL60" s="20">
        <f t="array" aca="1" ref="BL60" ca="1">IFERROR(IF(BK60&lt;&gt;"",IF(BK60&lt;&gt;0,INDEX(
INDIRECT("'シフト一覧（転載）'!"&amp;BK60&amp;":AK100"),1,
MATCH(1,INDEX((LEN(INDIRECT("'シフト一覧（転載）'!"&amp;BK60&amp;":AK100"))&gt;0)
*(INDIRECT("'シフト一覧（転載）'!"&amp;BK60&amp;":AK100")&lt;&gt;"休み"),1,0),0)),0),""),$F$9&amp;"保育無し")</f>
        <v>0</v>
      </c>
      <c r="BM60" s="20">
        <f t="array" aca="1" ref="BM60" ca="1">IFERROR(IF(BK60&lt;&gt;0,ADDRESS(ROW(INDIRECT(BK60)),
    COLUMN(INDIRECT(BK60)) - 1 +
    MATCH(1,INDEX((LEN(INDIRECT("'シフト一覧（転載）'!"&amp;BK60&amp;":AK100"))&gt;0)
            *(INDIRECT("'シフト一覧（転載）'!"&amp;BK60&amp;":AK100")&lt;&gt;"休み"),
            1,0),0)+1,4),0),"")</f>
        <v>0</v>
      </c>
      <c r="BN60" s="20">
        <f t="array" aca="1" ref="BN60" ca="1">IFERROR(IF(BM60&lt;&gt;"",IF(BM60&lt;&gt;0,INDEX(
INDIRECT("'シフト一覧（転載）'!"&amp;BM60&amp;":AK100"),1,
MATCH(1,INDEX((LEN(INDIRECT("'シフト一覧（転載）'!"&amp;BM60&amp;":AK100"))&gt;0)
*(INDIRECT("'シフト一覧（転載）'!"&amp;BM60&amp;":AK100")&lt;&gt;"休み"),1,0),0)),0),""),$F$9&amp;"保育無し")</f>
        <v>0</v>
      </c>
      <c r="BO60" s="20">
        <f t="array" aca="1" ref="BO60" ca="1">IFERROR(IF(BM60&lt;&gt;0,ADDRESS(ROW(INDIRECT(BM60)),
    COLUMN(INDIRECT(BM60)) - 1 +
    MATCH(1,INDEX((LEN(INDIRECT("'シフト一覧（転載）'!"&amp;BM60&amp;":AK100"))&gt;0)
            *(INDIRECT("'シフト一覧（転載）'!"&amp;BM60&amp;":AK100")&lt;&gt;"休み"),
            1,0),0)+1,4),0),"")</f>
        <v>0</v>
      </c>
      <c r="BP60" s="20">
        <f t="array" aca="1" ref="BP60" ca="1">IFERROR(IF(BO60&lt;&gt;"",IF(BO60&lt;&gt;0,INDEX(
INDIRECT("'シフト一覧（転載）'!"&amp;BO60&amp;":AK100"),1,
MATCH(1,INDEX((LEN(INDIRECT("'シフト一覧（転載）'!"&amp;BO60&amp;":AK100"))&gt;0)
*(INDIRECT("'シフト一覧（転載）'!"&amp;BO60&amp;":AK100")&lt;&gt;"休み"),1,0),0)),0),""),$F$9&amp;"保育無し")</f>
        <v>0</v>
      </c>
      <c r="BQ60" s="20">
        <f t="array" aca="1" ref="BQ60" ca="1">IFERROR(IF(BO60&lt;&gt;0,ADDRESS(ROW(INDIRECT(BO60)),
    COLUMN(INDIRECT(BO60)) - 1 +
    MATCH(1,INDEX((LEN(INDIRECT("'シフト一覧（転載）'!"&amp;BO60&amp;":AK100"))&gt;0)
            *(INDIRECT("'シフト一覧（転載）'!"&amp;BO60&amp;":AK100")&lt;&gt;"休み"),
            1,0),0)+1,4),0),"")</f>
        <v>0</v>
      </c>
      <c r="BR60" s="20">
        <f t="array" aca="1" ref="BR60" ca="1">IFERROR(IF(BQ60&lt;&gt;"",IF(BQ60&lt;&gt;0,INDEX(
INDIRECT("'シフト一覧（転載）'!"&amp;BQ60&amp;":AK100"),1,
MATCH(1,INDEX((LEN(INDIRECT("'シフト一覧（転載）'!"&amp;BQ60&amp;":AK100"))&gt;0)
*(INDIRECT("'シフト一覧（転載）'!"&amp;BQ60&amp;":AK100")&lt;&gt;"休み"),1,0),0)),0),""),$F$9&amp;"保育無し")</f>
        <v>0</v>
      </c>
      <c r="BS60" s="20">
        <f t="array" aca="1" ref="BS60" ca="1">IFERROR(IF(BQ60&lt;&gt;0,ADDRESS(ROW(INDIRECT(BQ60)),
    COLUMN(INDIRECT(BQ60)) - 1 +
    MATCH(1,INDEX((LEN(INDIRECT("'シフト一覧（転載）'!"&amp;BQ60&amp;":AK100"))&gt;0)
            *(INDIRECT("'シフト一覧（転載）'!"&amp;BQ60&amp;":AK100")&lt;&gt;"休み"),
            1,0),0)+1,4),0),"")</f>
        <v>0</v>
      </c>
      <c r="BT60" s="20">
        <f t="array" aca="1" ref="BT60" ca="1">IFERROR(IF(BS60&lt;&gt;"",IF(BS60&lt;&gt;0,INDEX(
INDIRECT("'シフト一覧（転載）'!"&amp;BS60&amp;":AK100"),1,
MATCH(1,INDEX((LEN(INDIRECT("'シフト一覧（転載）'!"&amp;BS60&amp;":AK100"))&gt;0)
*(INDIRECT("'シフト一覧（転載）'!"&amp;BS60&amp;":AK100")&lt;&gt;"休み"),1,0),0)),0),""),$F$9&amp;"保育無し")</f>
        <v>0</v>
      </c>
      <c r="BU60" s="20">
        <f t="array" aca="1" ref="BU60" ca="1">IFERROR(IF(BS60&lt;&gt;0,ADDRESS(ROW(INDIRECT(BS60)),
    COLUMN(INDIRECT(BS60)) - 1 +
    MATCH(1,INDEX((LEN(INDIRECT("'シフト一覧（転載）'!"&amp;BS60&amp;":AK100"))&gt;0)
            *(INDIRECT("'シフト一覧（転載）'!"&amp;BS60&amp;":AK100")&lt;&gt;"休み"),
            1,0),0)+1,4),0),"")</f>
        <v>0</v>
      </c>
      <c r="BV60" s="20">
        <f t="array" aca="1" ref="BV60" ca="1">IFERROR(IF(BU60&lt;&gt;"",IF(BU60&lt;&gt;0,INDEX(
INDIRECT("'シフト一覧（転載）'!"&amp;BU60&amp;":AK100"),1,
MATCH(1,INDEX((LEN(INDIRECT("'シフト一覧（転載）'!"&amp;BU60&amp;":AK100"))&gt;0)
*(INDIRECT("'シフト一覧（転載）'!"&amp;BU60&amp;":AK100")&lt;&gt;"休み"),1,0),0)),0),""),$F$9&amp;"保育無し")</f>
        <v>0</v>
      </c>
      <c r="BW60" s="20">
        <f t="array" aca="1" ref="BW60" ca="1">IFERROR(IF(BU60&lt;&gt;0,ADDRESS(ROW(INDIRECT(BU60)),
    COLUMN(INDIRECT(BU60)) - 1 +
    MATCH(1,INDEX((LEN(INDIRECT("'シフト一覧（転載）'!"&amp;BU60&amp;":AK100"))&gt;0)
            *(INDIRECT("'シフト一覧（転載）'!"&amp;BU60&amp;":AK100")&lt;&gt;"休み"),
            1,0),0)+1,4),0),"")</f>
        <v>0</v>
      </c>
      <c r="BX60" s="20">
        <f t="array" aca="1" ref="BX60" ca="1">IFERROR(IF(BW60&lt;&gt;"",IF(BW60&lt;&gt;0,INDEX(
INDIRECT("'シフト一覧（転載）'!"&amp;BW60&amp;":AK100"),1,
MATCH(1,INDEX((LEN(INDIRECT("'シフト一覧（転載）'!"&amp;BW60&amp;":AK100"))&gt;0)
*(INDIRECT("'シフト一覧（転載）'!"&amp;BW60&amp;":AK100")&lt;&gt;"休み"),1,0),0)),0),""),$F$9&amp;"保育無し")</f>
        <v>0</v>
      </c>
      <c r="BY60" s="20">
        <f t="array" aca="1" ref="BY60" ca="1">IFERROR(IF(BW60&lt;&gt;0,ADDRESS(ROW(INDIRECT(BW60)),
    COLUMN(INDIRECT(BW60)) - 1 +
    MATCH(1,INDEX((LEN(INDIRECT("'シフト一覧（転載）'!"&amp;BW60&amp;":AK100"))&gt;0)
            *(INDIRECT("'シフト一覧（転載）'!"&amp;BW60&amp;":AK100")&lt;&gt;"休み"),
            1,0),0)+1,4),0),"")</f>
        <v>0</v>
      </c>
    </row>
    <row r="61" spans="13:77" ht="19.8" customHeight="1" x14ac:dyDescent="0.2">
      <c r="M61" s="104"/>
      <c r="N61" s="102"/>
      <c r="O61" s="107"/>
      <c r="P61" s="21">
        <f t="array" aca="1" ref="P61" ca="1">IFERROR(IF(M60&lt;&gt;"",INDEX('シフト一覧（転載）'!$F$8:$AK$100,
    MATCH(1,(ISNUMBER(SEARCH(M60,'シフト一覧（転載）'!$A$8:$A$100)))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MATCH(1,(ISNUMBER(SEARCH(M60,'シフト一覧（転載）'!$A$8:$A$100)))
                *(ISNUMBER(SEARCH($F$9,'シフト一覧（転載）'!$B$8:$B$100))),
                0),0),0)),0),"")</f>
        <v>0</v>
      </c>
      <c r="Q61" s="21">
        <f ca="1">IF(P60=0,0,
IF(OR(P60="",COUNTIF(P60,"*保育無し*")),"",
IF(MOD(P61-P60,1)*24&gt;=8,1,
IF(MOD(P61-P60,1)*24&gt;=6,0.75,0))))</f>
        <v>0</v>
      </c>
      <c r="R61" s="21">
        <f t="array" aca="1" ref="R61" ca="1">IFERROR(IF(Q60&lt;&gt;0,INDEX(
INDIRECT("'シフト一覧（転載）'!"&amp;Q60&amp;":AK100"),1+1,
MATCH(1,INDEX((LEN(INDIRECT("'シフト一覧（転載）'!"&amp;Q60&amp;":AK100"))&gt;0)
*(INDIRECT("'シフト一覧（転載）'!"&amp;Q60&amp;":AK100")&lt;&gt;"休み"),1,0),0)),0),"")</f>
        <v>0</v>
      </c>
      <c r="S61" s="21">
        <f ca="1">IF(R60=0,0,
IF(OR(R60="",COUNTIF(R60,"*保育無し*")),"",
IF(MOD(R61-R60,1)*24&gt;=8,1,
IF(MOD(R61-R60,1)*24&gt;=6,0.75,0))))</f>
        <v>0</v>
      </c>
      <c r="T61" s="21">
        <f t="array" aca="1" ref="T61" ca="1">IFERROR(IF(S60&lt;&gt;0,INDEX(
INDIRECT("'シフト一覧（転載）'!"&amp;S60&amp;":AK100"),1+1,
MATCH(1,INDEX((LEN(INDIRECT("'シフト一覧（転載）'!"&amp;S60&amp;":AK100"))&gt;0)
*(INDIRECT("'シフト一覧（転載）'!"&amp;S60&amp;":AK100")&lt;&gt;"休み"),1,0),0)),0),"")</f>
        <v>0</v>
      </c>
      <c r="U61" s="21">
        <f ca="1">IF(T60=0,0,
IF(OR(T60="",COUNTIF(T60,"*保育無し*")),"",
IF(MOD(T61-T60,1)*24&gt;=8,1,
IF(MOD(T61-T60,1)*24&gt;=6,0.75,0))))</f>
        <v>0</v>
      </c>
      <c r="V61" s="21">
        <f t="array" aca="1" ref="V61" ca="1">IFERROR(IF(U60&lt;&gt;0,INDEX(
INDIRECT("'シフト一覧（転載）'!"&amp;U60&amp;":AK100"),1+1,
MATCH(1,INDEX((LEN(INDIRECT("'シフト一覧（転載）'!"&amp;U60&amp;":AK100"))&gt;0)
*(INDIRECT("'シフト一覧（転載）'!"&amp;U60&amp;":AK100")&lt;&gt;"休み"),1,0),0)),0),"")</f>
        <v>0</v>
      </c>
      <c r="W61" s="21">
        <f ca="1">IF(V60=0,0,
IF(OR(V60="",COUNTIF(V60,"*保育無し*")),"",
IF(MOD(V61-V60,1)*24&gt;=8,1,
IF(MOD(V61-V60,1)*24&gt;=6,0.75,0))))</f>
        <v>0</v>
      </c>
      <c r="X61" s="21">
        <f t="array" aca="1" ref="X61" ca="1">IFERROR(IF(W60&lt;&gt;0,INDEX(
INDIRECT("'シフト一覧（転載）'!"&amp;W60&amp;":AK100"),1+1,
MATCH(1,INDEX((LEN(INDIRECT("'シフト一覧（転載）'!"&amp;W60&amp;":AK100"))&gt;0)
*(INDIRECT("'シフト一覧（転載）'!"&amp;W60&amp;":AK100")&lt;&gt;"休み"),1,0),0)),0),"")</f>
        <v>0</v>
      </c>
      <c r="Y61" s="21">
        <f ca="1">IF(X60=0,0,
IF(OR(X60="",COUNTIF(X60,"*保育無し*")),"",
IF(MOD(X61-X60,1)*24&gt;=8,1,
IF(MOD(X61-X60,1)*24&gt;=6,0.75,0))))</f>
        <v>0</v>
      </c>
      <c r="Z61" s="21">
        <f t="array" aca="1" ref="Z61" ca="1">IFERROR(IF(Y60&lt;&gt;0,INDEX(
INDIRECT("'シフト一覧（転載）'!"&amp;Y60&amp;":AK100"),1+1,
MATCH(1,INDEX((LEN(INDIRECT("'シフト一覧（転載）'!"&amp;Y60&amp;":AK100"))&gt;0)
*(INDIRECT("'シフト一覧（転載）'!"&amp;Y60&amp;":AK100")&lt;&gt;"休み"),1,0),0)),0),"")</f>
        <v>0</v>
      </c>
      <c r="AA61" s="21">
        <f ca="1">IF(Z60=0,0,
IF(OR(Z60="",COUNTIF(Z60,"*保育無し*")),"",
IF(MOD(Z61-Z60,1)*24&gt;=8,1,
IF(MOD(Z61-Z60,1)*24&gt;=6,0.75,0))))</f>
        <v>0</v>
      </c>
      <c r="AB61" s="21">
        <f t="array" aca="1" ref="AB61" ca="1">IFERROR(IF(AA60&lt;&gt;0,INDEX(
INDIRECT("'シフト一覧（転載）'!"&amp;AA60&amp;":AK100"),1+1,
MATCH(1,INDEX((LEN(INDIRECT("'シフト一覧（転載）'!"&amp;AA60&amp;":AK100"))&gt;0)
*(INDIRECT("'シフト一覧（転載）'!"&amp;AA60&amp;":AK100")&lt;&gt;"休み"),1,0),0)),0),"")</f>
        <v>0</v>
      </c>
      <c r="AC61" s="21">
        <f ca="1">IF(AB60=0,0,
IF(OR(AB60="",COUNTIF(AB60,"*保育無し*")),"",
IF(MOD(AB61-AB60,1)*24&gt;=8,1,
IF(MOD(AB61-AB60,1)*24&gt;=6,0.75,0))))</f>
        <v>0</v>
      </c>
      <c r="AD61" s="21">
        <f t="array" aca="1" ref="AD61" ca="1">IFERROR(IF(AC60&lt;&gt;0,INDEX(
INDIRECT("'シフト一覧（転載）'!"&amp;AC60&amp;":AK100"),1+1,
MATCH(1,INDEX((LEN(INDIRECT("'シフト一覧（転載）'!"&amp;AC60&amp;":AK100"))&gt;0)
*(INDIRECT("'シフト一覧（転載）'!"&amp;AC60&amp;":AK100")&lt;&gt;"休み"),1,0),0)),0),"")</f>
        <v>0</v>
      </c>
      <c r="AE61" s="21">
        <f ca="1">IF(AD60=0,0,
IF(OR(AD60="",COUNTIF(AD60,"*保育無し*")),"",
IF(MOD(AD61-AD60,1)*24&gt;=8,1,
IF(MOD(AD61-AD60,1)*24&gt;=6,0.75,0))))</f>
        <v>0</v>
      </c>
      <c r="AF61" s="21">
        <f t="array" aca="1" ref="AF61" ca="1">IFERROR(IF(AE60&lt;&gt;0,INDEX(
INDIRECT("'シフト一覧（転載）'!"&amp;AE60&amp;":AK100"),1+1,
MATCH(1,INDEX((LEN(INDIRECT("'シフト一覧（転載）'!"&amp;AE60&amp;":AK100"))&gt;0)
*(INDIRECT("'シフト一覧（転載）'!"&amp;AE60&amp;":AK100")&lt;&gt;"休み"),1,0),0)),0),"")</f>
        <v>0</v>
      </c>
      <c r="AG61" s="21">
        <f ca="1">IF(AF60=0,0,
IF(OR(AF60="",COUNTIF(AF60,"*保育無し*")),"",
IF(MOD(AF61-AF60,1)*24&gt;=8,1,
IF(MOD(AF61-AF60,1)*24&gt;=6,0.75,0))))</f>
        <v>0</v>
      </c>
      <c r="AH61" s="21">
        <f t="array" aca="1" ref="AH61" ca="1">IFERROR(IF(AG60&lt;&gt;0,INDEX(
INDIRECT("'シフト一覧（転載）'!"&amp;AG60&amp;":AK100"),1+1,
MATCH(1,INDEX((LEN(INDIRECT("'シフト一覧（転載）'!"&amp;AG60&amp;":AK100"))&gt;0)
*(INDIRECT("'シフト一覧（転載）'!"&amp;AG60&amp;":AK100")&lt;&gt;"休み"),1,0),0)),0),"")</f>
        <v>0</v>
      </c>
      <c r="AI61" s="21">
        <f ca="1">IF(AH60=0,0,
IF(OR(AH60="",COUNTIF(AH60,"*保育無し*")),"",
IF(MOD(AH61-AH60,1)*24&gt;=8,1,
IF(MOD(AH61-AH60,1)*24&gt;=6,0.75,0))))</f>
        <v>0</v>
      </c>
      <c r="AJ61" s="21">
        <f t="array" aca="1" ref="AJ61" ca="1">IFERROR(IF(AI60&lt;&gt;0,INDEX(
INDIRECT("'シフト一覧（転載）'!"&amp;AI60&amp;":AK100"),1+1,
MATCH(1,INDEX((LEN(INDIRECT("'シフト一覧（転載）'!"&amp;AI60&amp;":AK100"))&gt;0)
*(INDIRECT("'シフト一覧（転載）'!"&amp;AI60&amp;":AK100")&lt;&gt;"休み"),1,0),0)),0),"")</f>
        <v>0</v>
      </c>
      <c r="AK61" s="21">
        <f ca="1">IF(AJ60=0,0,
IF(OR(AJ60="",COUNTIF(AJ60,"*保育無し*")),"",
IF(MOD(AJ61-AJ60,1)*24&gt;=8,1,
IF(MOD(AJ61-AJ60,1)*24&gt;=6,0.75,0))))</f>
        <v>0</v>
      </c>
      <c r="AL61" s="21">
        <f t="array" aca="1" ref="AL61" ca="1">IFERROR(IF(AK60&lt;&gt;0,INDEX(
INDIRECT("'シフト一覧（転載）'!"&amp;AK60&amp;":AK100"),1+1,
MATCH(1,INDEX((LEN(INDIRECT("'シフト一覧（転載）'!"&amp;AK60&amp;":AK100"))&gt;0)
*(INDIRECT("'シフト一覧（転載）'!"&amp;AK60&amp;":AK100")&lt;&gt;"休み"),1,0),0)),0),"")</f>
        <v>0</v>
      </c>
      <c r="AM61" s="21">
        <f ca="1">IF(AL60=0,0,
IF(OR(AL60="",COUNTIF(AL60,"*保育無し*")),"",
IF(MOD(AL61-AL60,1)*24&gt;=8,1,
IF(MOD(AL61-AL60,1)*24&gt;=6,0.75,0))))</f>
        <v>0</v>
      </c>
      <c r="AN61" s="21">
        <f t="array" aca="1" ref="AN61" ca="1">IFERROR(IF(AM60&lt;&gt;0,INDEX(
INDIRECT("'シフト一覧（転載）'!"&amp;AM60&amp;":AK100"),1+1,
MATCH(1,INDEX((LEN(INDIRECT("'シフト一覧（転載）'!"&amp;AM60&amp;":AK100"))&gt;0)
*(INDIRECT("'シフト一覧（転載）'!"&amp;AM60&amp;":AK100")&lt;&gt;"休み"),1,0),0)),0),"")</f>
        <v>0</v>
      </c>
      <c r="AO61" s="21">
        <f ca="1">IF(AN60=0,0,
IF(OR(AN60="",COUNTIF(AN60,"*保育無し*")),"",
IF(MOD(AN61-AN60,1)*24&gt;=8,1,
IF(MOD(AN61-AN60,1)*24&gt;=6,0.75,0))))</f>
        <v>0</v>
      </c>
      <c r="AP61" s="21">
        <f t="array" aca="1" ref="AP61" ca="1">IFERROR(IF(AO60&lt;&gt;0,INDEX(
INDIRECT("'シフト一覧（転載）'!"&amp;AO60&amp;":AK100"),1+1,
MATCH(1,INDEX((LEN(INDIRECT("'シフト一覧（転載）'!"&amp;AO60&amp;":AK100"))&gt;0)
*(INDIRECT("'シフト一覧（転載）'!"&amp;AO60&amp;":AK100")&lt;&gt;"休み"),1,0),0)),0),"")</f>
        <v>0</v>
      </c>
      <c r="AQ61" s="21">
        <f ca="1">IF(AP60=0,0,
IF(OR(AP60="",COUNTIF(AP60,"*保育無し*")),"",
IF(MOD(AP61-AP60,1)*24&gt;=8,1,
IF(MOD(AP61-AP60,1)*24&gt;=6,0.75,0))))</f>
        <v>0</v>
      </c>
      <c r="AR61" s="21">
        <f t="array" aca="1" ref="AR61" ca="1">IFERROR(IF(AQ60&lt;&gt;0,INDEX(
INDIRECT("'シフト一覧（転載）'!"&amp;AQ60&amp;":AK100"),1+1,
MATCH(1,INDEX((LEN(INDIRECT("'シフト一覧（転載）'!"&amp;AQ60&amp;":AK100"))&gt;0)
*(INDIRECT("'シフト一覧（転載）'!"&amp;AQ60&amp;":AK100")&lt;&gt;"休み"),1,0),0)),0),"")</f>
        <v>0</v>
      </c>
      <c r="AS61" s="21">
        <f ca="1">IF(AR60=0,0,
IF(OR(AR60="",COUNTIF(AR60,"*保育無し*")),"",
IF(MOD(AR61-AR60,1)*24&gt;=8,1,
IF(MOD(AR61-AR60,1)*24&gt;=6,0.75,0))))</f>
        <v>0</v>
      </c>
      <c r="AT61" s="21">
        <f t="array" aca="1" ref="AT61" ca="1">IFERROR(IF(AS60&lt;&gt;0,INDEX(
INDIRECT("'シフト一覧（転載）'!"&amp;AS60&amp;":AK100"),1+1,
MATCH(1,INDEX((LEN(INDIRECT("'シフト一覧（転載）'!"&amp;AS60&amp;":AK100"))&gt;0)
*(INDIRECT("'シフト一覧（転載）'!"&amp;AS60&amp;":AK100")&lt;&gt;"休み"),1,0),0)),0),"")</f>
        <v>0</v>
      </c>
      <c r="AU61" s="21">
        <f ca="1">IF(AT60=0,0,
IF(OR(AT60="",COUNTIF(AT60,"*保育無し*")),"",
IF(MOD(AT61-AT60,1)*24&gt;=8,1,
IF(MOD(AT61-AT60,1)*24&gt;=6,0.75,0))))</f>
        <v>0</v>
      </c>
      <c r="AV61" s="21">
        <f t="array" aca="1" ref="AV61" ca="1">IFERROR(IF(AU60&lt;&gt;0,INDEX(
INDIRECT("'シフト一覧（転載）'!"&amp;AU60&amp;":AK100"),1+1,
MATCH(1,INDEX((LEN(INDIRECT("'シフト一覧（転載）'!"&amp;AU60&amp;":AK100"))&gt;0)
*(INDIRECT("'シフト一覧（転載）'!"&amp;AU60&amp;":AK100")&lt;&gt;"休み"),1,0),0)),0),"")</f>
        <v>0</v>
      </c>
      <c r="AW61" s="21">
        <f ca="1">IF(AV60=0,0,
IF(OR(AV60="",COUNTIF(AV60,"*保育無し*")),"",
IF(MOD(AV61-AV60,1)*24&gt;=8,1,
IF(MOD(AV61-AV60,1)*24&gt;=6,0.75,0))))</f>
        <v>0</v>
      </c>
      <c r="AX61" s="21">
        <f t="array" aca="1" ref="AX61" ca="1">IFERROR(IF(AW60&lt;&gt;0,INDEX(
INDIRECT("'シフト一覧（転載）'!"&amp;AW60&amp;":AK100"),1+1,
MATCH(1,INDEX((LEN(INDIRECT("'シフト一覧（転載）'!"&amp;AW60&amp;":AK100"))&gt;0)
*(INDIRECT("'シフト一覧（転載）'!"&amp;AW60&amp;":AK100")&lt;&gt;"休み"),1,0),0)),0),"")</f>
        <v>0</v>
      </c>
      <c r="AY61" s="21">
        <f ca="1">IF(AX60=0,0,
IF(OR(AX60="",COUNTIF(AX60,"*保育無し*")),"",
IF(MOD(AX61-AX60,1)*24&gt;=8,1,
IF(MOD(AX61-AX60,1)*24&gt;=6,0.75,0))))</f>
        <v>0</v>
      </c>
      <c r="AZ61" s="21">
        <f t="array" aca="1" ref="AZ61" ca="1">IFERROR(IF(AY60&lt;&gt;0,INDEX(
INDIRECT("'シフト一覧（転載）'!"&amp;AY60&amp;":AK100"),1+1,
MATCH(1,INDEX((LEN(INDIRECT("'シフト一覧（転載）'!"&amp;AY60&amp;":AK100"))&gt;0)
*(INDIRECT("'シフト一覧（転載）'!"&amp;AY60&amp;":AK100")&lt;&gt;"休み"),1,0),0)),0),"")</f>
        <v>0</v>
      </c>
      <c r="BA61" s="21">
        <f ca="1">IF(AZ60=0,0,
IF(OR(AZ60="",COUNTIF(AZ60,"*保育無し*")),"",
IF(MOD(AZ61-AZ60,1)*24&gt;=8,1,
IF(MOD(AZ61-AZ60,1)*24&gt;=6,0.75,0))))</f>
        <v>0</v>
      </c>
      <c r="BB61" s="21">
        <f t="array" aca="1" ref="BB61" ca="1">IFERROR(IF(BA60&lt;&gt;0,INDEX(
INDIRECT("'シフト一覧（転載）'!"&amp;BA60&amp;":AK100"),1+1,
MATCH(1,INDEX((LEN(INDIRECT("'シフト一覧（転載）'!"&amp;BA60&amp;":AK100"))&gt;0)
*(INDIRECT("'シフト一覧（転載）'!"&amp;BA60&amp;":AK100")&lt;&gt;"休み"),1,0),0)),0),"")</f>
        <v>0</v>
      </c>
      <c r="BC61" s="21">
        <f ca="1">IF(BB60=0,0,
IF(OR(BB60="",COUNTIF(BB60,"*保育無し*")),"",
IF(MOD(BB61-BB60,1)*24&gt;=8,1,
IF(MOD(BB61-BB60,1)*24&gt;=6,0.75,0))))</f>
        <v>0</v>
      </c>
      <c r="BD61" s="21">
        <f t="array" aca="1" ref="BD61" ca="1">IFERROR(IF(BC60&lt;&gt;0,INDEX(
INDIRECT("'シフト一覧（転載）'!"&amp;BC60&amp;":AK100"),1+1,
MATCH(1,INDEX((LEN(INDIRECT("'シフト一覧（転載）'!"&amp;BC60&amp;":AK100"))&gt;0)
*(INDIRECT("'シフト一覧（転載）'!"&amp;BC60&amp;":AK100")&lt;&gt;"休み"),1,0),0)),0),"")</f>
        <v>0</v>
      </c>
      <c r="BE61" s="21">
        <f ca="1">IF(BD60=0,0,
IF(OR(BD60="",COUNTIF(BD60,"*保育無し*")),"",
IF(MOD(BD61-BD60,1)*24&gt;=8,1,
IF(MOD(BD61-BD60,1)*24&gt;=6,0.75,0))))</f>
        <v>0</v>
      </c>
      <c r="BF61" s="21">
        <f t="array" aca="1" ref="BF61" ca="1">IFERROR(IF(BE60&lt;&gt;0,INDEX(
INDIRECT("'シフト一覧（転載）'!"&amp;BE60&amp;":AK100"),1+1,
MATCH(1,INDEX((LEN(INDIRECT("'シフト一覧（転載）'!"&amp;BE60&amp;":AK100"))&gt;0)
*(INDIRECT("'シフト一覧（転載）'!"&amp;BE60&amp;":AK100")&lt;&gt;"休み"),1,0),0)),0),"")</f>
        <v>0</v>
      </c>
      <c r="BG61" s="21">
        <f ca="1">IF(BF60=0,0,
IF(OR(BF60="",COUNTIF(BF60,"*保育無し*")),"",
IF(MOD(BF61-BF60,1)*24&gt;=8,1,
IF(MOD(BF61-BF60,1)*24&gt;=6,0.75,0))))</f>
        <v>0</v>
      </c>
      <c r="BH61" s="21">
        <f t="array" aca="1" ref="BH61" ca="1">IFERROR(IF(BG60&lt;&gt;0,INDEX(
INDIRECT("'シフト一覧（転載）'!"&amp;BG60&amp;":AK100"),1+1,
MATCH(1,INDEX((LEN(INDIRECT("'シフト一覧（転載）'!"&amp;BG60&amp;":AK100"))&gt;0)
*(INDIRECT("'シフト一覧（転載）'!"&amp;BG60&amp;":AK100")&lt;&gt;"休み"),1,0),0)),0),"")</f>
        <v>0</v>
      </c>
      <c r="BI61" s="21">
        <f ca="1">IF(BH60=0,0,
IF(OR(BH60="",COUNTIF(BH60,"*保育無し*")),"",
IF(MOD(BH61-BH60,1)*24&gt;=8,1,
IF(MOD(BH61-BH60,1)*24&gt;=6,0.75,0))))</f>
        <v>0</v>
      </c>
      <c r="BJ61" s="21">
        <f t="array" aca="1" ref="BJ61" ca="1">IFERROR(IF(BI60&lt;&gt;0,INDEX(
INDIRECT("'シフト一覧（転載）'!"&amp;BI60&amp;":AK100"),1+1,
MATCH(1,INDEX((LEN(INDIRECT("'シフト一覧（転載）'!"&amp;BI60&amp;":AK100"))&gt;0)
*(INDIRECT("'シフト一覧（転載）'!"&amp;BI60&amp;":AK100")&lt;&gt;"休み"),1,0),0)),0),"")</f>
        <v>0</v>
      </c>
      <c r="BK61" s="21">
        <f ca="1">IF(BJ60=0,0,
IF(OR(BJ60="",COUNTIF(BJ60,"*保育無し*")),"",
IF(MOD(BJ61-BJ60,1)*24&gt;=8,1,
IF(MOD(BJ61-BJ60,1)*24&gt;=6,0.75,0))))</f>
        <v>0</v>
      </c>
      <c r="BL61" s="21">
        <f t="array" aca="1" ref="BL61" ca="1">IFERROR(IF(BK60&lt;&gt;0,INDEX(
INDIRECT("'シフト一覧（転載）'!"&amp;BK60&amp;":AK100"),1+1,
MATCH(1,INDEX((LEN(INDIRECT("'シフト一覧（転載）'!"&amp;BK60&amp;":AK100"))&gt;0)
*(INDIRECT("'シフト一覧（転載）'!"&amp;BK60&amp;":AK100")&lt;&gt;"休み"),1,0),0)),0),"")</f>
        <v>0</v>
      </c>
      <c r="BM61" s="21">
        <f ca="1">IF(BL60=0,0,
IF(OR(BL60="",COUNTIF(BL60,"*保育無し*")),"",
IF(MOD(BL61-BL60,1)*24&gt;=8,1,
IF(MOD(BL61-BL60,1)*24&gt;=6,0.75,0))))</f>
        <v>0</v>
      </c>
      <c r="BN61" s="21">
        <f t="array" aca="1" ref="BN61" ca="1">IFERROR(IF(BM60&lt;&gt;0,INDEX(
INDIRECT("'シフト一覧（転載）'!"&amp;BM60&amp;":AK100"),1+1,
MATCH(1,INDEX((LEN(INDIRECT("'シフト一覧（転載）'!"&amp;BM60&amp;":AK100"))&gt;0)
*(INDIRECT("'シフト一覧（転載）'!"&amp;BM60&amp;":AK100")&lt;&gt;"休み"),1,0),0)),0),"")</f>
        <v>0</v>
      </c>
      <c r="BO61" s="21">
        <f ca="1">IF(BN60=0,0,
IF(OR(BN60="",COUNTIF(BN60,"*保育無し*")),"",
IF(MOD(BN61-BN60,1)*24&gt;=8,1,
IF(MOD(BN61-BN60,1)*24&gt;=6,0.75,0))))</f>
        <v>0</v>
      </c>
      <c r="BP61" s="21">
        <f t="array" aca="1" ref="BP61" ca="1">IFERROR(IF(BO60&lt;&gt;0,INDEX(
INDIRECT("'シフト一覧（転載）'!"&amp;BO60&amp;":AK100"),1+1,
MATCH(1,INDEX((LEN(INDIRECT("'シフト一覧（転載）'!"&amp;BO60&amp;":AK100"))&gt;0)
*(INDIRECT("'シフト一覧（転載）'!"&amp;BO60&amp;":AK100")&lt;&gt;"休み"),1,0),0)),0),"")</f>
        <v>0</v>
      </c>
      <c r="BQ61" s="21">
        <f ca="1">IF(BP60=0,0,
IF(OR(BP60="",COUNTIF(BP60,"*保育無し*")),"",
IF(MOD(BP61-BP60,1)*24&gt;=8,1,
IF(MOD(BP61-BP60,1)*24&gt;=6,0.75,0))))</f>
        <v>0</v>
      </c>
      <c r="BR61" s="21">
        <f t="array" aca="1" ref="BR61" ca="1">IFERROR(IF(BQ60&lt;&gt;0,INDEX(
INDIRECT("'シフト一覧（転載）'!"&amp;BQ60&amp;":AK100"),1+1,
MATCH(1,INDEX((LEN(INDIRECT("'シフト一覧（転載）'!"&amp;BQ60&amp;":AK100"))&gt;0)
*(INDIRECT("'シフト一覧（転載）'!"&amp;BQ60&amp;":AK100")&lt;&gt;"休み"),1,0),0)),0),"")</f>
        <v>0</v>
      </c>
      <c r="BS61" s="21">
        <f ca="1">IF(BR60=0,0,
IF(OR(BR60="",COUNTIF(BR60,"*保育無し*")),"",
IF(MOD(BR61-BR60,1)*24&gt;=8,1,
IF(MOD(BR61-BR60,1)*24&gt;=6,0.75,0))))</f>
        <v>0</v>
      </c>
      <c r="BT61" s="21">
        <f t="array" aca="1" ref="BT61" ca="1">IFERROR(IF(BS60&lt;&gt;0,INDEX(
INDIRECT("'シフト一覧（転載）'!"&amp;BS60&amp;":AK100"),1+1,
MATCH(1,INDEX((LEN(INDIRECT("'シフト一覧（転載）'!"&amp;BS60&amp;":AK100"))&gt;0)
*(INDIRECT("'シフト一覧（転載）'!"&amp;BS60&amp;":AK100")&lt;&gt;"休み"),1,0),0)),0),"")</f>
        <v>0</v>
      </c>
      <c r="BU61" s="21">
        <f ca="1">IF(BT60=0,0,
IF(OR(BT60="",COUNTIF(BT60,"*保育無し*")),"",
IF(MOD(BT61-BT60,1)*24&gt;=8,1,
IF(MOD(BT61-BT60,1)*24&gt;=6,0.75,0))))</f>
        <v>0</v>
      </c>
      <c r="BV61" s="21">
        <f t="array" aca="1" ref="BV61" ca="1">IFERROR(IF(BU60&lt;&gt;0,INDEX(
INDIRECT("'シフト一覧（転載）'!"&amp;BU60&amp;":AK100"),1+1,
MATCH(1,INDEX((LEN(INDIRECT("'シフト一覧（転載）'!"&amp;BU60&amp;":AK100"))&gt;0)
*(INDIRECT("'シフト一覧（転載）'!"&amp;BU60&amp;":AK100")&lt;&gt;"休み"),1,0),0)),0),"")</f>
        <v>0</v>
      </c>
      <c r="BW61" s="21">
        <f ca="1">IF(BV60=0,0,
IF(OR(BV60="",COUNTIF(BV60,"*保育無し*")),"",
IF(MOD(BV61-BV60,1)*24&gt;=8,1,
IF(MOD(BV61-BV60,1)*24&gt;=6,0.75,0))))</f>
        <v>0</v>
      </c>
      <c r="BX61" s="21">
        <f t="array" aca="1" ref="BX61" ca="1">IFERROR(IF(BW60&lt;&gt;0,INDEX(
INDIRECT("'シフト一覧（転載）'!"&amp;BW60&amp;":AK100"),1+1,
MATCH(1,INDEX((LEN(INDIRECT("'シフト一覧（転載）'!"&amp;BW60&amp;":AK100"))&gt;0)
*(INDIRECT("'シフト一覧（転載）'!"&amp;BW60&amp;":AK100")&lt;&gt;"休み"),1,0),0)),0),"")</f>
        <v>0</v>
      </c>
      <c r="BY61" s="21">
        <f ca="1">IF(BX60=0,0,
IF(OR(BX60="",COUNTIF(BX60,"*保育無し*")),"",
IF(MOD(BX61-BX60,1)*24&gt;=8,1,
IF(MOD(BX61-BX60,1)*24&gt;=6,0.75,0))))</f>
        <v>0</v>
      </c>
    </row>
    <row r="62" spans="13:77" ht="19.8" customHeight="1" x14ac:dyDescent="0.2">
      <c r="M62" s="103" t="str" cm="1">
        <f t="array" aca="1" ref="M62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2" s="101" t="str">
        <f t="shared" ref="N62" ca="1" si="30">IF(M62&lt;&gt;"",VLOOKUP(M62,$B$12:$C$41,2,FALSE),"")</f>
        <v/>
      </c>
      <c r="O62" s="106" cm="1">
        <f t="array" aca="1" ref="O62" ca="1">IF(COUNTIF(P62,"*保育無*"),0,
SUM(IF(
MOD(COLUMN(INDIRECT("P"&amp; ROW() &amp; ":" &amp; ADDRESS(ROW(), IFERROR(MATCH("*保育無し*", INDIRECT("P"&amp; ROW() &amp; ":BY" &amp; ROW()), 0) + COLUMN(P62) - 2, COLUMN(BX62) + 1), 4))) - COLUMN(P62), 2) = 0,
MOD(INDIRECT("P"&amp; ROW()+1 &amp; ":" &amp; ADDRESS(ROW()+1, IFERROR(MATCH("*保育無し*", INDIRECT("P"&amp; ROW() &amp; ":BY" &amp; ROW()), 0) + COLUMN(P62) - 2, COLUMN(BX62) + 1), 4)) - INDIRECT("P"&amp; ROW() &amp; ":" &amp; ADDRESS(ROW(), IFERROR(MATCH("*保育無し*", INDIRECT("P"&amp; ROW() &amp; ":BY" &amp; ROW()), 0) + COLUMN(P62) - 2, COLUMN(BX62) + 1), 4)),1),0))*24
-SUM(_xlfn._xlws.FILTER(P63:BX63, MOD(COLUMN(P63:BX63) - COLUMN(P63), 2) = 1)))</f>
        <v>0</v>
      </c>
      <c r="P62" s="20">
        <f t="array" aca="1" ref="P62" ca="1">IFERROR(IF(M62&lt;&gt;"",INDEX('シフト一覧（転載）'!$F$8:$AK$100,
    MATCH(1,(ISNUMBER(SEARCH(M62,'シフト一覧（転載）'!$A$8:$A$100)))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MATCH(1,(ISNUMBER(SEARCH(M62,'シフト一覧（転載）'!$A$8:$A$100)))
                *(ISNUMBER(SEARCH($F$9,'シフト一覧（転載）'!$B$8:$B$100))),
                0),0),0)),0),$F$9&amp;"保育無し")</f>
        <v>0</v>
      </c>
      <c r="Q62" s="20">
        <f t="array" aca="1" ref="Q62" ca="1">IFERROR(IF(COUNTIF(P62,"*無*"),"",IF(M62&lt;&gt;"",ADDRESS(
    MATCH(1,(ISNUMBER(SEARCH(M62,'シフト一覧（転載）'!$A$8:$A$100)))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MATCH(1,(ISNUMBER(SEARCH(M62,'シフト一覧（転載）'!$A$8:$A$100)))
                *(ISNUMBER(SEARCH($F$9,'シフト一覧（転載）'!$B$8:$B$100))),0),0),0) + 6,4),0)),0)</f>
        <v>0</v>
      </c>
      <c r="R62" s="20">
        <f t="array" aca="1" ref="R62" ca="1">IFERROR(IF(Q62&lt;&gt;"",IF(Q62&lt;&gt;0,INDEX(
INDIRECT("'シフト一覧（転載）'!"&amp;Q62&amp;":AK100"),1,
MATCH(1,INDEX((LEN(INDIRECT("'シフト一覧（転載）'!"&amp;Q62&amp;":AK100"))&gt;0)
*(INDIRECT("'シフト一覧（転載）'!"&amp;Q62&amp;":AK100")&lt;&gt;"休み"),1,0),0)),0),""),$F$9&amp;"保育無し")</f>
        <v>0</v>
      </c>
      <c r="S62" s="20">
        <f t="array" aca="1" ref="S62" ca="1">IFERROR(IF(Q62&lt;&gt;0,ADDRESS(ROW(INDIRECT(Q62)),
    COLUMN(INDIRECT(Q62)) - 1 +
    MATCH(1,INDEX((LEN(INDIRECT("'シフト一覧（転載）'!"&amp;Q62&amp;":AK100"))&gt;0)
            *(INDIRECT("'シフト一覧（転載）'!"&amp;Q62&amp;":AK100")&lt;&gt;"休み"),
            1,0),0)+1,4),0),"")</f>
        <v>0</v>
      </c>
      <c r="T62" s="20">
        <f t="array" aca="1" ref="T62" ca="1">IFERROR(IF(S62&lt;&gt;"",IF(S62&lt;&gt;0,INDEX(
INDIRECT("'シフト一覧（転載）'!"&amp;S62&amp;":AK100"),1,
MATCH(1,INDEX((LEN(INDIRECT("'シフト一覧（転載）'!"&amp;S62&amp;":AK100"))&gt;0)
*(INDIRECT("'シフト一覧（転載）'!"&amp;S62&amp;":AK100")&lt;&gt;"休み"),1,0),0)),0),""),$F$9&amp;"保育無し")</f>
        <v>0</v>
      </c>
      <c r="U62" s="20">
        <f t="array" aca="1" ref="U62" ca="1">IFERROR(IF(S62&lt;&gt;0,ADDRESS(ROW(INDIRECT(S62)),
    COLUMN(INDIRECT(S62)) - 1 +
    MATCH(1,INDEX((LEN(INDIRECT("'シフト一覧（転載）'!"&amp;S62&amp;":AK100"))&gt;0)
            *(INDIRECT("'シフト一覧（転載）'!"&amp;S62&amp;":AK100")&lt;&gt;"休み"),
            1,0),0)+1,4),0),"")</f>
        <v>0</v>
      </c>
      <c r="V62" s="20">
        <f t="array" aca="1" ref="V62" ca="1">IFERROR(IF(U62&lt;&gt;"",IF(U62&lt;&gt;0,INDEX(
INDIRECT("'シフト一覧（転載）'!"&amp;U62&amp;":AK100"),1,
MATCH(1,INDEX((LEN(INDIRECT("'シフト一覧（転載）'!"&amp;U62&amp;":AK100"))&gt;0)
*(INDIRECT("'シフト一覧（転載）'!"&amp;U62&amp;":AK100")&lt;&gt;"休み"),1,0),0)),0),""),$F$9&amp;"保育無し")</f>
        <v>0</v>
      </c>
      <c r="W62" s="20">
        <f t="array" aca="1" ref="W62" ca="1">IFERROR(IF(U62&lt;&gt;0,ADDRESS(ROW(INDIRECT(U62)),
    COLUMN(INDIRECT(U62)) - 1 +
    MATCH(1,INDEX((LEN(INDIRECT("'シフト一覧（転載）'!"&amp;U62&amp;":AK100"))&gt;0)
            *(INDIRECT("'シフト一覧（転載）'!"&amp;U62&amp;":AK100")&lt;&gt;"休み"),
            1,0),0)+1,4),0),"")</f>
        <v>0</v>
      </c>
      <c r="X62" s="20">
        <f t="array" aca="1" ref="X62" ca="1">IFERROR(IF(W62&lt;&gt;"",IF(W62&lt;&gt;0,INDEX(
INDIRECT("'シフト一覧（転載）'!"&amp;W62&amp;":AK100"),1,
MATCH(1,INDEX((LEN(INDIRECT("'シフト一覧（転載）'!"&amp;W62&amp;":AK100"))&gt;0)
*(INDIRECT("'シフト一覧（転載）'!"&amp;W62&amp;":AK100")&lt;&gt;"休み"),1,0),0)),0),""),$F$9&amp;"保育無し")</f>
        <v>0</v>
      </c>
      <c r="Y62" s="20">
        <f t="array" aca="1" ref="Y62" ca="1">IFERROR(IF(W62&lt;&gt;0,ADDRESS(ROW(INDIRECT(W62)),
    COLUMN(INDIRECT(W62)) - 1 +
    MATCH(1,INDEX((LEN(INDIRECT("'シフト一覧（転載）'!"&amp;W62&amp;":AK100"))&gt;0)
            *(INDIRECT("'シフト一覧（転載）'!"&amp;W62&amp;":AK100")&lt;&gt;"休み"),
            1,0),0)+1,4),0),"")</f>
        <v>0</v>
      </c>
      <c r="Z62" s="20">
        <f t="array" aca="1" ref="Z62" ca="1">IFERROR(IF(Y62&lt;&gt;"",IF(Y62&lt;&gt;0,INDEX(
INDIRECT("'シフト一覧（転載）'!"&amp;Y62&amp;":AK100"),1,
MATCH(1,INDEX((LEN(INDIRECT("'シフト一覧（転載）'!"&amp;Y62&amp;":AK100"))&gt;0)
*(INDIRECT("'シフト一覧（転載）'!"&amp;Y62&amp;":AK100")&lt;&gt;"休み"),1,0),0)),0),""),$F$9&amp;"保育無し")</f>
        <v>0</v>
      </c>
      <c r="AA62" s="20">
        <f t="array" aca="1" ref="AA62" ca="1">IFERROR(IF(Y62&lt;&gt;0,ADDRESS(ROW(INDIRECT(Y62)),
    COLUMN(INDIRECT(Y62)) - 1 +
    MATCH(1,INDEX((LEN(INDIRECT("'シフト一覧（転載）'!"&amp;Y62&amp;":AK100"))&gt;0)
            *(INDIRECT("'シフト一覧（転載）'!"&amp;Y62&amp;":AK100")&lt;&gt;"休み"),
            1,0),0)+1,4),0),"")</f>
        <v>0</v>
      </c>
      <c r="AB62" s="20">
        <f t="array" aca="1" ref="AB62" ca="1">IFERROR(IF(AA62&lt;&gt;"",IF(AA62&lt;&gt;0,INDEX(
INDIRECT("'シフト一覧（転載）'!"&amp;AA62&amp;":AK100"),1,
MATCH(1,INDEX((LEN(INDIRECT("'シフト一覧（転載）'!"&amp;AA62&amp;":AK100"))&gt;0)
*(INDIRECT("'シフト一覧（転載）'!"&amp;AA62&amp;":AK100")&lt;&gt;"休み"),1,0),0)),0),""),$F$9&amp;"保育無し")</f>
        <v>0</v>
      </c>
      <c r="AC62" s="20">
        <f t="array" aca="1" ref="AC62" ca="1">IFERROR(IF(AA62&lt;&gt;0,ADDRESS(ROW(INDIRECT(AA62)),
    COLUMN(INDIRECT(AA62)) - 1 +
    MATCH(1,INDEX((LEN(INDIRECT("'シフト一覧（転載）'!"&amp;AA62&amp;":AK100"))&gt;0)
            *(INDIRECT("'シフト一覧（転載）'!"&amp;AA62&amp;":AK100")&lt;&gt;"休み"),
            1,0),0)+1,4),0),"")</f>
        <v>0</v>
      </c>
      <c r="AD62" s="20">
        <f t="array" aca="1" ref="AD62" ca="1">IFERROR(IF(AC62&lt;&gt;"",IF(AC62&lt;&gt;0,INDEX(
INDIRECT("'シフト一覧（転載）'!"&amp;AC62&amp;":AK100"),1,
MATCH(1,INDEX((LEN(INDIRECT("'シフト一覧（転載）'!"&amp;AC62&amp;":AK100"))&gt;0)
*(INDIRECT("'シフト一覧（転載）'!"&amp;AC62&amp;":AK100")&lt;&gt;"休み"),1,0),0)),0),""),$F$9&amp;"保育無し")</f>
        <v>0</v>
      </c>
      <c r="AE62" s="20">
        <f t="array" aca="1" ref="AE62" ca="1">IFERROR(IF(AC62&lt;&gt;0,ADDRESS(ROW(INDIRECT(AC62)),
    COLUMN(INDIRECT(AC62)) - 1 +
    MATCH(1,INDEX((LEN(INDIRECT("'シフト一覧（転載）'!"&amp;AC62&amp;":AK100"))&gt;0)
            *(INDIRECT("'シフト一覧（転載）'!"&amp;AC62&amp;":AK100")&lt;&gt;"休み"),
            1,0),0)+1,4),0),"")</f>
        <v>0</v>
      </c>
      <c r="AF62" s="20">
        <f t="array" aca="1" ref="AF62" ca="1">IFERROR(IF(AE62&lt;&gt;"",IF(AE62&lt;&gt;0,INDEX(
INDIRECT("'シフト一覧（転載）'!"&amp;AE62&amp;":AK100"),1,
MATCH(1,INDEX((LEN(INDIRECT("'シフト一覧（転載）'!"&amp;AE62&amp;":AK100"))&gt;0)
*(INDIRECT("'シフト一覧（転載）'!"&amp;AE62&amp;":AK100")&lt;&gt;"休み"),1,0),0)),0),""),$F$9&amp;"保育無し")</f>
        <v>0</v>
      </c>
      <c r="AG62" s="20">
        <f t="array" aca="1" ref="AG62" ca="1">IFERROR(IF(AE62&lt;&gt;0,ADDRESS(ROW(INDIRECT(AE62)),
    COLUMN(INDIRECT(AE62)) - 1 +
    MATCH(1,INDEX((LEN(INDIRECT("'シフト一覧（転載）'!"&amp;AE62&amp;":AK100"))&gt;0)
            *(INDIRECT("'シフト一覧（転載）'!"&amp;AE62&amp;":AK100")&lt;&gt;"休み"),
            1,0),0)+1,4),0),"")</f>
        <v>0</v>
      </c>
      <c r="AH62" s="20">
        <f t="array" aca="1" ref="AH62" ca="1">IFERROR(IF(AG62&lt;&gt;"",IF(AG62&lt;&gt;0,INDEX(
INDIRECT("'シフト一覧（転載）'!"&amp;AG62&amp;":AK100"),1,
MATCH(1,INDEX((LEN(INDIRECT("'シフト一覧（転載）'!"&amp;AG62&amp;":AK100"))&gt;0)
*(INDIRECT("'シフト一覧（転載）'!"&amp;AG62&amp;":AK100")&lt;&gt;"休み"),1,0),0)),0),""),$F$9&amp;"保育無し")</f>
        <v>0</v>
      </c>
      <c r="AI62" s="20">
        <f t="array" aca="1" ref="AI62" ca="1">IFERROR(IF(AG62&lt;&gt;0,ADDRESS(ROW(INDIRECT(AG62)),
    COLUMN(INDIRECT(AG62)) - 1 +
    MATCH(1,INDEX((LEN(INDIRECT("'シフト一覧（転載）'!"&amp;AG62&amp;":AK100"))&gt;0)
            *(INDIRECT("'シフト一覧（転載）'!"&amp;AG62&amp;":AK100")&lt;&gt;"休み"),
            1,0),0)+1,4),0),"")</f>
        <v>0</v>
      </c>
      <c r="AJ62" s="20">
        <f t="array" aca="1" ref="AJ62" ca="1">IFERROR(IF(AI62&lt;&gt;"",IF(AI62&lt;&gt;0,INDEX(
INDIRECT("'シフト一覧（転載）'!"&amp;AI62&amp;":AK100"),1,
MATCH(1,INDEX((LEN(INDIRECT("'シフト一覧（転載）'!"&amp;AI62&amp;":AK100"))&gt;0)
*(INDIRECT("'シフト一覧（転載）'!"&amp;AI62&amp;":AK100")&lt;&gt;"休み"),1,0),0)),0),""),$F$9&amp;"保育無し")</f>
        <v>0</v>
      </c>
      <c r="AK62" s="20">
        <f t="array" aca="1" ref="AK62" ca="1">IFERROR(IF(AI62&lt;&gt;0,ADDRESS(ROW(INDIRECT(AI62)),
    COLUMN(INDIRECT(AI62)) - 1 +
    MATCH(1,INDEX((LEN(INDIRECT("'シフト一覧（転載）'!"&amp;AI62&amp;":AK100"))&gt;0)
            *(INDIRECT("'シフト一覧（転載）'!"&amp;AI62&amp;":AK100")&lt;&gt;"休み"),
            1,0),0)+1,4),0),"")</f>
        <v>0</v>
      </c>
      <c r="AL62" s="20">
        <f t="array" aca="1" ref="AL62" ca="1">IFERROR(IF(AK62&lt;&gt;"",IF(AK62&lt;&gt;0,INDEX(
INDIRECT("'シフト一覧（転載）'!"&amp;AK62&amp;":AK100"),1,
MATCH(1,INDEX((LEN(INDIRECT("'シフト一覧（転載）'!"&amp;AK62&amp;":AK100"))&gt;0)
*(INDIRECT("'シフト一覧（転載）'!"&amp;AK62&amp;":AK100")&lt;&gt;"休み"),1,0),0)),0),""),$F$9&amp;"保育無し")</f>
        <v>0</v>
      </c>
      <c r="AM62" s="20">
        <f t="array" aca="1" ref="AM62" ca="1">IFERROR(IF(AK62&lt;&gt;0,ADDRESS(ROW(INDIRECT(AK62)),
    COLUMN(INDIRECT(AK62)) - 1 +
    MATCH(1,INDEX((LEN(INDIRECT("'シフト一覧（転載）'!"&amp;AK62&amp;":AK100"))&gt;0)
            *(INDIRECT("'シフト一覧（転載）'!"&amp;AK62&amp;":AK100")&lt;&gt;"休み"),
            1,0),0)+1,4),0),"")</f>
        <v>0</v>
      </c>
      <c r="AN62" s="20">
        <f t="array" aca="1" ref="AN62" ca="1">IFERROR(IF(AM62&lt;&gt;"",IF(AM62&lt;&gt;0,INDEX(
INDIRECT("'シフト一覧（転載）'!"&amp;AM62&amp;":AK100"),1,
MATCH(1,INDEX((LEN(INDIRECT("'シフト一覧（転載）'!"&amp;AM62&amp;":AK100"))&gt;0)
*(INDIRECT("'シフト一覧（転載）'!"&amp;AM62&amp;":AK100")&lt;&gt;"休み"),1,0),0)),0),""),$F$9&amp;"保育無し")</f>
        <v>0</v>
      </c>
      <c r="AO62" s="20">
        <f t="array" aca="1" ref="AO62" ca="1">IFERROR(IF(AM62&lt;&gt;0,ADDRESS(ROW(INDIRECT(AM62)),
    COLUMN(INDIRECT(AM62)) - 1 +
    MATCH(1,INDEX((LEN(INDIRECT("'シフト一覧（転載）'!"&amp;AM62&amp;":AK100"))&gt;0)
            *(INDIRECT("'シフト一覧（転載）'!"&amp;AM62&amp;":AK100")&lt;&gt;"休み"),
            1,0),0)+1,4),0),"")</f>
        <v>0</v>
      </c>
      <c r="AP62" s="20">
        <f t="array" aca="1" ref="AP62" ca="1">IFERROR(IF(AO62&lt;&gt;"",IF(AO62&lt;&gt;0,INDEX(
INDIRECT("'シフト一覧（転載）'!"&amp;AO62&amp;":AK100"),1,
MATCH(1,INDEX((LEN(INDIRECT("'シフト一覧（転載）'!"&amp;AO62&amp;":AK100"))&gt;0)
*(INDIRECT("'シフト一覧（転載）'!"&amp;AO62&amp;":AK100")&lt;&gt;"休み"),1,0),0)),0),""),$F$9&amp;"保育無し")</f>
        <v>0</v>
      </c>
      <c r="AQ62" s="20">
        <f t="array" aca="1" ref="AQ62" ca="1">IFERROR(IF(AO62&lt;&gt;0,ADDRESS(ROW(INDIRECT(AO62)),
    COLUMN(INDIRECT(AO62)) - 1 +
    MATCH(1,INDEX((LEN(INDIRECT("'シフト一覧（転載）'!"&amp;AO62&amp;":AK100"))&gt;0)
            *(INDIRECT("'シフト一覧（転載）'!"&amp;AO62&amp;":AK100")&lt;&gt;"休み"),
            1,0),0)+1,4),0),"")</f>
        <v>0</v>
      </c>
      <c r="AR62" s="20">
        <f t="array" aca="1" ref="AR62" ca="1">IFERROR(IF(AQ62&lt;&gt;"",IF(AQ62&lt;&gt;0,INDEX(
INDIRECT("'シフト一覧（転載）'!"&amp;AQ62&amp;":AK100"),1,
MATCH(1,INDEX((LEN(INDIRECT("'シフト一覧（転載）'!"&amp;AQ62&amp;":AK100"))&gt;0)
*(INDIRECT("'シフト一覧（転載）'!"&amp;AQ62&amp;":AK100")&lt;&gt;"休み"),1,0),0)),0),""),$F$9&amp;"保育無し")</f>
        <v>0</v>
      </c>
      <c r="AS62" s="20">
        <f t="array" aca="1" ref="AS62" ca="1">IFERROR(IF(AQ62&lt;&gt;0,ADDRESS(ROW(INDIRECT(AQ62)),
    COLUMN(INDIRECT(AQ62)) - 1 +
    MATCH(1,INDEX((LEN(INDIRECT("'シフト一覧（転載）'!"&amp;AQ62&amp;":AK100"))&gt;0)
            *(INDIRECT("'シフト一覧（転載）'!"&amp;AQ62&amp;":AK100")&lt;&gt;"休み"),
            1,0),0)+1,4),0),"")</f>
        <v>0</v>
      </c>
      <c r="AT62" s="20">
        <f t="array" aca="1" ref="AT62" ca="1">IFERROR(IF(AS62&lt;&gt;"",IF(AS62&lt;&gt;0,INDEX(
INDIRECT("'シフト一覧（転載）'!"&amp;AS62&amp;":AK100"),1,
MATCH(1,INDEX((LEN(INDIRECT("'シフト一覧（転載）'!"&amp;AS62&amp;":AK100"))&gt;0)
*(INDIRECT("'シフト一覧（転載）'!"&amp;AS62&amp;":AK100")&lt;&gt;"休み"),1,0),0)),0),""),$F$9&amp;"保育無し")</f>
        <v>0</v>
      </c>
      <c r="AU62" s="20">
        <f t="array" aca="1" ref="AU62" ca="1">IFERROR(IF(AS62&lt;&gt;0,ADDRESS(ROW(INDIRECT(AS62)),
    COLUMN(INDIRECT(AS62)) - 1 +
    MATCH(1,INDEX((LEN(INDIRECT("'シフト一覧（転載）'!"&amp;AS62&amp;":AK100"))&gt;0)
            *(INDIRECT("'シフト一覧（転載）'!"&amp;AS62&amp;":AK100")&lt;&gt;"休み"),
            1,0),0)+1,4),0),"")</f>
        <v>0</v>
      </c>
      <c r="AV62" s="20">
        <f t="array" aca="1" ref="AV62" ca="1">IFERROR(IF(AU62&lt;&gt;"",IF(AU62&lt;&gt;0,INDEX(
INDIRECT("'シフト一覧（転載）'!"&amp;AU62&amp;":AK100"),1,
MATCH(1,INDEX((LEN(INDIRECT("'シフト一覧（転載）'!"&amp;AU62&amp;":AK100"))&gt;0)
*(INDIRECT("'シフト一覧（転載）'!"&amp;AU62&amp;":AK100")&lt;&gt;"休み"),1,0),0)),0),""),$F$9&amp;"保育無し")</f>
        <v>0</v>
      </c>
      <c r="AW62" s="20">
        <f t="array" aca="1" ref="AW62" ca="1">IFERROR(IF(AU62&lt;&gt;0,ADDRESS(ROW(INDIRECT(AU62)),
    COLUMN(INDIRECT(AU62)) - 1 +
    MATCH(1,INDEX((LEN(INDIRECT("'シフト一覧（転載）'!"&amp;AU62&amp;":AK100"))&gt;0)
            *(INDIRECT("'シフト一覧（転載）'!"&amp;AU62&amp;":AK100")&lt;&gt;"休み"),
            1,0),0)+1,4),0),"")</f>
        <v>0</v>
      </c>
      <c r="AX62" s="20">
        <f t="array" aca="1" ref="AX62" ca="1">IFERROR(IF(AW62&lt;&gt;"",IF(AW62&lt;&gt;0,INDEX(
INDIRECT("'シフト一覧（転載）'!"&amp;AW62&amp;":AK100"),1,
MATCH(1,INDEX((LEN(INDIRECT("'シフト一覧（転載）'!"&amp;AW62&amp;":AK100"))&gt;0)
*(INDIRECT("'シフト一覧（転載）'!"&amp;AW62&amp;":AK100")&lt;&gt;"休み"),1,0),0)),0),""),$F$9&amp;"保育無し")</f>
        <v>0</v>
      </c>
      <c r="AY62" s="20">
        <f t="array" aca="1" ref="AY62" ca="1">IFERROR(IF(AW62&lt;&gt;0,ADDRESS(ROW(INDIRECT(AW62)),
    COLUMN(INDIRECT(AW62)) - 1 +
    MATCH(1,INDEX((LEN(INDIRECT("'シフト一覧（転載）'!"&amp;AW62&amp;":AK100"))&gt;0)
            *(INDIRECT("'シフト一覧（転載）'!"&amp;AW62&amp;":AK100")&lt;&gt;"休み"),
            1,0),0)+1,4),0),"")</f>
        <v>0</v>
      </c>
      <c r="AZ62" s="20">
        <f t="array" aca="1" ref="AZ62" ca="1">IFERROR(IF(AY62&lt;&gt;"",IF(AY62&lt;&gt;0,INDEX(
INDIRECT("'シフト一覧（転載）'!"&amp;AY62&amp;":AK100"),1,
MATCH(1,INDEX((LEN(INDIRECT("'シフト一覧（転載）'!"&amp;AY62&amp;":AK100"))&gt;0)
*(INDIRECT("'シフト一覧（転載）'!"&amp;AY62&amp;":AK100")&lt;&gt;"休み"),1,0),0)),0),""),$F$9&amp;"保育無し")</f>
        <v>0</v>
      </c>
      <c r="BA62" s="20">
        <f t="array" aca="1" ref="BA62" ca="1">IFERROR(IF(AY62&lt;&gt;0,ADDRESS(ROW(INDIRECT(AY62)),
    COLUMN(INDIRECT(AY62)) - 1 +
    MATCH(1,INDEX((LEN(INDIRECT("'シフト一覧（転載）'!"&amp;AY62&amp;":AK100"))&gt;0)
            *(INDIRECT("'シフト一覧（転載）'!"&amp;AY62&amp;":AK100")&lt;&gt;"休み"),
            1,0),0)+1,4),0),"")</f>
        <v>0</v>
      </c>
      <c r="BB62" s="20">
        <f t="array" aca="1" ref="BB62" ca="1">IFERROR(IF(BA62&lt;&gt;"",IF(BA62&lt;&gt;0,INDEX(
INDIRECT("'シフト一覧（転載）'!"&amp;BA62&amp;":AK100"),1,
MATCH(1,INDEX((LEN(INDIRECT("'シフト一覧（転載）'!"&amp;BA62&amp;":AK100"))&gt;0)
*(INDIRECT("'シフト一覧（転載）'!"&amp;BA62&amp;":AK100")&lt;&gt;"休み"),1,0),0)),0),""),$F$9&amp;"保育無し")</f>
        <v>0</v>
      </c>
      <c r="BC62" s="20">
        <f t="array" aca="1" ref="BC62" ca="1">IFERROR(IF(BA62&lt;&gt;0,ADDRESS(ROW(INDIRECT(BA62)),
    COLUMN(INDIRECT(BA62)) - 1 +
    MATCH(1,INDEX((LEN(INDIRECT("'シフト一覧（転載）'!"&amp;BA62&amp;":AK100"))&gt;0)
            *(INDIRECT("'シフト一覧（転載）'!"&amp;BA62&amp;":AK100")&lt;&gt;"休み"),
            1,0),0)+1,4),0),"")</f>
        <v>0</v>
      </c>
      <c r="BD62" s="20">
        <f t="array" aca="1" ref="BD62" ca="1">IFERROR(IF(BC62&lt;&gt;"",IF(BC62&lt;&gt;0,INDEX(
INDIRECT("'シフト一覧（転載）'!"&amp;BC62&amp;":AK100"),1,
MATCH(1,INDEX((LEN(INDIRECT("'シフト一覧（転載）'!"&amp;BC62&amp;":AK100"))&gt;0)
*(INDIRECT("'シフト一覧（転載）'!"&amp;BC62&amp;":AK100")&lt;&gt;"休み"),1,0),0)),0),""),$F$9&amp;"保育無し")</f>
        <v>0</v>
      </c>
      <c r="BE62" s="20">
        <f t="array" aca="1" ref="BE62" ca="1">IFERROR(IF(BC62&lt;&gt;0,ADDRESS(ROW(INDIRECT(BC62)),
    COLUMN(INDIRECT(BC62)) - 1 +
    MATCH(1,INDEX((LEN(INDIRECT("'シフト一覧（転載）'!"&amp;BC62&amp;":AK100"))&gt;0)
            *(INDIRECT("'シフト一覧（転載）'!"&amp;BC62&amp;":AK100")&lt;&gt;"休み"),
            1,0),0)+1,4),0),"")</f>
        <v>0</v>
      </c>
      <c r="BF62" s="20">
        <f t="array" aca="1" ref="BF62" ca="1">IFERROR(IF(BE62&lt;&gt;"",IF(BE62&lt;&gt;0,INDEX(
INDIRECT("'シフト一覧（転載）'!"&amp;BE62&amp;":AK100"),1,
MATCH(1,INDEX((LEN(INDIRECT("'シフト一覧（転載）'!"&amp;BE62&amp;":AK100"))&gt;0)
*(INDIRECT("'シフト一覧（転載）'!"&amp;BE62&amp;":AK100")&lt;&gt;"休み"),1,0),0)),0),""),$F$9&amp;"保育無し")</f>
        <v>0</v>
      </c>
      <c r="BG62" s="20">
        <f t="array" aca="1" ref="BG62" ca="1">IFERROR(IF(BE62&lt;&gt;0,ADDRESS(ROW(INDIRECT(BE62)),
    COLUMN(INDIRECT(BE62)) - 1 +
    MATCH(1,INDEX((LEN(INDIRECT("'シフト一覧（転載）'!"&amp;BE62&amp;":AK100"))&gt;0)
            *(INDIRECT("'シフト一覧（転載）'!"&amp;BE62&amp;":AK100")&lt;&gt;"休み"),
            1,0),0)+1,4),0),"")</f>
        <v>0</v>
      </c>
      <c r="BH62" s="20">
        <f t="array" aca="1" ref="BH62" ca="1">IFERROR(IF(BG62&lt;&gt;"",IF(BG62&lt;&gt;0,INDEX(
INDIRECT("'シフト一覧（転載）'!"&amp;BG62&amp;":AK100"),1,
MATCH(1,INDEX((LEN(INDIRECT("'シフト一覧（転載）'!"&amp;BG62&amp;":AK100"))&gt;0)
*(INDIRECT("'シフト一覧（転載）'!"&amp;BG62&amp;":AK100")&lt;&gt;"休み"),1,0),0)),0),""),$F$9&amp;"保育無し")</f>
        <v>0</v>
      </c>
      <c r="BI62" s="20">
        <f t="array" aca="1" ref="BI62" ca="1">IFERROR(IF(BG62&lt;&gt;0,ADDRESS(ROW(INDIRECT(BG62)),
    COLUMN(INDIRECT(BG62)) - 1 +
    MATCH(1,INDEX((LEN(INDIRECT("'シフト一覧（転載）'!"&amp;BG62&amp;":AK100"))&gt;0)
            *(INDIRECT("'シフト一覧（転載）'!"&amp;BG62&amp;":AK100")&lt;&gt;"休み"),
            1,0),0)+1,4),0),"")</f>
        <v>0</v>
      </c>
      <c r="BJ62" s="20">
        <f t="array" aca="1" ref="BJ62" ca="1">IFERROR(IF(BI62&lt;&gt;"",IF(BI62&lt;&gt;0,INDEX(
INDIRECT("'シフト一覧（転載）'!"&amp;BI62&amp;":AK100"),1,
MATCH(1,INDEX((LEN(INDIRECT("'シフト一覧（転載）'!"&amp;BI62&amp;":AK100"))&gt;0)
*(INDIRECT("'シフト一覧（転載）'!"&amp;BI62&amp;":AK100")&lt;&gt;"休み"),1,0),0)),0),""),$F$9&amp;"保育無し")</f>
        <v>0</v>
      </c>
      <c r="BK62" s="20">
        <f t="array" aca="1" ref="BK62" ca="1">IFERROR(IF(BI62&lt;&gt;0,ADDRESS(ROW(INDIRECT(BI62)),
    COLUMN(INDIRECT(BI62)) - 1 +
    MATCH(1,INDEX((LEN(INDIRECT("'シフト一覧（転載）'!"&amp;BI62&amp;":AK100"))&gt;0)
            *(INDIRECT("'シフト一覧（転載）'!"&amp;BI62&amp;":AK100")&lt;&gt;"休み"),
            1,0),0)+1,4),0),"")</f>
        <v>0</v>
      </c>
      <c r="BL62" s="20">
        <f t="array" aca="1" ref="BL62" ca="1">IFERROR(IF(BK62&lt;&gt;"",IF(BK62&lt;&gt;0,INDEX(
INDIRECT("'シフト一覧（転載）'!"&amp;BK62&amp;":AK100"),1,
MATCH(1,INDEX((LEN(INDIRECT("'シフト一覧（転載）'!"&amp;BK62&amp;":AK100"))&gt;0)
*(INDIRECT("'シフト一覧（転載）'!"&amp;BK62&amp;":AK100")&lt;&gt;"休み"),1,0),0)),0),""),$F$9&amp;"保育無し")</f>
        <v>0</v>
      </c>
      <c r="BM62" s="20">
        <f t="array" aca="1" ref="BM62" ca="1">IFERROR(IF(BK62&lt;&gt;0,ADDRESS(ROW(INDIRECT(BK62)),
    COLUMN(INDIRECT(BK62)) - 1 +
    MATCH(1,INDEX((LEN(INDIRECT("'シフト一覧（転載）'!"&amp;BK62&amp;":AK100"))&gt;0)
            *(INDIRECT("'シフト一覧（転載）'!"&amp;BK62&amp;":AK100")&lt;&gt;"休み"),
            1,0),0)+1,4),0),"")</f>
        <v>0</v>
      </c>
      <c r="BN62" s="20">
        <f t="array" aca="1" ref="BN62" ca="1">IFERROR(IF(BM62&lt;&gt;"",IF(BM62&lt;&gt;0,INDEX(
INDIRECT("'シフト一覧（転載）'!"&amp;BM62&amp;":AK100"),1,
MATCH(1,INDEX((LEN(INDIRECT("'シフト一覧（転載）'!"&amp;BM62&amp;":AK100"))&gt;0)
*(INDIRECT("'シフト一覧（転載）'!"&amp;BM62&amp;":AK100")&lt;&gt;"休み"),1,0),0)),0),""),$F$9&amp;"保育無し")</f>
        <v>0</v>
      </c>
      <c r="BO62" s="20">
        <f t="array" aca="1" ref="BO62" ca="1">IFERROR(IF(BM62&lt;&gt;0,ADDRESS(ROW(INDIRECT(BM62)),
    COLUMN(INDIRECT(BM62)) - 1 +
    MATCH(1,INDEX((LEN(INDIRECT("'シフト一覧（転載）'!"&amp;BM62&amp;":AK100"))&gt;0)
            *(INDIRECT("'シフト一覧（転載）'!"&amp;BM62&amp;":AK100")&lt;&gt;"休み"),
            1,0),0)+1,4),0),"")</f>
        <v>0</v>
      </c>
      <c r="BP62" s="20">
        <f t="array" aca="1" ref="BP62" ca="1">IFERROR(IF(BO62&lt;&gt;"",IF(BO62&lt;&gt;0,INDEX(
INDIRECT("'シフト一覧（転載）'!"&amp;BO62&amp;":AK100"),1,
MATCH(1,INDEX((LEN(INDIRECT("'シフト一覧（転載）'!"&amp;BO62&amp;":AK100"))&gt;0)
*(INDIRECT("'シフト一覧（転載）'!"&amp;BO62&amp;":AK100")&lt;&gt;"休み"),1,0),0)),0),""),$F$9&amp;"保育無し")</f>
        <v>0</v>
      </c>
      <c r="BQ62" s="20">
        <f t="array" aca="1" ref="BQ62" ca="1">IFERROR(IF(BO62&lt;&gt;0,ADDRESS(ROW(INDIRECT(BO62)),
    COLUMN(INDIRECT(BO62)) - 1 +
    MATCH(1,INDEX((LEN(INDIRECT("'シフト一覧（転載）'!"&amp;BO62&amp;":AK100"))&gt;0)
            *(INDIRECT("'シフト一覧（転載）'!"&amp;BO62&amp;":AK100")&lt;&gt;"休み"),
            1,0),0)+1,4),0),"")</f>
        <v>0</v>
      </c>
      <c r="BR62" s="20">
        <f t="array" aca="1" ref="BR62" ca="1">IFERROR(IF(BQ62&lt;&gt;"",IF(BQ62&lt;&gt;0,INDEX(
INDIRECT("'シフト一覧（転載）'!"&amp;BQ62&amp;":AK100"),1,
MATCH(1,INDEX((LEN(INDIRECT("'シフト一覧（転載）'!"&amp;BQ62&amp;":AK100"))&gt;0)
*(INDIRECT("'シフト一覧（転載）'!"&amp;BQ62&amp;":AK100")&lt;&gt;"休み"),1,0),0)),0),""),$F$9&amp;"保育無し")</f>
        <v>0</v>
      </c>
      <c r="BS62" s="20">
        <f t="array" aca="1" ref="BS62" ca="1">IFERROR(IF(BQ62&lt;&gt;0,ADDRESS(ROW(INDIRECT(BQ62)),
    COLUMN(INDIRECT(BQ62)) - 1 +
    MATCH(1,INDEX((LEN(INDIRECT("'シフト一覧（転載）'!"&amp;BQ62&amp;":AK100"))&gt;0)
            *(INDIRECT("'シフト一覧（転載）'!"&amp;BQ62&amp;":AK100")&lt;&gt;"休み"),
            1,0),0)+1,4),0),"")</f>
        <v>0</v>
      </c>
      <c r="BT62" s="20">
        <f t="array" aca="1" ref="BT62" ca="1">IFERROR(IF(BS62&lt;&gt;"",IF(BS62&lt;&gt;0,INDEX(
INDIRECT("'シフト一覧（転載）'!"&amp;BS62&amp;":AK100"),1,
MATCH(1,INDEX((LEN(INDIRECT("'シフト一覧（転載）'!"&amp;BS62&amp;":AK100"))&gt;0)
*(INDIRECT("'シフト一覧（転載）'!"&amp;BS62&amp;":AK100")&lt;&gt;"休み"),1,0),0)),0),""),$F$9&amp;"保育無し")</f>
        <v>0</v>
      </c>
      <c r="BU62" s="20">
        <f t="array" aca="1" ref="BU62" ca="1">IFERROR(IF(BS62&lt;&gt;0,ADDRESS(ROW(INDIRECT(BS62)),
    COLUMN(INDIRECT(BS62)) - 1 +
    MATCH(1,INDEX((LEN(INDIRECT("'シフト一覧（転載）'!"&amp;BS62&amp;":AK100"))&gt;0)
            *(INDIRECT("'シフト一覧（転載）'!"&amp;BS62&amp;":AK100")&lt;&gt;"休み"),
            1,0),0)+1,4),0),"")</f>
        <v>0</v>
      </c>
      <c r="BV62" s="20">
        <f t="array" aca="1" ref="BV62" ca="1">IFERROR(IF(BU62&lt;&gt;"",IF(BU62&lt;&gt;0,INDEX(
INDIRECT("'シフト一覧（転載）'!"&amp;BU62&amp;":AK100"),1,
MATCH(1,INDEX((LEN(INDIRECT("'シフト一覧（転載）'!"&amp;BU62&amp;":AK100"))&gt;0)
*(INDIRECT("'シフト一覧（転載）'!"&amp;BU62&amp;":AK100")&lt;&gt;"休み"),1,0),0)),0),""),$F$9&amp;"保育無し")</f>
        <v>0</v>
      </c>
      <c r="BW62" s="20">
        <f t="array" aca="1" ref="BW62" ca="1">IFERROR(IF(BU62&lt;&gt;0,ADDRESS(ROW(INDIRECT(BU62)),
    COLUMN(INDIRECT(BU62)) - 1 +
    MATCH(1,INDEX((LEN(INDIRECT("'シフト一覧（転載）'!"&amp;BU62&amp;":AK100"))&gt;0)
            *(INDIRECT("'シフト一覧（転載）'!"&amp;BU62&amp;":AK100")&lt;&gt;"休み"),
            1,0),0)+1,4),0),"")</f>
        <v>0</v>
      </c>
      <c r="BX62" s="20">
        <f t="array" aca="1" ref="BX62" ca="1">IFERROR(IF(BW62&lt;&gt;"",IF(BW62&lt;&gt;0,INDEX(
INDIRECT("'シフト一覧（転載）'!"&amp;BW62&amp;":AK100"),1,
MATCH(1,INDEX((LEN(INDIRECT("'シフト一覧（転載）'!"&amp;BW62&amp;":AK100"))&gt;0)
*(INDIRECT("'シフト一覧（転載）'!"&amp;BW62&amp;":AK100")&lt;&gt;"休み"),1,0),0)),0),""),$F$9&amp;"保育無し")</f>
        <v>0</v>
      </c>
      <c r="BY62" s="20">
        <f t="array" aca="1" ref="BY62" ca="1">IFERROR(IF(BW62&lt;&gt;0,ADDRESS(ROW(INDIRECT(BW62)),
    COLUMN(INDIRECT(BW62)) - 1 +
    MATCH(1,INDEX((LEN(INDIRECT("'シフト一覧（転載）'!"&amp;BW62&amp;":AK100"))&gt;0)
            *(INDIRECT("'シフト一覧（転載）'!"&amp;BW62&amp;":AK100")&lt;&gt;"休み"),
            1,0),0)+1,4),0),"")</f>
        <v>0</v>
      </c>
    </row>
    <row r="63" spans="13:77" ht="19.8" customHeight="1" x14ac:dyDescent="0.2">
      <c r="M63" s="104"/>
      <c r="N63" s="102"/>
      <c r="O63" s="107"/>
      <c r="P63" s="21">
        <f t="array" aca="1" ref="P63" ca="1">IFERROR(IF(M62&lt;&gt;"",INDEX('シフト一覧（転載）'!$F$8:$AK$100,
    MATCH(1,(ISNUMBER(SEARCH(M62,'シフト一覧（転載）'!$A$8:$A$100)))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MATCH(1,(ISNUMBER(SEARCH(M62,'シフト一覧（転載）'!$A$8:$A$100)))
                *(ISNUMBER(SEARCH($F$9,'シフト一覧（転載）'!$B$8:$B$100))),
                0),0),0)),0),"")</f>
        <v>0</v>
      </c>
      <c r="Q63" s="21">
        <f ca="1">IF(P62=0,0,
IF(OR(P62="",COUNTIF(P62,"*保育無し*")),"",
IF(MOD(P63-P62,1)*24&gt;=8,1,
IF(MOD(P63-P62,1)*24&gt;=6,0.75,0))))</f>
        <v>0</v>
      </c>
      <c r="R63" s="21">
        <f t="array" aca="1" ref="R63" ca="1">IFERROR(IF(Q62&lt;&gt;0,INDEX(
INDIRECT("'シフト一覧（転載）'!"&amp;Q62&amp;":AK100"),1+1,
MATCH(1,INDEX((LEN(INDIRECT("'シフト一覧（転載）'!"&amp;Q62&amp;":AK100"))&gt;0)
*(INDIRECT("'シフト一覧（転載）'!"&amp;Q62&amp;":AK100")&lt;&gt;"休み"),1,0),0)),0),"")</f>
        <v>0</v>
      </c>
      <c r="S63" s="21">
        <f ca="1">IF(R62=0,0,
IF(OR(R62="",COUNTIF(R62,"*保育無し*")),"",
IF(MOD(R63-R62,1)*24&gt;=8,1,
IF(MOD(R63-R62,1)*24&gt;=6,0.75,0))))</f>
        <v>0</v>
      </c>
      <c r="T63" s="21">
        <f t="array" aca="1" ref="T63" ca="1">IFERROR(IF(S62&lt;&gt;0,INDEX(
INDIRECT("'シフト一覧（転載）'!"&amp;S62&amp;":AK100"),1+1,
MATCH(1,INDEX((LEN(INDIRECT("'シフト一覧（転載）'!"&amp;S62&amp;":AK100"))&gt;0)
*(INDIRECT("'シフト一覧（転載）'!"&amp;S62&amp;":AK100")&lt;&gt;"休み"),1,0),0)),0),"")</f>
        <v>0</v>
      </c>
      <c r="U63" s="21">
        <f ca="1">IF(T62=0,0,
IF(OR(T62="",COUNTIF(T62,"*保育無し*")),"",
IF(MOD(T63-T62,1)*24&gt;=8,1,
IF(MOD(T63-T62,1)*24&gt;=6,0.75,0))))</f>
        <v>0</v>
      </c>
      <c r="V63" s="21">
        <f t="array" aca="1" ref="V63" ca="1">IFERROR(IF(U62&lt;&gt;0,INDEX(
INDIRECT("'シフト一覧（転載）'!"&amp;U62&amp;":AK100"),1+1,
MATCH(1,INDEX((LEN(INDIRECT("'シフト一覧（転載）'!"&amp;U62&amp;":AK100"))&gt;0)
*(INDIRECT("'シフト一覧（転載）'!"&amp;U62&amp;":AK100")&lt;&gt;"休み"),1,0),0)),0),"")</f>
        <v>0</v>
      </c>
      <c r="W63" s="21">
        <f ca="1">IF(V62=0,0,
IF(OR(V62="",COUNTIF(V62,"*保育無し*")),"",
IF(MOD(V63-V62,1)*24&gt;=8,1,
IF(MOD(V63-V62,1)*24&gt;=6,0.75,0))))</f>
        <v>0</v>
      </c>
      <c r="X63" s="21">
        <f t="array" aca="1" ref="X63" ca="1">IFERROR(IF(W62&lt;&gt;0,INDEX(
INDIRECT("'シフト一覧（転載）'!"&amp;W62&amp;":AK100"),1+1,
MATCH(1,INDEX((LEN(INDIRECT("'シフト一覧（転載）'!"&amp;W62&amp;":AK100"))&gt;0)
*(INDIRECT("'シフト一覧（転載）'!"&amp;W62&amp;":AK100")&lt;&gt;"休み"),1,0),0)),0),"")</f>
        <v>0</v>
      </c>
      <c r="Y63" s="21">
        <f ca="1">IF(X62=0,0,
IF(OR(X62="",COUNTIF(X62,"*保育無し*")),"",
IF(MOD(X63-X62,1)*24&gt;=8,1,
IF(MOD(X63-X62,1)*24&gt;=6,0.75,0))))</f>
        <v>0</v>
      </c>
      <c r="Z63" s="21">
        <f t="array" aca="1" ref="Z63" ca="1">IFERROR(IF(Y62&lt;&gt;0,INDEX(
INDIRECT("'シフト一覧（転載）'!"&amp;Y62&amp;":AK100"),1+1,
MATCH(1,INDEX((LEN(INDIRECT("'シフト一覧（転載）'!"&amp;Y62&amp;":AK100"))&gt;0)
*(INDIRECT("'シフト一覧（転載）'!"&amp;Y62&amp;":AK100")&lt;&gt;"休み"),1,0),0)),0),"")</f>
        <v>0</v>
      </c>
      <c r="AA63" s="21">
        <f ca="1">IF(Z62=0,0,
IF(OR(Z62="",COUNTIF(Z62,"*保育無し*")),"",
IF(MOD(Z63-Z62,1)*24&gt;=8,1,
IF(MOD(Z63-Z62,1)*24&gt;=6,0.75,0))))</f>
        <v>0</v>
      </c>
      <c r="AB63" s="21">
        <f t="array" aca="1" ref="AB63" ca="1">IFERROR(IF(AA62&lt;&gt;0,INDEX(
INDIRECT("'シフト一覧（転載）'!"&amp;AA62&amp;":AK100"),1+1,
MATCH(1,INDEX((LEN(INDIRECT("'シフト一覧（転載）'!"&amp;AA62&amp;":AK100"))&gt;0)
*(INDIRECT("'シフト一覧（転載）'!"&amp;AA62&amp;":AK100")&lt;&gt;"休み"),1,0),0)),0),"")</f>
        <v>0</v>
      </c>
      <c r="AC63" s="21">
        <f ca="1">IF(AB62=0,0,
IF(OR(AB62="",COUNTIF(AB62,"*保育無し*")),"",
IF(MOD(AB63-AB62,1)*24&gt;=8,1,
IF(MOD(AB63-AB62,1)*24&gt;=6,0.75,0))))</f>
        <v>0</v>
      </c>
      <c r="AD63" s="21">
        <f t="array" aca="1" ref="AD63" ca="1">IFERROR(IF(AC62&lt;&gt;0,INDEX(
INDIRECT("'シフト一覧（転載）'!"&amp;AC62&amp;":AK100"),1+1,
MATCH(1,INDEX((LEN(INDIRECT("'シフト一覧（転載）'!"&amp;AC62&amp;":AK100"))&gt;0)
*(INDIRECT("'シフト一覧（転載）'!"&amp;AC62&amp;":AK100")&lt;&gt;"休み"),1,0),0)),0),"")</f>
        <v>0</v>
      </c>
      <c r="AE63" s="21">
        <f ca="1">IF(AD62=0,0,
IF(OR(AD62="",COUNTIF(AD62,"*保育無し*")),"",
IF(MOD(AD63-AD62,1)*24&gt;=8,1,
IF(MOD(AD63-AD62,1)*24&gt;=6,0.75,0))))</f>
        <v>0</v>
      </c>
      <c r="AF63" s="21">
        <f t="array" aca="1" ref="AF63" ca="1">IFERROR(IF(AE62&lt;&gt;0,INDEX(
INDIRECT("'シフト一覧（転載）'!"&amp;AE62&amp;":AK100"),1+1,
MATCH(1,INDEX((LEN(INDIRECT("'シフト一覧（転載）'!"&amp;AE62&amp;":AK100"))&gt;0)
*(INDIRECT("'シフト一覧（転載）'!"&amp;AE62&amp;":AK100")&lt;&gt;"休み"),1,0),0)),0),"")</f>
        <v>0</v>
      </c>
      <c r="AG63" s="21">
        <f ca="1">IF(AF62=0,0,
IF(OR(AF62="",COUNTIF(AF62,"*保育無し*")),"",
IF(MOD(AF63-AF62,1)*24&gt;=8,1,
IF(MOD(AF63-AF62,1)*24&gt;=6,0.75,0))))</f>
        <v>0</v>
      </c>
      <c r="AH63" s="21">
        <f t="array" aca="1" ref="AH63" ca="1">IFERROR(IF(AG62&lt;&gt;0,INDEX(
INDIRECT("'シフト一覧（転載）'!"&amp;AG62&amp;":AK100"),1+1,
MATCH(1,INDEX((LEN(INDIRECT("'シフト一覧（転載）'!"&amp;AG62&amp;":AK100"))&gt;0)
*(INDIRECT("'シフト一覧（転載）'!"&amp;AG62&amp;":AK100")&lt;&gt;"休み"),1,0),0)),0),"")</f>
        <v>0</v>
      </c>
      <c r="AI63" s="21">
        <f ca="1">IF(AH62=0,0,
IF(OR(AH62="",COUNTIF(AH62,"*保育無し*")),"",
IF(MOD(AH63-AH62,1)*24&gt;=8,1,
IF(MOD(AH63-AH62,1)*24&gt;=6,0.75,0))))</f>
        <v>0</v>
      </c>
      <c r="AJ63" s="21">
        <f t="array" aca="1" ref="AJ63" ca="1">IFERROR(IF(AI62&lt;&gt;0,INDEX(
INDIRECT("'シフト一覧（転載）'!"&amp;AI62&amp;":AK100"),1+1,
MATCH(1,INDEX((LEN(INDIRECT("'シフト一覧（転載）'!"&amp;AI62&amp;":AK100"))&gt;0)
*(INDIRECT("'シフト一覧（転載）'!"&amp;AI62&amp;":AK100")&lt;&gt;"休み"),1,0),0)),0),"")</f>
        <v>0</v>
      </c>
      <c r="AK63" s="21">
        <f ca="1">IF(AJ62=0,0,
IF(OR(AJ62="",COUNTIF(AJ62,"*保育無し*")),"",
IF(MOD(AJ63-AJ62,1)*24&gt;=8,1,
IF(MOD(AJ63-AJ62,1)*24&gt;=6,0.75,0))))</f>
        <v>0</v>
      </c>
      <c r="AL63" s="21">
        <f t="array" aca="1" ref="AL63" ca="1">IFERROR(IF(AK62&lt;&gt;0,INDEX(
INDIRECT("'シフト一覧（転載）'!"&amp;AK62&amp;":AK100"),1+1,
MATCH(1,INDEX((LEN(INDIRECT("'シフト一覧（転載）'!"&amp;AK62&amp;":AK100"))&gt;0)
*(INDIRECT("'シフト一覧（転載）'!"&amp;AK62&amp;":AK100")&lt;&gt;"休み"),1,0),0)),0),"")</f>
        <v>0</v>
      </c>
      <c r="AM63" s="21">
        <f ca="1">IF(AL62=0,0,
IF(OR(AL62="",COUNTIF(AL62,"*保育無し*")),"",
IF(MOD(AL63-AL62,1)*24&gt;=8,1,
IF(MOD(AL63-AL62,1)*24&gt;=6,0.75,0))))</f>
        <v>0</v>
      </c>
      <c r="AN63" s="21">
        <f t="array" aca="1" ref="AN63" ca="1">IFERROR(IF(AM62&lt;&gt;0,INDEX(
INDIRECT("'シフト一覧（転載）'!"&amp;AM62&amp;":AK100"),1+1,
MATCH(1,INDEX((LEN(INDIRECT("'シフト一覧（転載）'!"&amp;AM62&amp;":AK100"))&gt;0)
*(INDIRECT("'シフト一覧（転載）'!"&amp;AM62&amp;":AK100")&lt;&gt;"休み"),1,0),0)),0),"")</f>
        <v>0</v>
      </c>
      <c r="AO63" s="21">
        <f ca="1">IF(AN62=0,0,
IF(OR(AN62="",COUNTIF(AN62,"*保育無し*")),"",
IF(MOD(AN63-AN62,1)*24&gt;=8,1,
IF(MOD(AN63-AN62,1)*24&gt;=6,0.75,0))))</f>
        <v>0</v>
      </c>
      <c r="AP63" s="21">
        <f t="array" aca="1" ref="AP63" ca="1">IFERROR(IF(AO62&lt;&gt;0,INDEX(
INDIRECT("'シフト一覧（転載）'!"&amp;AO62&amp;":AK100"),1+1,
MATCH(1,INDEX((LEN(INDIRECT("'シフト一覧（転載）'!"&amp;AO62&amp;":AK100"))&gt;0)
*(INDIRECT("'シフト一覧（転載）'!"&amp;AO62&amp;":AK100")&lt;&gt;"休み"),1,0),0)),0),"")</f>
        <v>0</v>
      </c>
      <c r="AQ63" s="21">
        <f ca="1">IF(AP62=0,0,
IF(OR(AP62="",COUNTIF(AP62,"*保育無し*")),"",
IF(MOD(AP63-AP62,1)*24&gt;=8,1,
IF(MOD(AP63-AP62,1)*24&gt;=6,0.75,0))))</f>
        <v>0</v>
      </c>
      <c r="AR63" s="21">
        <f t="array" aca="1" ref="AR63" ca="1">IFERROR(IF(AQ62&lt;&gt;0,INDEX(
INDIRECT("'シフト一覧（転載）'!"&amp;AQ62&amp;":AK100"),1+1,
MATCH(1,INDEX((LEN(INDIRECT("'シフト一覧（転載）'!"&amp;AQ62&amp;":AK100"))&gt;0)
*(INDIRECT("'シフト一覧（転載）'!"&amp;AQ62&amp;":AK100")&lt;&gt;"休み"),1,0),0)),0),"")</f>
        <v>0</v>
      </c>
      <c r="AS63" s="21">
        <f ca="1">IF(AR62=0,0,
IF(OR(AR62="",COUNTIF(AR62,"*保育無し*")),"",
IF(MOD(AR63-AR62,1)*24&gt;=8,1,
IF(MOD(AR63-AR62,1)*24&gt;=6,0.75,0))))</f>
        <v>0</v>
      </c>
      <c r="AT63" s="21">
        <f t="array" aca="1" ref="AT63" ca="1">IFERROR(IF(AS62&lt;&gt;0,INDEX(
INDIRECT("'シフト一覧（転載）'!"&amp;AS62&amp;":AK100"),1+1,
MATCH(1,INDEX((LEN(INDIRECT("'シフト一覧（転載）'!"&amp;AS62&amp;":AK100"))&gt;0)
*(INDIRECT("'シフト一覧（転載）'!"&amp;AS62&amp;":AK100")&lt;&gt;"休み"),1,0),0)),0),"")</f>
        <v>0</v>
      </c>
      <c r="AU63" s="21">
        <f ca="1">IF(AT62=0,0,
IF(OR(AT62="",COUNTIF(AT62,"*保育無し*")),"",
IF(MOD(AT63-AT62,1)*24&gt;=8,1,
IF(MOD(AT63-AT62,1)*24&gt;=6,0.75,0))))</f>
        <v>0</v>
      </c>
      <c r="AV63" s="21">
        <f t="array" aca="1" ref="AV63" ca="1">IFERROR(IF(AU62&lt;&gt;0,INDEX(
INDIRECT("'シフト一覧（転載）'!"&amp;AU62&amp;":AK100"),1+1,
MATCH(1,INDEX((LEN(INDIRECT("'シフト一覧（転載）'!"&amp;AU62&amp;":AK100"))&gt;0)
*(INDIRECT("'シフト一覧（転載）'!"&amp;AU62&amp;":AK100")&lt;&gt;"休み"),1,0),0)),0),"")</f>
        <v>0</v>
      </c>
      <c r="AW63" s="21">
        <f ca="1">IF(AV62=0,0,
IF(OR(AV62="",COUNTIF(AV62,"*保育無し*")),"",
IF(MOD(AV63-AV62,1)*24&gt;=8,1,
IF(MOD(AV63-AV62,1)*24&gt;=6,0.75,0))))</f>
        <v>0</v>
      </c>
      <c r="AX63" s="21">
        <f t="array" aca="1" ref="AX63" ca="1">IFERROR(IF(AW62&lt;&gt;0,INDEX(
INDIRECT("'シフト一覧（転載）'!"&amp;AW62&amp;":AK100"),1+1,
MATCH(1,INDEX((LEN(INDIRECT("'シフト一覧（転載）'!"&amp;AW62&amp;":AK100"))&gt;0)
*(INDIRECT("'シフト一覧（転載）'!"&amp;AW62&amp;":AK100")&lt;&gt;"休み"),1,0),0)),0),"")</f>
        <v>0</v>
      </c>
      <c r="AY63" s="21">
        <f ca="1">IF(AX62=0,0,
IF(OR(AX62="",COUNTIF(AX62,"*保育無し*")),"",
IF(MOD(AX63-AX62,1)*24&gt;=8,1,
IF(MOD(AX63-AX62,1)*24&gt;=6,0.75,0))))</f>
        <v>0</v>
      </c>
      <c r="AZ63" s="21">
        <f t="array" aca="1" ref="AZ63" ca="1">IFERROR(IF(AY62&lt;&gt;0,INDEX(
INDIRECT("'シフト一覧（転載）'!"&amp;AY62&amp;":AK100"),1+1,
MATCH(1,INDEX((LEN(INDIRECT("'シフト一覧（転載）'!"&amp;AY62&amp;":AK100"))&gt;0)
*(INDIRECT("'シフト一覧（転載）'!"&amp;AY62&amp;":AK100")&lt;&gt;"休み"),1,0),0)),0),"")</f>
        <v>0</v>
      </c>
      <c r="BA63" s="21">
        <f ca="1">IF(AZ62=0,0,
IF(OR(AZ62="",COUNTIF(AZ62,"*保育無し*")),"",
IF(MOD(AZ63-AZ62,1)*24&gt;=8,1,
IF(MOD(AZ63-AZ62,1)*24&gt;=6,0.75,0))))</f>
        <v>0</v>
      </c>
      <c r="BB63" s="21">
        <f t="array" aca="1" ref="BB63" ca="1">IFERROR(IF(BA62&lt;&gt;0,INDEX(
INDIRECT("'シフト一覧（転載）'!"&amp;BA62&amp;":AK100"),1+1,
MATCH(1,INDEX((LEN(INDIRECT("'シフト一覧（転載）'!"&amp;BA62&amp;":AK100"))&gt;0)
*(INDIRECT("'シフト一覧（転載）'!"&amp;BA62&amp;":AK100")&lt;&gt;"休み"),1,0),0)),0),"")</f>
        <v>0</v>
      </c>
      <c r="BC63" s="21">
        <f ca="1">IF(BB62=0,0,
IF(OR(BB62="",COUNTIF(BB62,"*保育無し*")),"",
IF(MOD(BB63-BB62,1)*24&gt;=8,1,
IF(MOD(BB63-BB62,1)*24&gt;=6,0.75,0))))</f>
        <v>0</v>
      </c>
      <c r="BD63" s="21">
        <f t="array" aca="1" ref="BD63" ca="1">IFERROR(IF(BC62&lt;&gt;0,INDEX(
INDIRECT("'シフト一覧（転載）'!"&amp;BC62&amp;":AK100"),1+1,
MATCH(1,INDEX((LEN(INDIRECT("'シフト一覧（転載）'!"&amp;BC62&amp;":AK100"))&gt;0)
*(INDIRECT("'シフト一覧（転載）'!"&amp;BC62&amp;":AK100")&lt;&gt;"休み"),1,0),0)),0),"")</f>
        <v>0</v>
      </c>
      <c r="BE63" s="21">
        <f ca="1">IF(BD62=0,0,
IF(OR(BD62="",COUNTIF(BD62,"*保育無し*")),"",
IF(MOD(BD63-BD62,1)*24&gt;=8,1,
IF(MOD(BD63-BD62,1)*24&gt;=6,0.75,0))))</f>
        <v>0</v>
      </c>
      <c r="BF63" s="21">
        <f t="array" aca="1" ref="BF63" ca="1">IFERROR(IF(BE62&lt;&gt;0,INDEX(
INDIRECT("'シフト一覧（転載）'!"&amp;BE62&amp;":AK100"),1+1,
MATCH(1,INDEX((LEN(INDIRECT("'シフト一覧（転載）'!"&amp;BE62&amp;":AK100"))&gt;0)
*(INDIRECT("'シフト一覧（転載）'!"&amp;BE62&amp;":AK100")&lt;&gt;"休み"),1,0),0)),0),"")</f>
        <v>0</v>
      </c>
      <c r="BG63" s="21">
        <f ca="1">IF(BF62=0,0,
IF(OR(BF62="",COUNTIF(BF62,"*保育無し*")),"",
IF(MOD(BF63-BF62,1)*24&gt;=8,1,
IF(MOD(BF63-BF62,1)*24&gt;=6,0.75,0))))</f>
        <v>0</v>
      </c>
      <c r="BH63" s="21">
        <f t="array" aca="1" ref="BH63" ca="1">IFERROR(IF(BG62&lt;&gt;0,INDEX(
INDIRECT("'シフト一覧（転載）'!"&amp;BG62&amp;":AK100"),1+1,
MATCH(1,INDEX((LEN(INDIRECT("'シフト一覧（転載）'!"&amp;BG62&amp;":AK100"))&gt;0)
*(INDIRECT("'シフト一覧（転載）'!"&amp;BG62&amp;":AK100")&lt;&gt;"休み"),1,0),0)),0),"")</f>
        <v>0</v>
      </c>
      <c r="BI63" s="21">
        <f ca="1">IF(BH62=0,0,
IF(OR(BH62="",COUNTIF(BH62,"*保育無し*")),"",
IF(MOD(BH63-BH62,1)*24&gt;=8,1,
IF(MOD(BH63-BH62,1)*24&gt;=6,0.75,0))))</f>
        <v>0</v>
      </c>
      <c r="BJ63" s="21">
        <f t="array" aca="1" ref="BJ63" ca="1">IFERROR(IF(BI62&lt;&gt;0,INDEX(
INDIRECT("'シフト一覧（転載）'!"&amp;BI62&amp;":AK100"),1+1,
MATCH(1,INDEX((LEN(INDIRECT("'シフト一覧（転載）'!"&amp;BI62&amp;":AK100"))&gt;0)
*(INDIRECT("'シフト一覧（転載）'!"&amp;BI62&amp;":AK100")&lt;&gt;"休み"),1,0),0)),0),"")</f>
        <v>0</v>
      </c>
      <c r="BK63" s="21">
        <f ca="1">IF(BJ62=0,0,
IF(OR(BJ62="",COUNTIF(BJ62,"*保育無し*")),"",
IF(MOD(BJ63-BJ62,1)*24&gt;=8,1,
IF(MOD(BJ63-BJ62,1)*24&gt;=6,0.75,0))))</f>
        <v>0</v>
      </c>
      <c r="BL63" s="21">
        <f t="array" aca="1" ref="BL63" ca="1">IFERROR(IF(BK62&lt;&gt;0,INDEX(
INDIRECT("'シフト一覧（転載）'!"&amp;BK62&amp;":AK100"),1+1,
MATCH(1,INDEX((LEN(INDIRECT("'シフト一覧（転載）'!"&amp;BK62&amp;":AK100"))&gt;0)
*(INDIRECT("'シフト一覧（転載）'!"&amp;BK62&amp;":AK100")&lt;&gt;"休み"),1,0),0)),0),"")</f>
        <v>0</v>
      </c>
      <c r="BM63" s="21">
        <f ca="1">IF(BL62=0,0,
IF(OR(BL62="",COUNTIF(BL62,"*保育無し*")),"",
IF(MOD(BL63-BL62,1)*24&gt;=8,1,
IF(MOD(BL63-BL62,1)*24&gt;=6,0.75,0))))</f>
        <v>0</v>
      </c>
      <c r="BN63" s="21">
        <f t="array" aca="1" ref="BN63" ca="1">IFERROR(IF(BM62&lt;&gt;0,INDEX(
INDIRECT("'シフト一覧（転載）'!"&amp;BM62&amp;":AK100"),1+1,
MATCH(1,INDEX((LEN(INDIRECT("'シフト一覧（転載）'!"&amp;BM62&amp;":AK100"))&gt;0)
*(INDIRECT("'シフト一覧（転載）'!"&amp;BM62&amp;":AK100")&lt;&gt;"休み"),1,0),0)),0),"")</f>
        <v>0</v>
      </c>
      <c r="BO63" s="21">
        <f ca="1">IF(BN62=0,0,
IF(OR(BN62="",COUNTIF(BN62,"*保育無し*")),"",
IF(MOD(BN63-BN62,1)*24&gt;=8,1,
IF(MOD(BN63-BN62,1)*24&gt;=6,0.75,0))))</f>
        <v>0</v>
      </c>
      <c r="BP63" s="21">
        <f t="array" aca="1" ref="BP63" ca="1">IFERROR(IF(BO62&lt;&gt;0,INDEX(
INDIRECT("'シフト一覧（転載）'!"&amp;BO62&amp;":AK100"),1+1,
MATCH(1,INDEX((LEN(INDIRECT("'シフト一覧（転載）'!"&amp;BO62&amp;":AK100"))&gt;0)
*(INDIRECT("'シフト一覧（転載）'!"&amp;BO62&amp;":AK100")&lt;&gt;"休み"),1,0),0)),0),"")</f>
        <v>0</v>
      </c>
      <c r="BQ63" s="21">
        <f ca="1">IF(BP62=0,0,
IF(OR(BP62="",COUNTIF(BP62,"*保育無し*")),"",
IF(MOD(BP63-BP62,1)*24&gt;=8,1,
IF(MOD(BP63-BP62,1)*24&gt;=6,0.75,0))))</f>
        <v>0</v>
      </c>
      <c r="BR63" s="21">
        <f t="array" aca="1" ref="BR63" ca="1">IFERROR(IF(BQ62&lt;&gt;0,INDEX(
INDIRECT("'シフト一覧（転載）'!"&amp;BQ62&amp;":AK100"),1+1,
MATCH(1,INDEX((LEN(INDIRECT("'シフト一覧（転載）'!"&amp;BQ62&amp;":AK100"))&gt;0)
*(INDIRECT("'シフト一覧（転載）'!"&amp;BQ62&amp;":AK100")&lt;&gt;"休み"),1,0),0)),0),"")</f>
        <v>0</v>
      </c>
      <c r="BS63" s="21">
        <f ca="1">IF(BR62=0,0,
IF(OR(BR62="",COUNTIF(BR62,"*保育無し*")),"",
IF(MOD(BR63-BR62,1)*24&gt;=8,1,
IF(MOD(BR63-BR62,1)*24&gt;=6,0.75,0))))</f>
        <v>0</v>
      </c>
      <c r="BT63" s="21">
        <f t="array" aca="1" ref="BT63" ca="1">IFERROR(IF(BS62&lt;&gt;0,INDEX(
INDIRECT("'シフト一覧（転載）'!"&amp;BS62&amp;":AK100"),1+1,
MATCH(1,INDEX((LEN(INDIRECT("'シフト一覧（転載）'!"&amp;BS62&amp;":AK100"))&gt;0)
*(INDIRECT("'シフト一覧（転載）'!"&amp;BS62&amp;":AK100")&lt;&gt;"休み"),1,0),0)),0),"")</f>
        <v>0</v>
      </c>
      <c r="BU63" s="21">
        <f ca="1">IF(BT62=0,0,
IF(OR(BT62="",COUNTIF(BT62,"*保育無し*")),"",
IF(MOD(BT63-BT62,1)*24&gt;=8,1,
IF(MOD(BT63-BT62,1)*24&gt;=6,0.75,0))))</f>
        <v>0</v>
      </c>
      <c r="BV63" s="21">
        <f t="array" aca="1" ref="BV63" ca="1">IFERROR(IF(BU62&lt;&gt;0,INDEX(
INDIRECT("'シフト一覧（転載）'!"&amp;BU62&amp;":AK100"),1+1,
MATCH(1,INDEX((LEN(INDIRECT("'シフト一覧（転載）'!"&amp;BU62&amp;":AK100"))&gt;0)
*(INDIRECT("'シフト一覧（転載）'!"&amp;BU62&amp;":AK100")&lt;&gt;"休み"),1,0),0)),0),"")</f>
        <v>0</v>
      </c>
      <c r="BW63" s="21">
        <f ca="1">IF(BV62=0,0,
IF(OR(BV62="",COUNTIF(BV62,"*保育無し*")),"",
IF(MOD(BV63-BV62,1)*24&gt;=8,1,
IF(MOD(BV63-BV62,1)*24&gt;=6,0.75,0))))</f>
        <v>0</v>
      </c>
      <c r="BX63" s="21">
        <f t="array" aca="1" ref="BX63" ca="1">IFERROR(IF(BW62&lt;&gt;0,INDEX(
INDIRECT("'シフト一覧（転載）'!"&amp;BW62&amp;":AK100"),1+1,
MATCH(1,INDEX((LEN(INDIRECT("'シフト一覧（転載）'!"&amp;BW62&amp;":AK100"))&gt;0)
*(INDIRECT("'シフト一覧（転載）'!"&amp;BW62&amp;":AK100")&lt;&gt;"休み"),1,0),0)),0),"")</f>
        <v>0</v>
      </c>
      <c r="BY63" s="21">
        <f ca="1">IF(BX62=0,0,
IF(OR(BX62="",COUNTIF(BX62,"*保育無し*")),"",
IF(MOD(BX63-BX62,1)*24&gt;=8,1,
IF(MOD(BX63-BX62,1)*24&gt;=6,0.75,0))))</f>
        <v>0</v>
      </c>
    </row>
    <row r="64" spans="13:77" ht="19.8" customHeight="1" x14ac:dyDescent="0.2">
      <c r="M64" s="103" t="str" cm="1">
        <f t="array" aca="1" ref="M64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4" s="101" t="str">
        <f t="shared" ref="N64" ca="1" si="31">IF(M64&lt;&gt;"",VLOOKUP(M64,$B$12:$C$41,2,FALSE),"")</f>
        <v/>
      </c>
      <c r="O64" s="106" cm="1">
        <f t="array" aca="1" ref="O64" ca="1">IF(COUNTIF(P64,"*保育無*"),0,
SUM(IF(
MOD(COLUMN(INDIRECT("P"&amp; ROW() &amp; ":" &amp; ADDRESS(ROW(), IFERROR(MATCH("*保育無し*", INDIRECT("P"&amp; ROW() &amp; ":BY" &amp; ROW()), 0) + COLUMN(P64) - 2, COLUMN(BX64) + 1), 4))) - COLUMN(P64), 2) = 0,
MOD(INDIRECT("P"&amp; ROW()+1 &amp; ":" &amp; ADDRESS(ROW()+1, IFERROR(MATCH("*保育無し*", INDIRECT("P"&amp; ROW() &amp; ":BY" &amp; ROW()), 0) + COLUMN(P64) - 2, COLUMN(BX64) + 1), 4)) - INDIRECT("P"&amp; ROW() &amp; ":" &amp; ADDRESS(ROW(), IFERROR(MATCH("*保育無し*", INDIRECT("P"&amp; ROW() &amp; ":BY" &amp; ROW()), 0) + COLUMN(P64) - 2, COLUMN(BX64) + 1), 4)),1),0))*24
-SUM(_xlfn._xlws.FILTER(P65:BX65, MOD(COLUMN(P65:BX65) - COLUMN(P65), 2) = 1)))</f>
        <v>0</v>
      </c>
      <c r="P64" s="20">
        <f t="array" aca="1" ref="P64" ca="1">IFERROR(IF(M64&lt;&gt;"",INDEX('シフト一覧（転載）'!$F$8:$AK$100,
    MATCH(1,(ISNUMBER(SEARCH(M64,'シフト一覧（転載）'!$A$8:$A$100)))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MATCH(1,(ISNUMBER(SEARCH(M64,'シフト一覧（転載）'!$A$8:$A$100)))
                *(ISNUMBER(SEARCH($F$9,'シフト一覧（転載）'!$B$8:$B$100))),
                0),0),0)),0),$F$9&amp;"保育無し")</f>
        <v>0</v>
      </c>
      <c r="Q64" s="20">
        <f t="array" aca="1" ref="Q64" ca="1">IFERROR(IF(COUNTIF(P64,"*無*"),"",IF(M64&lt;&gt;"",ADDRESS(
    MATCH(1,(ISNUMBER(SEARCH(M64,'シフト一覧（転載）'!$A$8:$A$100)))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MATCH(1,(ISNUMBER(SEARCH(M64,'シフト一覧（転載）'!$A$8:$A$100)))
                *(ISNUMBER(SEARCH($F$9,'シフト一覧（転載）'!$B$8:$B$100))),0),0),0) + 6,4),0)),0)</f>
        <v>0</v>
      </c>
      <c r="R64" s="20">
        <f t="array" aca="1" ref="R64" ca="1">IFERROR(IF(Q64&lt;&gt;"",IF(Q64&lt;&gt;0,INDEX(
INDIRECT("'シフト一覧（転載）'!"&amp;Q64&amp;":AK100"),1,
MATCH(1,INDEX((LEN(INDIRECT("'シフト一覧（転載）'!"&amp;Q64&amp;":AK100"))&gt;0)
*(INDIRECT("'シフト一覧（転載）'!"&amp;Q64&amp;":AK100")&lt;&gt;"休み"),1,0),0)),0),""),$F$9&amp;"保育無し")</f>
        <v>0</v>
      </c>
      <c r="S64" s="20">
        <f t="array" aca="1" ref="S64" ca="1">IFERROR(IF(Q64&lt;&gt;0,ADDRESS(ROW(INDIRECT(Q64)),
    COLUMN(INDIRECT(Q64)) - 1 +
    MATCH(1,INDEX((LEN(INDIRECT("'シフト一覧（転載）'!"&amp;Q64&amp;":AK100"))&gt;0)
            *(INDIRECT("'シフト一覧（転載）'!"&amp;Q64&amp;":AK100")&lt;&gt;"休み"),
            1,0),0)+1,4),0),"")</f>
        <v>0</v>
      </c>
      <c r="T64" s="20">
        <f t="array" aca="1" ref="T64" ca="1">IFERROR(IF(S64&lt;&gt;"",IF(S64&lt;&gt;0,INDEX(
INDIRECT("'シフト一覧（転載）'!"&amp;S64&amp;":AK100"),1,
MATCH(1,INDEX((LEN(INDIRECT("'シフト一覧（転載）'!"&amp;S64&amp;":AK100"))&gt;0)
*(INDIRECT("'シフト一覧（転載）'!"&amp;S64&amp;":AK100")&lt;&gt;"休み"),1,0),0)),0),""),$F$9&amp;"保育無し")</f>
        <v>0</v>
      </c>
      <c r="U64" s="20">
        <f t="array" aca="1" ref="U64" ca="1">IFERROR(IF(S64&lt;&gt;0,ADDRESS(ROW(INDIRECT(S64)),
    COLUMN(INDIRECT(S64)) - 1 +
    MATCH(1,INDEX((LEN(INDIRECT("'シフト一覧（転載）'!"&amp;S64&amp;":AK100"))&gt;0)
            *(INDIRECT("'シフト一覧（転載）'!"&amp;S64&amp;":AK100")&lt;&gt;"休み"),
            1,0),0)+1,4),0),"")</f>
        <v>0</v>
      </c>
      <c r="V64" s="20">
        <f t="array" aca="1" ref="V64" ca="1">IFERROR(IF(U64&lt;&gt;"",IF(U64&lt;&gt;0,INDEX(
INDIRECT("'シフト一覧（転載）'!"&amp;U64&amp;":AK100"),1,
MATCH(1,INDEX((LEN(INDIRECT("'シフト一覧（転載）'!"&amp;U64&amp;":AK100"))&gt;0)
*(INDIRECT("'シフト一覧（転載）'!"&amp;U64&amp;":AK100")&lt;&gt;"休み"),1,0),0)),0),""),$F$9&amp;"保育無し")</f>
        <v>0</v>
      </c>
      <c r="W64" s="20">
        <f t="array" aca="1" ref="W64" ca="1">IFERROR(IF(U64&lt;&gt;0,ADDRESS(ROW(INDIRECT(U64)),
    COLUMN(INDIRECT(U64)) - 1 +
    MATCH(1,INDEX((LEN(INDIRECT("'シフト一覧（転載）'!"&amp;U64&amp;":AK100"))&gt;0)
            *(INDIRECT("'シフト一覧（転載）'!"&amp;U64&amp;":AK100")&lt;&gt;"休み"),
            1,0),0)+1,4),0),"")</f>
        <v>0</v>
      </c>
      <c r="X64" s="20">
        <f t="array" aca="1" ref="X64" ca="1">IFERROR(IF(W64&lt;&gt;"",IF(W64&lt;&gt;0,INDEX(
INDIRECT("'シフト一覧（転載）'!"&amp;W64&amp;":AK100"),1,
MATCH(1,INDEX((LEN(INDIRECT("'シフト一覧（転載）'!"&amp;W64&amp;":AK100"))&gt;0)
*(INDIRECT("'シフト一覧（転載）'!"&amp;W64&amp;":AK100")&lt;&gt;"休み"),1,0),0)),0),""),$F$9&amp;"保育無し")</f>
        <v>0</v>
      </c>
      <c r="Y64" s="20">
        <f t="array" aca="1" ref="Y64" ca="1">IFERROR(IF(W64&lt;&gt;0,ADDRESS(ROW(INDIRECT(W64)),
    COLUMN(INDIRECT(W64)) - 1 +
    MATCH(1,INDEX((LEN(INDIRECT("'シフト一覧（転載）'!"&amp;W64&amp;":AK100"))&gt;0)
            *(INDIRECT("'シフト一覧（転載）'!"&amp;W64&amp;":AK100")&lt;&gt;"休み"),
            1,0),0)+1,4),0),"")</f>
        <v>0</v>
      </c>
      <c r="Z64" s="20">
        <f t="array" aca="1" ref="Z64" ca="1">IFERROR(IF(Y64&lt;&gt;"",IF(Y64&lt;&gt;0,INDEX(
INDIRECT("'シフト一覧（転載）'!"&amp;Y64&amp;":AK100"),1,
MATCH(1,INDEX((LEN(INDIRECT("'シフト一覧（転載）'!"&amp;Y64&amp;":AK100"))&gt;0)
*(INDIRECT("'シフト一覧（転載）'!"&amp;Y64&amp;":AK100")&lt;&gt;"休み"),1,0),0)),0),""),$F$9&amp;"保育無し")</f>
        <v>0</v>
      </c>
      <c r="AA64" s="20">
        <f t="array" aca="1" ref="AA64" ca="1">IFERROR(IF(Y64&lt;&gt;0,ADDRESS(ROW(INDIRECT(Y64)),
    COLUMN(INDIRECT(Y64)) - 1 +
    MATCH(1,INDEX((LEN(INDIRECT("'シフト一覧（転載）'!"&amp;Y64&amp;":AK100"))&gt;0)
            *(INDIRECT("'シフト一覧（転載）'!"&amp;Y64&amp;":AK100")&lt;&gt;"休み"),
            1,0),0)+1,4),0),"")</f>
        <v>0</v>
      </c>
      <c r="AB64" s="20">
        <f t="array" aca="1" ref="AB64" ca="1">IFERROR(IF(AA64&lt;&gt;"",IF(AA64&lt;&gt;0,INDEX(
INDIRECT("'シフト一覧（転載）'!"&amp;AA64&amp;":AK100"),1,
MATCH(1,INDEX((LEN(INDIRECT("'シフト一覧（転載）'!"&amp;AA64&amp;":AK100"))&gt;0)
*(INDIRECT("'シフト一覧（転載）'!"&amp;AA64&amp;":AK100")&lt;&gt;"休み"),1,0),0)),0),""),$F$9&amp;"保育無し")</f>
        <v>0</v>
      </c>
      <c r="AC64" s="20">
        <f t="array" aca="1" ref="AC64" ca="1">IFERROR(IF(AA64&lt;&gt;0,ADDRESS(ROW(INDIRECT(AA64)),
    COLUMN(INDIRECT(AA64)) - 1 +
    MATCH(1,INDEX((LEN(INDIRECT("'シフト一覧（転載）'!"&amp;AA64&amp;":AK100"))&gt;0)
            *(INDIRECT("'シフト一覧（転載）'!"&amp;AA64&amp;":AK100")&lt;&gt;"休み"),
            1,0),0)+1,4),0),"")</f>
        <v>0</v>
      </c>
      <c r="AD64" s="20">
        <f t="array" aca="1" ref="AD64" ca="1">IFERROR(IF(AC64&lt;&gt;"",IF(AC64&lt;&gt;0,INDEX(
INDIRECT("'シフト一覧（転載）'!"&amp;AC64&amp;":AK100"),1,
MATCH(1,INDEX((LEN(INDIRECT("'シフト一覧（転載）'!"&amp;AC64&amp;":AK100"))&gt;0)
*(INDIRECT("'シフト一覧（転載）'!"&amp;AC64&amp;":AK100")&lt;&gt;"休み"),1,0),0)),0),""),$F$9&amp;"保育無し")</f>
        <v>0</v>
      </c>
      <c r="AE64" s="20">
        <f t="array" aca="1" ref="AE64" ca="1">IFERROR(IF(AC64&lt;&gt;0,ADDRESS(ROW(INDIRECT(AC64)),
    COLUMN(INDIRECT(AC64)) - 1 +
    MATCH(1,INDEX((LEN(INDIRECT("'シフト一覧（転載）'!"&amp;AC64&amp;":AK100"))&gt;0)
            *(INDIRECT("'シフト一覧（転載）'!"&amp;AC64&amp;":AK100")&lt;&gt;"休み"),
            1,0),0)+1,4),0),"")</f>
        <v>0</v>
      </c>
      <c r="AF64" s="20">
        <f t="array" aca="1" ref="AF64" ca="1">IFERROR(IF(AE64&lt;&gt;"",IF(AE64&lt;&gt;0,INDEX(
INDIRECT("'シフト一覧（転載）'!"&amp;AE64&amp;":AK100"),1,
MATCH(1,INDEX((LEN(INDIRECT("'シフト一覧（転載）'!"&amp;AE64&amp;":AK100"))&gt;0)
*(INDIRECT("'シフト一覧（転載）'!"&amp;AE64&amp;":AK100")&lt;&gt;"休み"),1,0),0)),0),""),$F$9&amp;"保育無し")</f>
        <v>0</v>
      </c>
      <c r="AG64" s="20">
        <f t="array" aca="1" ref="AG64" ca="1">IFERROR(IF(AE64&lt;&gt;0,ADDRESS(ROW(INDIRECT(AE64)),
    COLUMN(INDIRECT(AE64)) - 1 +
    MATCH(1,INDEX((LEN(INDIRECT("'シフト一覧（転載）'!"&amp;AE64&amp;":AK100"))&gt;0)
            *(INDIRECT("'シフト一覧（転載）'!"&amp;AE64&amp;":AK100")&lt;&gt;"休み"),
            1,0),0)+1,4),0),"")</f>
        <v>0</v>
      </c>
      <c r="AH64" s="20">
        <f t="array" aca="1" ref="AH64" ca="1">IFERROR(IF(AG64&lt;&gt;"",IF(AG64&lt;&gt;0,INDEX(
INDIRECT("'シフト一覧（転載）'!"&amp;AG64&amp;":AK100"),1,
MATCH(1,INDEX((LEN(INDIRECT("'シフト一覧（転載）'!"&amp;AG64&amp;":AK100"))&gt;0)
*(INDIRECT("'シフト一覧（転載）'!"&amp;AG64&amp;":AK100")&lt;&gt;"休み"),1,0),0)),0),""),$F$9&amp;"保育無し")</f>
        <v>0</v>
      </c>
      <c r="AI64" s="20">
        <f t="array" aca="1" ref="AI64" ca="1">IFERROR(IF(AG64&lt;&gt;0,ADDRESS(ROW(INDIRECT(AG64)),
    COLUMN(INDIRECT(AG64)) - 1 +
    MATCH(1,INDEX((LEN(INDIRECT("'シフト一覧（転載）'!"&amp;AG64&amp;":AK100"))&gt;0)
            *(INDIRECT("'シフト一覧（転載）'!"&amp;AG64&amp;":AK100")&lt;&gt;"休み"),
            1,0),0)+1,4),0),"")</f>
        <v>0</v>
      </c>
      <c r="AJ64" s="20">
        <f t="array" aca="1" ref="AJ64" ca="1">IFERROR(IF(AI64&lt;&gt;"",IF(AI64&lt;&gt;0,INDEX(
INDIRECT("'シフト一覧（転載）'!"&amp;AI64&amp;":AK100"),1,
MATCH(1,INDEX((LEN(INDIRECT("'シフト一覧（転載）'!"&amp;AI64&amp;":AK100"))&gt;0)
*(INDIRECT("'シフト一覧（転載）'!"&amp;AI64&amp;":AK100")&lt;&gt;"休み"),1,0),0)),0),""),$F$9&amp;"保育無し")</f>
        <v>0</v>
      </c>
      <c r="AK64" s="20">
        <f t="array" aca="1" ref="AK64" ca="1">IFERROR(IF(AI64&lt;&gt;0,ADDRESS(ROW(INDIRECT(AI64)),
    COLUMN(INDIRECT(AI64)) - 1 +
    MATCH(1,INDEX((LEN(INDIRECT("'シフト一覧（転載）'!"&amp;AI64&amp;":AK100"))&gt;0)
            *(INDIRECT("'シフト一覧（転載）'!"&amp;AI64&amp;":AK100")&lt;&gt;"休み"),
            1,0),0)+1,4),0),"")</f>
        <v>0</v>
      </c>
      <c r="AL64" s="20">
        <f t="array" aca="1" ref="AL64" ca="1">IFERROR(IF(AK64&lt;&gt;"",IF(AK64&lt;&gt;0,INDEX(
INDIRECT("'シフト一覧（転載）'!"&amp;AK64&amp;":AK100"),1,
MATCH(1,INDEX((LEN(INDIRECT("'シフト一覧（転載）'!"&amp;AK64&amp;":AK100"))&gt;0)
*(INDIRECT("'シフト一覧（転載）'!"&amp;AK64&amp;":AK100")&lt;&gt;"休み"),1,0),0)),0),""),$F$9&amp;"保育無し")</f>
        <v>0</v>
      </c>
      <c r="AM64" s="20">
        <f t="array" aca="1" ref="AM64" ca="1">IFERROR(IF(AK64&lt;&gt;0,ADDRESS(ROW(INDIRECT(AK64)),
    COLUMN(INDIRECT(AK64)) - 1 +
    MATCH(1,INDEX((LEN(INDIRECT("'シフト一覧（転載）'!"&amp;AK64&amp;":AK100"))&gt;0)
            *(INDIRECT("'シフト一覧（転載）'!"&amp;AK64&amp;":AK100")&lt;&gt;"休み"),
            1,0),0)+1,4),0),"")</f>
        <v>0</v>
      </c>
      <c r="AN64" s="20">
        <f t="array" aca="1" ref="AN64" ca="1">IFERROR(IF(AM64&lt;&gt;"",IF(AM64&lt;&gt;0,INDEX(
INDIRECT("'シフト一覧（転載）'!"&amp;AM64&amp;":AK100"),1,
MATCH(1,INDEX((LEN(INDIRECT("'シフト一覧（転載）'!"&amp;AM64&amp;":AK100"))&gt;0)
*(INDIRECT("'シフト一覧（転載）'!"&amp;AM64&amp;":AK100")&lt;&gt;"休み"),1,0),0)),0),""),$F$9&amp;"保育無し")</f>
        <v>0</v>
      </c>
      <c r="AO64" s="20">
        <f t="array" aca="1" ref="AO64" ca="1">IFERROR(IF(AM64&lt;&gt;0,ADDRESS(ROW(INDIRECT(AM64)),
    COLUMN(INDIRECT(AM64)) - 1 +
    MATCH(1,INDEX((LEN(INDIRECT("'シフト一覧（転載）'!"&amp;AM64&amp;":AK100"))&gt;0)
            *(INDIRECT("'シフト一覧（転載）'!"&amp;AM64&amp;":AK100")&lt;&gt;"休み"),
            1,0),0)+1,4),0),"")</f>
        <v>0</v>
      </c>
      <c r="AP64" s="20">
        <f t="array" aca="1" ref="AP64" ca="1">IFERROR(IF(AO64&lt;&gt;"",IF(AO64&lt;&gt;0,INDEX(
INDIRECT("'シフト一覧（転載）'!"&amp;AO64&amp;":AK100"),1,
MATCH(1,INDEX((LEN(INDIRECT("'シフト一覧（転載）'!"&amp;AO64&amp;":AK100"))&gt;0)
*(INDIRECT("'シフト一覧（転載）'!"&amp;AO64&amp;":AK100")&lt;&gt;"休み"),1,0),0)),0),""),$F$9&amp;"保育無し")</f>
        <v>0</v>
      </c>
      <c r="AQ64" s="20">
        <f t="array" aca="1" ref="AQ64" ca="1">IFERROR(IF(AO64&lt;&gt;0,ADDRESS(ROW(INDIRECT(AO64)),
    COLUMN(INDIRECT(AO64)) - 1 +
    MATCH(1,INDEX((LEN(INDIRECT("'シフト一覧（転載）'!"&amp;AO64&amp;":AK100"))&gt;0)
            *(INDIRECT("'シフト一覧（転載）'!"&amp;AO64&amp;":AK100")&lt;&gt;"休み"),
            1,0),0)+1,4),0),"")</f>
        <v>0</v>
      </c>
      <c r="AR64" s="20">
        <f t="array" aca="1" ref="AR64" ca="1">IFERROR(IF(AQ64&lt;&gt;"",IF(AQ64&lt;&gt;0,INDEX(
INDIRECT("'シフト一覧（転載）'!"&amp;AQ64&amp;":AK100"),1,
MATCH(1,INDEX((LEN(INDIRECT("'シフト一覧（転載）'!"&amp;AQ64&amp;":AK100"))&gt;0)
*(INDIRECT("'シフト一覧（転載）'!"&amp;AQ64&amp;":AK100")&lt;&gt;"休み"),1,0),0)),0),""),$F$9&amp;"保育無し")</f>
        <v>0</v>
      </c>
      <c r="AS64" s="20">
        <f t="array" aca="1" ref="AS64" ca="1">IFERROR(IF(AQ64&lt;&gt;0,ADDRESS(ROW(INDIRECT(AQ64)),
    COLUMN(INDIRECT(AQ64)) - 1 +
    MATCH(1,INDEX((LEN(INDIRECT("'シフト一覧（転載）'!"&amp;AQ64&amp;":AK100"))&gt;0)
            *(INDIRECT("'シフト一覧（転載）'!"&amp;AQ64&amp;":AK100")&lt;&gt;"休み"),
            1,0),0)+1,4),0),"")</f>
        <v>0</v>
      </c>
      <c r="AT64" s="20">
        <f t="array" aca="1" ref="AT64" ca="1">IFERROR(IF(AS64&lt;&gt;"",IF(AS64&lt;&gt;0,INDEX(
INDIRECT("'シフト一覧（転載）'!"&amp;AS64&amp;":AK100"),1,
MATCH(1,INDEX((LEN(INDIRECT("'シフト一覧（転載）'!"&amp;AS64&amp;":AK100"))&gt;0)
*(INDIRECT("'シフト一覧（転載）'!"&amp;AS64&amp;":AK100")&lt;&gt;"休み"),1,0),0)),0),""),$F$9&amp;"保育無し")</f>
        <v>0</v>
      </c>
      <c r="AU64" s="20">
        <f t="array" aca="1" ref="AU64" ca="1">IFERROR(IF(AS64&lt;&gt;0,ADDRESS(ROW(INDIRECT(AS64)),
    COLUMN(INDIRECT(AS64)) - 1 +
    MATCH(1,INDEX((LEN(INDIRECT("'シフト一覧（転載）'!"&amp;AS64&amp;":AK100"))&gt;0)
            *(INDIRECT("'シフト一覧（転載）'!"&amp;AS64&amp;":AK100")&lt;&gt;"休み"),
            1,0),0)+1,4),0),"")</f>
        <v>0</v>
      </c>
      <c r="AV64" s="20">
        <f t="array" aca="1" ref="AV64" ca="1">IFERROR(IF(AU64&lt;&gt;"",IF(AU64&lt;&gt;0,INDEX(
INDIRECT("'シフト一覧（転載）'!"&amp;AU64&amp;":AK100"),1,
MATCH(1,INDEX((LEN(INDIRECT("'シフト一覧（転載）'!"&amp;AU64&amp;":AK100"))&gt;0)
*(INDIRECT("'シフト一覧（転載）'!"&amp;AU64&amp;":AK100")&lt;&gt;"休み"),1,0),0)),0),""),$F$9&amp;"保育無し")</f>
        <v>0</v>
      </c>
      <c r="AW64" s="20">
        <f t="array" aca="1" ref="AW64" ca="1">IFERROR(IF(AU64&lt;&gt;0,ADDRESS(ROW(INDIRECT(AU64)),
    COLUMN(INDIRECT(AU64)) - 1 +
    MATCH(1,INDEX((LEN(INDIRECT("'シフト一覧（転載）'!"&amp;AU64&amp;":AK100"))&gt;0)
            *(INDIRECT("'シフト一覧（転載）'!"&amp;AU64&amp;":AK100")&lt;&gt;"休み"),
            1,0),0)+1,4),0),"")</f>
        <v>0</v>
      </c>
      <c r="AX64" s="20">
        <f t="array" aca="1" ref="AX64" ca="1">IFERROR(IF(AW64&lt;&gt;"",IF(AW64&lt;&gt;0,INDEX(
INDIRECT("'シフト一覧（転載）'!"&amp;AW64&amp;":AK100"),1,
MATCH(1,INDEX((LEN(INDIRECT("'シフト一覧（転載）'!"&amp;AW64&amp;":AK100"))&gt;0)
*(INDIRECT("'シフト一覧（転載）'!"&amp;AW64&amp;":AK100")&lt;&gt;"休み"),1,0),0)),0),""),$F$9&amp;"保育無し")</f>
        <v>0</v>
      </c>
      <c r="AY64" s="20">
        <f t="array" aca="1" ref="AY64" ca="1">IFERROR(IF(AW64&lt;&gt;0,ADDRESS(ROW(INDIRECT(AW64)),
    COLUMN(INDIRECT(AW64)) - 1 +
    MATCH(1,INDEX((LEN(INDIRECT("'シフト一覧（転載）'!"&amp;AW64&amp;":AK100"))&gt;0)
            *(INDIRECT("'シフト一覧（転載）'!"&amp;AW64&amp;":AK100")&lt;&gt;"休み"),
            1,0),0)+1,4),0),"")</f>
        <v>0</v>
      </c>
      <c r="AZ64" s="20">
        <f t="array" aca="1" ref="AZ64" ca="1">IFERROR(IF(AY64&lt;&gt;"",IF(AY64&lt;&gt;0,INDEX(
INDIRECT("'シフト一覧（転載）'!"&amp;AY64&amp;":AK100"),1,
MATCH(1,INDEX((LEN(INDIRECT("'シフト一覧（転載）'!"&amp;AY64&amp;":AK100"))&gt;0)
*(INDIRECT("'シフト一覧（転載）'!"&amp;AY64&amp;":AK100")&lt;&gt;"休み"),1,0),0)),0),""),$F$9&amp;"保育無し")</f>
        <v>0</v>
      </c>
      <c r="BA64" s="20">
        <f t="array" aca="1" ref="BA64" ca="1">IFERROR(IF(AY64&lt;&gt;0,ADDRESS(ROW(INDIRECT(AY64)),
    COLUMN(INDIRECT(AY64)) - 1 +
    MATCH(1,INDEX((LEN(INDIRECT("'シフト一覧（転載）'!"&amp;AY64&amp;":AK100"))&gt;0)
            *(INDIRECT("'シフト一覧（転載）'!"&amp;AY64&amp;":AK100")&lt;&gt;"休み"),
            1,0),0)+1,4),0),"")</f>
        <v>0</v>
      </c>
      <c r="BB64" s="20">
        <f t="array" aca="1" ref="BB64" ca="1">IFERROR(IF(BA64&lt;&gt;"",IF(BA64&lt;&gt;0,INDEX(
INDIRECT("'シフト一覧（転載）'!"&amp;BA64&amp;":AK100"),1,
MATCH(1,INDEX((LEN(INDIRECT("'シフト一覧（転載）'!"&amp;BA64&amp;":AK100"))&gt;0)
*(INDIRECT("'シフト一覧（転載）'!"&amp;BA64&amp;":AK100")&lt;&gt;"休み"),1,0),0)),0),""),$F$9&amp;"保育無し")</f>
        <v>0</v>
      </c>
      <c r="BC64" s="20">
        <f t="array" aca="1" ref="BC64" ca="1">IFERROR(IF(BA64&lt;&gt;0,ADDRESS(ROW(INDIRECT(BA64)),
    COLUMN(INDIRECT(BA64)) - 1 +
    MATCH(1,INDEX((LEN(INDIRECT("'シフト一覧（転載）'!"&amp;BA64&amp;":AK100"))&gt;0)
            *(INDIRECT("'シフト一覧（転載）'!"&amp;BA64&amp;":AK100")&lt;&gt;"休み"),
            1,0),0)+1,4),0),"")</f>
        <v>0</v>
      </c>
      <c r="BD64" s="20">
        <f t="array" aca="1" ref="BD64" ca="1">IFERROR(IF(BC64&lt;&gt;"",IF(BC64&lt;&gt;0,INDEX(
INDIRECT("'シフト一覧（転載）'!"&amp;BC64&amp;":AK100"),1,
MATCH(1,INDEX((LEN(INDIRECT("'シフト一覧（転載）'!"&amp;BC64&amp;":AK100"))&gt;0)
*(INDIRECT("'シフト一覧（転載）'!"&amp;BC64&amp;":AK100")&lt;&gt;"休み"),1,0),0)),0),""),$F$9&amp;"保育無し")</f>
        <v>0</v>
      </c>
      <c r="BE64" s="20">
        <f t="array" aca="1" ref="BE64" ca="1">IFERROR(IF(BC64&lt;&gt;0,ADDRESS(ROW(INDIRECT(BC64)),
    COLUMN(INDIRECT(BC64)) - 1 +
    MATCH(1,INDEX((LEN(INDIRECT("'シフト一覧（転載）'!"&amp;BC64&amp;":AK100"))&gt;0)
            *(INDIRECT("'シフト一覧（転載）'!"&amp;BC64&amp;":AK100")&lt;&gt;"休み"),
            1,0),0)+1,4),0),"")</f>
        <v>0</v>
      </c>
      <c r="BF64" s="20">
        <f t="array" aca="1" ref="BF64" ca="1">IFERROR(IF(BE64&lt;&gt;"",IF(BE64&lt;&gt;0,INDEX(
INDIRECT("'シフト一覧（転載）'!"&amp;BE64&amp;":AK100"),1,
MATCH(1,INDEX((LEN(INDIRECT("'シフト一覧（転載）'!"&amp;BE64&amp;":AK100"))&gt;0)
*(INDIRECT("'シフト一覧（転載）'!"&amp;BE64&amp;":AK100")&lt;&gt;"休み"),1,0),0)),0),""),$F$9&amp;"保育無し")</f>
        <v>0</v>
      </c>
      <c r="BG64" s="20">
        <f t="array" aca="1" ref="BG64" ca="1">IFERROR(IF(BE64&lt;&gt;0,ADDRESS(ROW(INDIRECT(BE64)),
    COLUMN(INDIRECT(BE64)) - 1 +
    MATCH(1,INDEX((LEN(INDIRECT("'シフト一覧（転載）'!"&amp;BE64&amp;":AK100"))&gt;0)
            *(INDIRECT("'シフト一覧（転載）'!"&amp;BE64&amp;":AK100")&lt;&gt;"休み"),
            1,0),0)+1,4),0),"")</f>
        <v>0</v>
      </c>
      <c r="BH64" s="20">
        <f t="array" aca="1" ref="BH64" ca="1">IFERROR(IF(BG64&lt;&gt;"",IF(BG64&lt;&gt;0,INDEX(
INDIRECT("'シフト一覧（転載）'!"&amp;BG64&amp;":AK100"),1,
MATCH(1,INDEX((LEN(INDIRECT("'シフト一覧（転載）'!"&amp;BG64&amp;":AK100"))&gt;0)
*(INDIRECT("'シフト一覧（転載）'!"&amp;BG64&amp;":AK100")&lt;&gt;"休み"),1,0),0)),0),""),$F$9&amp;"保育無し")</f>
        <v>0</v>
      </c>
      <c r="BI64" s="20">
        <f t="array" aca="1" ref="BI64" ca="1">IFERROR(IF(BG64&lt;&gt;0,ADDRESS(ROW(INDIRECT(BG64)),
    COLUMN(INDIRECT(BG64)) - 1 +
    MATCH(1,INDEX((LEN(INDIRECT("'シフト一覧（転載）'!"&amp;BG64&amp;":AK100"))&gt;0)
            *(INDIRECT("'シフト一覧（転載）'!"&amp;BG64&amp;":AK100")&lt;&gt;"休み"),
            1,0),0)+1,4),0),"")</f>
        <v>0</v>
      </c>
      <c r="BJ64" s="20">
        <f t="array" aca="1" ref="BJ64" ca="1">IFERROR(IF(BI64&lt;&gt;"",IF(BI64&lt;&gt;0,INDEX(
INDIRECT("'シフト一覧（転載）'!"&amp;BI64&amp;":AK100"),1,
MATCH(1,INDEX((LEN(INDIRECT("'シフト一覧（転載）'!"&amp;BI64&amp;":AK100"))&gt;0)
*(INDIRECT("'シフト一覧（転載）'!"&amp;BI64&amp;":AK100")&lt;&gt;"休み"),1,0),0)),0),""),$F$9&amp;"保育無し")</f>
        <v>0</v>
      </c>
      <c r="BK64" s="20">
        <f t="array" aca="1" ref="BK64" ca="1">IFERROR(IF(BI64&lt;&gt;0,ADDRESS(ROW(INDIRECT(BI64)),
    COLUMN(INDIRECT(BI64)) - 1 +
    MATCH(1,INDEX((LEN(INDIRECT("'シフト一覧（転載）'!"&amp;BI64&amp;":AK100"))&gt;0)
            *(INDIRECT("'シフト一覧（転載）'!"&amp;BI64&amp;":AK100")&lt;&gt;"休み"),
            1,0),0)+1,4),0),"")</f>
        <v>0</v>
      </c>
      <c r="BL64" s="20">
        <f t="array" aca="1" ref="BL64" ca="1">IFERROR(IF(BK64&lt;&gt;"",IF(BK64&lt;&gt;0,INDEX(
INDIRECT("'シフト一覧（転載）'!"&amp;BK64&amp;":AK100"),1,
MATCH(1,INDEX((LEN(INDIRECT("'シフト一覧（転載）'!"&amp;BK64&amp;":AK100"))&gt;0)
*(INDIRECT("'シフト一覧（転載）'!"&amp;BK64&amp;":AK100")&lt;&gt;"休み"),1,0),0)),0),""),$F$9&amp;"保育無し")</f>
        <v>0</v>
      </c>
      <c r="BM64" s="20">
        <f t="array" aca="1" ref="BM64" ca="1">IFERROR(IF(BK64&lt;&gt;0,ADDRESS(ROW(INDIRECT(BK64)),
    COLUMN(INDIRECT(BK64)) - 1 +
    MATCH(1,INDEX((LEN(INDIRECT("'シフト一覧（転載）'!"&amp;BK64&amp;":AK100"))&gt;0)
            *(INDIRECT("'シフト一覧（転載）'!"&amp;BK64&amp;":AK100")&lt;&gt;"休み"),
            1,0),0)+1,4),0),"")</f>
        <v>0</v>
      </c>
      <c r="BN64" s="20">
        <f t="array" aca="1" ref="BN64" ca="1">IFERROR(IF(BM64&lt;&gt;"",IF(BM64&lt;&gt;0,INDEX(
INDIRECT("'シフト一覧（転載）'!"&amp;BM64&amp;":AK100"),1,
MATCH(1,INDEX((LEN(INDIRECT("'シフト一覧（転載）'!"&amp;BM64&amp;":AK100"))&gt;0)
*(INDIRECT("'シフト一覧（転載）'!"&amp;BM64&amp;":AK100")&lt;&gt;"休み"),1,0),0)),0),""),$F$9&amp;"保育無し")</f>
        <v>0</v>
      </c>
      <c r="BO64" s="20">
        <f t="array" aca="1" ref="BO64" ca="1">IFERROR(IF(BM64&lt;&gt;0,ADDRESS(ROW(INDIRECT(BM64)),
    COLUMN(INDIRECT(BM64)) - 1 +
    MATCH(1,INDEX((LEN(INDIRECT("'シフト一覧（転載）'!"&amp;BM64&amp;":AK100"))&gt;0)
            *(INDIRECT("'シフト一覧（転載）'!"&amp;BM64&amp;":AK100")&lt;&gt;"休み"),
            1,0),0)+1,4),0),"")</f>
        <v>0</v>
      </c>
      <c r="BP64" s="20">
        <f t="array" aca="1" ref="BP64" ca="1">IFERROR(IF(BO64&lt;&gt;"",IF(BO64&lt;&gt;0,INDEX(
INDIRECT("'シフト一覧（転載）'!"&amp;BO64&amp;":AK100"),1,
MATCH(1,INDEX((LEN(INDIRECT("'シフト一覧（転載）'!"&amp;BO64&amp;":AK100"))&gt;0)
*(INDIRECT("'シフト一覧（転載）'!"&amp;BO64&amp;":AK100")&lt;&gt;"休み"),1,0),0)),0),""),$F$9&amp;"保育無し")</f>
        <v>0</v>
      </c>
      <c r="BQ64" s="20">
        <f t="array" aca="1" ref="BQ64" ca="1">IFERROR(IF(BO64&lt;&gt;0,ADDRESS(ROW(INDIRECT(BO64)),
    COLUMN(INDIRECT(BO64)) - 1 +
    MATCH(1,INDEX((LEN(INDIRECT("'シフト一覧（転載）'!"&amp;BO64&amp;":AK100"))&gt;0)
            *(INDIRECT("'シフト一覧（転載）'!"&amp;BO64&amp;":AK100")&lt;&gt;"休み"),
            1,0),0)+1,4),0),"")</f>
        <v>0</v>
      </c>
      <c r="BR64" s="20">
        <f t="array" aca="1" ref="BR64" ca="1">IFERROR(IF(BQ64&lt;&gt;"",IF(BQ64&lt;&gt;0,INDEX(
INDIRECT("'シフト一覧（転載）'!"&amp;BQ64&amp;":AK100"),1,
MATCH(1,INDEX((LEN(INDIRECT("'シフト一覧（転載）'!"&amp;BQ64&amp;":AK100"))&gt;0)
*(INDIRECT("'シフト一覧（転載）'!"&amp;BQ64&amp;":AK100")&lt;&gt;"休み"),1,0),0)),0),""),$F$9&amp;"保育無し")</f>
        <v>0</v>
      </c>
      <c r="BS64" s="20">
        <f t="array" aca="1" ref="BS64" ca="1">IFERROR(IF(BQ64&lt;&gt;0,ADDRESS(ROW(INDIRECT(BQ64)),
    COLUMN(INDIRECT(BQ64)) - 1 +
    MATCH(1,INDEX((LEN(INDIRECT("'シフト一覧（転載）'!"&amp;BQ64&amp;":AK100"))&gt;0)
            *(INDIRECT("'シフト一覧（転載）'!"&amp;BQ64&amp;":AK100")&lt;&gt;"休み"),
            1,0),0)+1,4),0),"")</f>
        <v>0</v>
      </c>
      <c r="BT64" s="20">
        <f t="array" aca="1" ref="BT64" ca="1">IFERROR(IF(BS64&lt;&gt;"",IF(BS64&lt;&gt;0,INDEX(
INDIRECT("'シフト一覧（転載）'!"&amp;BS64&amp;":AK100"),1,
MATCH(1,INDEX((LEN(INDIRECT("'シフト一覧（転載）'!"&amp;BS64&amp;":AK100"))&gt;0)
*(INDIRECT("'シフト一覧（転載）'!"&amp;BS64&amp;":AK100")&lt;&gt;"休み"),1,0),0)),0),""),$F$9&amp;"保育無し")</f>
        <v>0</v>
      </c>
      <c r="BU64" s="20">
        <f t="array" aca="1" ref="BU64" ca="1">IFERROR(IF(BS64&lt;&gt;0,ADDRESS(ROW(INDIRECT(BS64)),
    COLUMN(INDIRECT(BS64)) - 1 +
    MATCH(1,INDEX((LEN(INDIRECT("'シフト一覧（転載）'!"&amp;BS64&amp;":AK100"))&gt;0)
            *(INDIRECT("'シフト一覧（転載）'!"&amp;BS64&amp;":AK100")&lt;&gt;"休み"),
            1,0),0)+1,4),0),"")</f>
        <v>0</v>
      </c>
      <c r="BV64" s="20">
        <f t="array" aca="1" ref="BV64" ca="1">IFERROR(IF(BU64&lt;&gt;"",IF(BU64&lt;&gt;0,INDEX(
INDIRECT("'シフト一覧（転載）'!"&amp;BU64&amp;":AK100"),1,
MATCH(1,INDEX((LEN(INDIRECT("'シフト一覧（転載）'!"&amp;BU64&amp;":AK100"))&gt;0)
*(INDIRECT("'シフト一覧（転載）'!"&amp;BU64&amp;":AK100")&lt;&gt;"休み"),1,0),0)),0),""),$F$9&amp;"保育無し")</f>
        <v>0</v>
      </c>
      <c r="BW64" s="20">
        <f t="array" aca="1" ref="BW64" ca="1">IFERROR(IF(BU64&lt;&gt;0,ADDRESS(ROW(INDIRECT(BU64)),
    COLUMN(INDIRECT(BU64)) - 1 +
    MATCH(1,INDEX((LEN(INDIRECT("'シフト一覧（転載）'!"&amp;BU64&amp;":AK100"))&gt;0)
            *(INDIRECT("'シフト一覧（転載）'!"&amp;BU64&amp;":AK100")&lt;&gt;"休み"),
            1,0),0)+1,4),0),"")</f>
        <v>0</v>
      </c>
      <c r="BX64" s="20">
        <f t="array" aca="1" ref="BX64" ca="1">IFERROR(IF(BW64&lt;&gt;"",IF(BW64&lt;&gt;0,INDEX(
INDIRECT("'シフト一覧（転載）'!"&amp;BW64&amp;":AK100"),1,
MATCH(1,INDEX((LEN(INDIRECT("'シフト一覧（転載）'!"&amp;BW64&amp;":AK100"))&gt;0)
*(INDIRECT("'シフト一覧（転載）'!"&amp;BW64&amp;":AK100")&lt;&gt;"休み"),1,0),0)),0),""),$F$9&amp;"保育無し")</f>
        <v>0</v>
      </c>
      <c r="BY64" s="20">
        <f t="array" aca="1" ref="BY64" ca="1">IFERROR(IF(BW64&lt;&gt;0,ADDRESS(ROW(INDIRECT(BW64)),
    COLUMN(INDIRECT(BW64)) - 1 +
    MATCH(1,INDEX((LEN(INDIRECT("'シフト一覧（転載）'!"&amp;BW64&amp;":AK100"))&gt;0)
            *(INDIRECT("'シフト一覧（転載）'!"&amp;BW64&amp;":AK100")&lt;&gt;"休み"),
            1,0),0)+1,4),0),"")</f>
        <v>0</v>
      </c>
    </row>
    <row r="65" spans="12:77" ht="19.8" customHeight="1" x14ac:dyDescent="0.2">
      <c r="M65" s="104"/>
      <c r="N65" s="102"/>
      <c r="O65" s="107"/>
      <c r="P65" s="21">
        <f t="array" aca="1" ref="P65" ca="1">IFERROR(IF(M64&lt;&gt;"",INDEX('シフト一覧（転載）'!$F$8:$AK$100,
    MATCH(1,(ISNUMBER(SEARCH(M64,'シフト一覧（転載）'!$A$8:$A$100)))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MATCH(1,(ISNUMBER(SEARCH(M64,'シフト一覧（転載）'!$A$8:$A$100)))
                *(ISNUMBER(SEARCH($F$9,'シフト一覧（転載）'!$B$8:$B$100))),
                0),0),0)),0),"")</f>
        <v>0</v>
      </c>
      <c r="Q65" s="21">
        <f ca="1">IF(P64=0,0,
IF(OR(P64="",COUNTIF(P64,"*保育無し*")),"",
IF(MOD(P65-P64,1)*24&gt;=8,1,
IF(MOD(P65-P64,1)*24&gt;=6,0.75,0))))</f>
        <v>0</v>
      </c>
      <c r="R65" s="21">
        <f t="array" aca="1" ref="R65" ca="1">IFERROR(IF(Q64&lt;&gt;0,INDEX(
INDIRECT("'シフト一覧（転載）'!"&amp;Q64&amp;":AK100"),1+1,
MATCH(1,INDEX((LEN(INDIRECT("'シフト一覧（転載）'!"&amp;Q64&amp;":AK100"))&gt;0)
*(INDIRECT("'シフト一覧（転載）'!"&amp;Q64&amp;":AK100")&lt;&gt;"休み"),1,0),0)),0),"")</f>
        <v>0</v>
      </c>
      <c r="S65" s="21">
        <f ca="1">IF(R64=0,0,
IF(OR(R64="",COUNTIF(R64,"*保育無し*")),"",
IF(MOD(R65-R64,1)*24&gt;=8,1,
IF(MOD(R65-R64,1)*24&gt;=6,0.75,0))))</f>
        <v>0</v>
      </c>
      <c r="T65" s="21">
        <f t="array" aca="1" ref="T65" ca="1">IFERROR(IF(S64&lt;&gt;0,INDEX(
INDIRECT("'シフト一覧（転載）'!"&amp;S64&amp;":AK100"),1+1,
MATCH(1,INDEX((LEN(INDIRECT("'シフト一覧（転載）'!"&amp;S64&amp;":AK100"))&gt;0)
*(INDIRECT("'シフト一覧（転載）'!"&amp;S64&amp;":AK100")&lt;&gt;"休み"),1,0),0)),0),"")</f>
        <v>0</v>
      </c>
      <c r="U65" s="21">
        <f ca="1">IF(T64=0,0,
IF(OR(T64="",COUNTIF(T64,"*保育無し*")),"",
IF(MOD(T65-T64,1)*24&gt;=8,1,
IF(MOD(T65-T64,1)*24&gt;=6,0.75,0))))</f>
        <v>0</v>
      </c>
      <c r="V65" s="21">
        <f t="array" aca="1" ref="V65" ca="1">IFERROR(IF(U64&lt;&gt;0,INDEX(
INDIRECT("'シフト一覧（転載）'!"&amp;U64&amp;":AK100"),1+1,
MATCH(1,INDEX((LEN(INDIRECT("'シフト一覧（転載）'!"&amp;U64&amp;":AK100"))&gt;0)
*(INDIRECT("'シフト一覧（転載）'!"&amp;U64&amp;":AK100")&lt;&gt;"休み"),1,0),0)),0),"")</f>
        <v>0</v>
      </c>
      <c r="W65" s="21">
        <f ca="1">IF(V64=0,0,
IF(OR(V64="",COUNTIF(V64,"*保育無し*")),"",
IF(MOD(V65-V64,1)*24&gt;=8,1,
IF(MOD(V65-V64,1)*24&gt;=6,0.75,0))))</f>
        <v>0</v>
      </c>
      <c r="X65" s="21">
        <f t="array" aca="1" ref="X65" ca="1">IFERROR(IF(W64&lt;&gt;0,INDEX(
INDIRECT("'シフト一覧（転載）'!"&amp;W64&amp;":AK100"),1+1,
MATCH(1,INDEX((LEN(INDIRECT("'シフト一覧（転載）'!"&amp;W64&amp;":AK100"))&gt;0)
*(INDIRECT("'シフト一覧（転載）'!"&amp;W64&amp;":AK100")&lt;&gt;"休み"),1,0),0)),0),"")</f>
        <v>0</v>
      </c>
      <c r="Y65" s="21">
        <f ca="1">IF(X64=0,0,
IF(OR(X64="",COUNTIF(X64,"*保育無し*")),"",
IF(MOD(X65-X64,1)*24&gt;=8,1,
IF(MOD(X65-X64,1)*24&gt;=6,0.75,0))))</f>
        <v>0</v>
      </c>
      <c r="Z65" s="21">
        <f t="array" aca="1" ref="Z65" ca="1">IFERROR(IF(Y64&lt;&gt;0,INDEX(
INDIRECT("'シフト一覧（転載）'!"&amp;Y64&amp;":AK100"),1+1,
MATCH(1,INDEX((LEN(INDIRECT("'シフト一覧（転載）'!"&amp;Y64&amp;":AK100"))&gt;0)
*(INDIRECT("'シフト一覧（転載）'!"&amp;Y64&amp;":AK100")&lt;&gt;"休み"),1,0),0)),0),"")</f>
        <v>0</v>
      </c>
      <c r="AA65" s="21">
        <f ca="1">IF(Z64=0,0,
IF(OR(Z64="",COUNTIF(Z64,"*保育無し*")),"",
IF(MOD(Z65-Z64,1)*24&gt;=8,1,
IF(MOD(Z65-Z64,1)*24&gt;=6,0.75,0))))</f>
        <v>0</v>
      </c>
      <c r="AB65" s="21">
        <f t="array" aca="1" ref="AB65" ca="1">IFERROR(IF(AA64&lt;&gt;0,INDEX(
INDIRECT("'シフト一覧（転載）'!"&amp;AA64&amp;":AK100"),1+1,
MATCH(1,INDEX((LEN(INDIRECT("'シフト一覧（転載）'!"&amp;AA64&amp;":AK100"))&gt;0)
*(INDIRECT("'シフト一覧（転載）'!"&amp;AA64&amp;":AK100")&lt;&gt;"休み"),1,0),0)),0),"")</f>
        <v>0</v>
      </c>
      <c r="AC65" s="21">
        <f ca="1">IF(AB64=0,0,
IF(OR(AB64="",COUNTIF(AB64,"*保育無し*")),"",
IF(MOD(AB65-AB64,1)*24&gt;=8,1,
IF(MOD(AB65-AB64,1)*24&gt;=6,0.75,0))))</f>
        <v>0</v>
      </c>
      <c r="AD65" s="21">
        <f t="array" aca="1" ref="AD65" ca="1">IFERROR(IF(AC64&lt;&gt;0,INDEX(
INDIRECT("'シフト一覧（転載）'!"&amp;AC64&amp;":AK100"),1+1,
MATCH(1,INDEX((LEN(INDIRECT("'シフト一覧（転載）'!"&amp;AC64&amp;":AK100"))&gt;0)
*(INDIRECT("'シフト一覧（転載）'!"&amp;AC64&amp;":AK100")&lt;&gt;"休み"),1,0),0)),0),"")</f>
        <v>0</v>
      </c>
      <c r="AE65" s="21">
        <f ca="1">IF(AD64=0,0,
IF(OR(AD64="",COUNTIF(AD64,"*保育無し*")),"",
IF(MOD(AD65-AD64,1)*24&gt;=8,1,
IF(MOD(AD65-AD64,1)*24&gt;=6,0.75,0))))</f>
        <v>0</v>
      </c>
      <c r="AF65" s="21">
        <f t="array" aca="1" ref="AF65" ca="1">IFERROR(IF(AE64&lt;&gt;0,INDEX(
INDIRECT("'シフト一覧（転載）'!"&amp;AE64&amp;":AK100"),1+1,
MATCH(1,INDEX((LEN(INDIRECT("'シフト一覧（転載）'!"&amp;AE64&amp;":AK100"))&gt;0)
*(INDIRECT("'シフト一覧（転載）'!"&amp;AE64&amp;":AK100")&lt;&gt;"休み"),1,0),0)),0),"")</f>
        <v>0</v>
      </c>
      <c r="AG65" s="21">
        <f ca="1">IF(AF64=0,0,
IF(OR(AF64="",COUNTIF(AF64,"*保育無し*")),"",
IF(MOD(AF65-AF64,1)*24&gt;=8,1,
IF(MOD(AF65-AF64,1)*24&gt;=6,0.75,0))))</f>
        <v>0</v>
      </c>
      <c r="AH65" s="21">
        <f t="array" aca="1" ref="AH65" ca="1">IFERROR(IF(AG64&lt;&gt;0,INDEX(
INDIRECT("'シフト一覧（転載）'!"&amp;AG64&amp;":AK100"),1+1,
MATCH(1,INDEX((LEN(INDIRECT("'シフト一覧（転載）'!"&amp;AG64&amp;":AK100"))&gt;0)
*(INDIRECT("'シフト一覧（転載）'!"&amp;AG64&amp;":AK100")&lt;&gt;"休み"),1,0),0)),0),"")</f>
        <v>0</v>
      </c>
      <c r="AI65" s="21">
        <f ca="1">IF(AH64=0,0,
IF(OR(AH64="",COUNTIF(AH64,"*保育無し*")),"",
IF(MOD(AH65-AH64,1)*24&gt;=8,1,
IF(MOD(AH65-AH64,1)*24&gt;=6,0.75,0))))</f>
        <v>0</v>
      </c>
      <c r="AJ65" s="21">
        <f t="array" aca="1" ref="AJ65" ca="1">IFERROR(IF(AI64&lt;&gt;0,INDEX(
INDIRECT("'シフト一覧（転載）'!"&amp;AI64&amp;":AK100"),1+1,
MATCH(1,INDEX((LEN(INDIRECT("'シフト一覧（転載）'!"&amp;AI64&amp;":AK100"))&gt;0)
*(INDIRECT("'シフト一覧（転載）'!"&amp;AI64&amp;":AK100")&lt;&gt;"休み"),1,0),0)),0),"")</f>
        <v>0</v>
      </c>
      <c r="AK65" s="21">
        <f ca="1">IF(AJ64=0,0,
IF(OR(AJ64="",COUNTIF(AJ64,"*保育無し*")),"",
IF(MOD(AJ65-AJ64,1)*24&gt;=8,1,
IF(MOD(AJ65-AJ64,1)*24&gt;=6,0.75,0))))</f>
        <v>0</v>
      </c>
      <c r="AL65" s="21">
        <f t="array" aca="1" ref="AL65" ca="1">IFERROR(IF(AK64&lt;&gt;0,INDEX(
INDIRECT("'シフト一覧（転載）'!"&amp;AK64&amp;":AK100"),1+1,
MATCH(1,INDEX((LEN(INDIRECT("'シフト一覧（転載）'!"&amp;AK64&amp;":AK100"))&gt;0)
*(INDIRECT("'シフト一覧（転載）'!"&amp;AK64&amp;":AK100")&lt;&gt;"休み"),1,0),0)),0),"")</f>
        <v>0</v>
      </c>
      <c r="AM65" s="21">
        <f ca="1">IF(AL64=0,0,
IF(OR(AL64="",COUNTIF(AL64,"*保育無し*")),"",
IF(MOD(AL65-AL64,1)*24&gt;=8,1,
IF(MOD(AL65-AL64,1)*24&gt;=6,0.75,0))))</f>
        <v>0</v>
      </c>
      <c r="AN65" s="21">
        <f t="array" aca="1" ref="AN65" ca="1">IFERROR(IF(AM64&lt;&gt;0,INDEX(
INDIRECT("'シフト一覧（転載）'!"&amp;AM64&amp;":AK100"),1+1,
MATCH(1,INDEX((LEN(INDIRECT("'シフト一覧（転載）'!"&amp;AM64&amp;":AK100"))&gt;0)
*(INDIRECT("'シフト一覧（転載）'!"&amp;AM64&amp;":AK100")&lt;&gt;"休み"),1,0),0)),0),"")</f>
        <v>0</v>
      </c>
      <c r="AO65" s="21">
        <f ca="1">IF(AN64=0,0,
IF(OR(AN64="",COUNTIF(AN64,"*保育無し*")),"",
IF(MOD(AN65-AN64,1)*24&gt;=8,1,
IF(MOD(AN65-AN64,1)*24&gt;=6,0.75,0))))</f>
        <v>0</v>
      </c>
      <c r="AP65" s="21">
        <f t="array" aca="1" ref="AP65" ca="1">IFERROR(IF(AO64&lt;&gt;0,INDEX(
INDIRECT("'シフト一覧（転載）'!"&amp;AO64&amp;":AK100"),1+1,
MATCH(1,INDEX((LEN(INDIRECT("'シフト一覧（転載）'!"&amp;AO64&amp;":AK100"))&gt;0)
*(INDIRECT("'シフト一覧（転載）'!"&amp;AO64&amp;":AK100")&lt;&gt;"休み"),1,0),0)),0),"")</f>
        <v>0</v>
      </c>
      <c r="AQ65" s="21">
        <f ca="1">IF(AP64=0,0,
IF(OR(AP64="",COUNTIF(AP64,"*保育無し*")),"",
IF(MOD(AP65-AP64,1)*24&gt;=8,1,
IF(MOD(AP65-AP64,1)*24&gt;=6,0.75,0))))</f>
        <v>0</v>
      </c>
      <c r="AR65" s="21">
        <f t="array" aca="1" ref="AR65" ca="1">IFERROR(IF(AQ64&lt;&gt;0,INDEX(
INDIRECT("'シフト一覧（転載）'!"&amp;AQ64&amp;":AK100"),1+1,
MATCH(1,INDEX((LEN(INDIRECT("'シフト一覧（転載）'!"&amp;AQ64&amp;":AK100"))&gt;0)
*(INDIRECT("'シフト一覧（転載）'!"&amp;AQ64&amp;":AK100")&lt;&gt;"休み"),1,0),0)),0),"")</f>
        <v>0</v>
      </c>
      <c r="AS65" s="21">
        <f ca="1">IF(AR64=0,0,
IF(OR(AR64="",COUNTIF(AR64,"*保育無し*")),"",
IF(MOD(AR65-AR64,1)*24&gt;=8,1,
IF(MOD(AR65-AR64,1)*24&gt;=6,0.75,0))))</f>
        <v>0</v>
      </c>
      <c r="AT65" s="21">
        <f t="array" aca="1" ref="AT65" ca="1">IFERROR(IF(AS64&lt;&gt;0,INDEX(
INDIRECT("'シフト一覧（転載）'!"&amp;AS64&amp;":AK100"),1+1,
MATCH(1,INDEX((LEN(INDIRECT("'シフト一覧（転載）'!"&amp;AS64&amp;":AK100"))&gt;0)
*(INDIRECT("'シフト一覧（転載）'!"&amp;AS64&amp;":AK100")&lt;&gt;"休み"),1,0),0)),0),"")</f>
        <v>0</v>
      </c>
      <c r="AU65" s="21">
        <f ca="1">IF(AT64=0,0,
IF(OR(AT64="",COUNTIF(AT64,"*保育無し*")),"",
IF(MOD(AT65-AT64,1)*24&gt;=8,1,
IF(MOD(AT65-AT64,1)*24&gt;=6,0.75,0))))</f>
        <v>0</v>
      </c>
      <c r="AV65" s="21">
        <f t="array" aca="1" ref="AV65" ca="1">IFERROR(IF(AU64&lt;&gt;0,INDEX(
INDIRECT("'シフト一覧（転載）'!"&amp;AU64&amp;":AK100"),1+1,
MATCH(1,INDEX((LEN(INDIRECT("'シフト一覧（転載）'!"&amp;AU64&amp;":AK100"))&gt;0)
*(INDIRECT("'シフト一覧（転載）'!"&amp;AU64&amp;":AK100")&lt;&gt;"休み"),1,0),0)),0),"")</f>
        <v>0</v>
      </c>
      <c r="AW65" s="21">
        <f ca="1">IF(AV64=0,0,
IF(OR(AV64="",COUNTIF(AV64,"*保育無し*")),"",
IF(MOD(AV65-AV64,1)*24&gt;=8,1,
IF(MOD(AV65-AV64,1)*24&gt;=6,0.75,0))))</f>
        <v>0</v>
      </c>
      <c r="AX65" s="21">
        <f t="array" aca="1" ref="AX65" ca="1">IFERROR(IF(AW64&lt;&gt;0,INDEX(
INDIRECT("'シフト一覧（転載）'!"&amp;AW64&amp;":AK100"),1+1,
MATCH(1,INDEX((LEN(INDIRECT("'シフト一覧（転載）'!"&amp;AW64&amp;":AK100"))&gt;0)
*(INDIRECT("'シフト一覧（転載）'!"&amp;AW64&amp;":AK100")&lt;&gt;"休み"),1,0),0)),0),"")</f>
        <v>0</v>
      </c>
      <c r="AY65" s="21">
        <f ca="1">IF(AX64=0,0,
IF(OR(AX64="",COUNTIF(AX64,"*保育無し*")),"",
IF(MOD(AX65-AX64,1)*24&gt;=8,1,
IF(MOD(AX65-AX64,1)*24&gt;=6,0.75,0))))</f>
        <v>0</v>
      </c>
      <c r="AZ65" s="21">
        <f t="array" aca="1" ref="AZ65" ca="1">IFERROR(IF(AY64&lt;&gt;0,INDEX(
INDIRECT("'シフト一覧（転載）'!"&amp;AY64&amp;":AK100"),1+1,
MATCH(1,INDEX((LEN(INDIRECT("'シフト一覧（転載）'!"&amp;AY64&amp;":AK100"))&gt;0)
*(INDIRECT("'シフト一覧（転載）'!"&amp;AY64&amp;":AK100")&lt;&gt;"休み"),1,0),0)),0),"")</f>
        <v>0</v>
      </c>
      <c r="BA65" s="21">
        <f ca="1">IF(AZ64=0,0,
IF(OR(AZ64="",COUNTIF(AZ64,"*保育無し*")),"",
IF(MOD(AZ65-AZ64,1)*24&gt;=8,1,
IF(MOD(AZ65-AZ64,1)*24&gt;=6,0.75,0))))</f>
        <v>0</v>
      </c>
      <c r="BB65" s="21">
        <f t="array" aca="1" ref="BB65" ca="1">IFERROR(IF(BA64&lt;&gt;0,INDEX(
INDIRECT("'シフト一覧（転載）'!"&amp;BA64&amp;":AK100"),1+1,
MATCH(1,INDEX((LEN(INDIRECT("'シフト一覧（転載）'!"&amp;BA64&amp;":AK100"))&gt;0)
*(INDIRECT("'シフト一覧（転載）'!"&amp;BA64&amp;":AK100")&lt;&gt;"休み"),1,0),0)),0),"")</f>
        <v>0</v>
      </c>
      <c r="BC65" s="21">
        <f ca="1">IF(BB64=0,0,
IF(OR(BB64="",COUNTIF(BB64,"*保育無し*")),"",
IF(MOD(BB65-BB64,1)*24&gt;=8,1,
IF(MOD(BB65-BB64,1)*24&gt;=6,0.75,0))))</f>
        <v>0</v>
      </c>
      <c r="BD65" s="21">
        <f t="array" aca="1" ref="BD65" ca="1">IFERROR(IF(BC64&lt;&gt;0,INDEX(
INDIRECT("'シフト一覧（転載）'!"&amp;BC64&amp;":AK100"),1+1,
MATCH(1,INDEX((LEN(INDIRECT("'シフト一覧（転載）'!"&amp;BC64&amp;":AK100"))&gt;0)
*(INDIRECT("'シフト一覧（転載）'!"&amp;BC64&amp;":AK100")&lt;&gt;"休み"),1,0),0)),0),"")</f>
        <v>0</v>
      </c>
      <c r="BE65" s="21">
        <f ca="1">IF(BD64=0,0,
IF(OR(BD64="",COUNTIF(BD64,"*保育無し*")),"",
IF(MOD(BD65-BD64,1)*24&gt;=8,1,
IF(MOD(BD65-BD64,1)*24&gt;=6,0.75,0))))</f>
        <v>0</v>
      </c>
      <c r="BF65" s="21">
        <f t="array" aca="1" ref="BF65" ca="1">IFERROR(IF(BE64&lt;&gt;0,INDEX(
INDIRECT("'シフト一覧（転載）'!"&amp;BE64&amp;":AK100"),1+1,
MATCH(1,INDEX((LEN(INDIRECT("'シフト一覧（転載）'!"&amp;BE64&amp;":AK100"))&gt;0)
*(INDIRECT("'シフト一覧（転載）'!"&amp;BE64&amp;":AK100")&lt;&gt;"休み"),1,0),0)),0),"")</f>
        <v>0</v>
      </c>
      <c r="BG65" s="21">
        <f ca="1">IF(BF64=0,0,
IF(OR(BF64="",COUNTIF(BF64,"*保育無し*")),"",
IF(MOD(BF65-BF64,1)*24&gt;=8,1,
IF(MOD(BF65-BF64,1)*24&gt;=6,0.75,0))))</f>
        <v>0</v>
      </c>
      <c r="BH65" s="21">
        <f t="array" aca="1" ref="BH65" ca="1">IFERROR(IF(BG64&lt;&gt;0,INDEX(
INDIRECT("'シフト一覧（転載）'!"&amp;BG64&amp;":AK100"),1+1,
MATCH(1,INDEX((LEN(INDIRECT("'シフト一覧（転載）'!"&amp;BG64&amp;":AK100"))&gt;0)
*(INDIRECT("'シフト一覧（転載）'!"&amp;BG64&amp;":AK100")&lt;&gt;"休み"),1,0),0)),0),"")</f>
        <v>0</v>
      </c>
      <c r="BI65" s="21">
        <f ca="1">IF(BH64=0,0,
IF(OR(BH64="",COUNTIF(BH64,"*保育無し*")),"",
IF(MOD(BH65-BH64,1)*24&gt;=8,1,
IF(MOD(BH65-BH64,1)*24&gt;=6,0.75,0))))</f>
        <v>0</v>
      </c>
      <c r="BJ65" s="21">
        <f t="array" aca="1" ref="BJ65" ca="1">IFERROR(IF(BI64&lt;&gt;0,INDEX(
INDIRECT("'シフト一覧（転載）'!"&amp;BI64&amp;":AK100"),1+1,
MATCH(1,INDEX((LEN(INDIRECT("'シフト一覧（転載）'!"&amp;BI64&amp;":AK100"))&gt;0)
*(INDIRECT("'シフト一覧（転載）'!"&amp;BI64&amp;":AK100")&lt;&gt;"休み"),1,0),0)),0),"")</f>
        <v>0</v>
      </c>
      <c r="BK65" s="21">
        <f ca="1">IF(BJ64=0,0,
IF(OR(BJ64="",COUNTIF(BJ64,"*保育無し*")),"",
IF(MOD(BJ65-BJ64,1)*24&gt;=8,1,
IF(MOD(BJ65-BJ64,1)*24&gt;=6,0.75,0))))</f>
        <v>0</v>
      </c>
      <c r="BL65" s="21">
        <f t="array" aca="1" ref="BL65" ca="1">IFERROR(IF(BK64&lt;&gt;0,INDEX(
INDIRECT("'シフト一覧（転載）'!"&amp;BK64&amp;":AK100"),1+1,
MATCH(1,INDEX((LEN(INDIRECT("'シフト一覧（転載）'!"&amp;BK64&amp;":AK100"))&gt;0)
*(INDIRECT("'シフト一覧（転載）'!"&amp;BK64&amp;":AK100")&lt;&gt;"休み"),1,0),0)),0),"")</f>
        <v>0</v>
      </c>
      <c r="BM65" s="21">
        <f ca="1">IF(BL64=0,0,
IF(OR(BL64="",COUNTIF(BL64,"*保育無し*")),"",
IF(MOD(BL65-BL64,1)*24&gt;=8,1,
IF(MOD(BL65-BL64,1)*24&gt;=6,0.75,0))))</f>
        <v>0</v>
      </c>
      <c r="BN65" s="21">
        <f t="array" aca="1" ref="BN65" ca="1">IFERROR(IF(BM64&lt;&gt;0,INDEX(
INDIRECT("'シフト一覧（転載）'!"&amp;BM64&amp;":AK100"),1+1,
MATCH(1,INDEX((LEN(INDIRECT("'シフト一覧（転載）'!"&amp;BM64&amp;":AK100"))&gt;0)
*(INDIRECT("'シフト一覧（転載）'!"&amp;BM64&amp;":AK100")&lt;&gt;"休み"),1,0),0)),0),"")</f>
        <v>0</v>
      </c>
      <c r="BO65" s="21">
        <f ca="1">IF(BN64=0,0,
IF(OR(BN64="",COUNTIF(BN64,"*保育無し*")),"",
IF(MOD(BN65-BN64,1)*24&gt;=8,1,
IF(MOD(BN65-BN64,1)*24&gt;=6,0.75,0))))</f>
        <v>0</v>
      </c>
      <c r="BP65" s="21">
        <f t="array" aca="1" ref="BP65" ca="1">IFERROR(IF(BO64&lt;&gt;0,INDEX(
INDIRECT("'シフト一覧（転載）'!"&amp;BO64&amp;":AK100"),1+1,
MATCH(1,INDEX((LEN(INDIRECT("'シフト一覧（転載）'!"&amp;BO64&amp;":AK100"))&gt;0)
*(INDIRECT("'シフト一覧（転載）'!"&amp;BO64&amp;":AK100")&lt;&gt;"休み"),1,0),0)),0),"")</f>
        <v>0</v>
      </c>
      <c r="BQ65" s="21">
        <f ca="1">IF(BP64=0,0,
IF(OR(BP64="",COUNTIF(BP64,"*保育無し*")),"",
IF(MOD(BP65-BP64,1)*24&gt;=8,1,
IF(MOD(BP65-BP64,1)*24&gt;=6,0.75,0))))</f>
        <v>0</v>
      </c>
      <c r="BR65" s="21">
        <f t="array" aca="1" ref="BR65" ca="1">IFERROR(IF(BQ64&lt;&gt;0,INDEX(
INDIRECT("'シフト一覧（転載）'!"&amp;BQ64&amp;":AK100"),1+1,
MATCH(1,INDEX((LEN(INDIRECT("'シフト一覧（転載）'!"&amp;BQ64&amp;":AK100"))&gt;0)
*(INDIRECT("'シフト一覧（転載）'!"&amp;BQ64&amp;":AK100")&lt;&gt;"休み"),1,0),0)),0),"")</f>
        <v>0</v>
      </c>
      <c r="BS65" s="21">
        <f ca="1">IF(BR64=0,0,
IF(OR(BR64="",COUNTIF(BR64,"*保育無し*")),"",
IF(MOD(BR65-BR64,1)*24&gt;=8,1,
IF(MOD(BR65-BR64,1)*24&gt;=6,0.75,0))))</f>
        <v>0</v>
      </c>
      <c r="BT65" s="21">
        <f t="array" aca="1" ref="BT65" ca="1">IFERROR(IF(BS64&lt;&gt;0,INDEX(
INDIRECT("'シフト一覧（転載）'!"&amp;BS64&amp;":AK100"),1+1,
MATCH(1,INDEX((LEN(INDIRECT("'シフト一覧（転載）'!"&amp;BS64&amp;":AK100"))&gt;0)
*(INDIRECT("'シフト一覧（転載）'!"&amp;BS64&amp;":AK100")&lt;&gt;"休み"),1,0),0)),0),"")</f>
        <v>0</v>
      </c>
      <c r="BU65" s="21">
        <f ca="1">IF(BT64=0,0,
IF(OR(BT64="",COUNTIF(BT64,"*保育無し*")),"",
IF(MOD(BT65-BT64,1)*24&gt;=8,1,
IF(MOD(BT65-BT64,1)*24&gt;=6,0.75,0))))</f>
        <v>0</v>
      </c>
      <c r="BV65" s="21">
        <f t="array" aca="1" ref="BV65" ca="1">IFERROR(IF(BU64&lt;&gt;0,INDEX(
INDIRECT("'シフト一覧（転載）'!"&amp;BU64&amp;":AK100"),1+1,
MATCH(1,INDEX((LEN(INDIRECT("'シフト一覧（転載）'!"&amp;BU64&amp;":AK100"))&gt;0)
*(INDIRECT("'シフト一覧（転載）'!"&amp;BU64&amp;":AK100")&lt;&gt;"休み"),1,0),0)),0),"")</f>
        <v>0</v>
      </c>
      <c r="BW65" s="21">
        <f ca="1">IF(BV64=0,0,
IF(OR(BV64="",COUNTIF(BV64,"*保育無し*")),"",
IF(MOD(BV65-BV64,1)*24&gt;=8,1,
IF(MOD(BV65-BV64,1)*24&gt;=6,0.75,0))))</f>
        <v>0</v>
      </c>
      <c r="BX65" s="21">
        <f t="array" aca="1" ref="BX65" ca="1">IFERROR(IF(BW64&lt;&gt;0,INDEX(
INDIRECT("'シフト一覧（転載）'!"&amp;BW64&amp;":AK100"),1+1,
MATCH(1,INDEX((LEN(INDIRECT("'シフト一覧（転載）'!"&amp;BW64&amp;":AK100"))&gt;0)
*(INDIRECT("'シフト一覧（転載）'!"&amp;BW64&amp;":AK100")&lt;&gt;"休み"),1,0),0)),0),"")</f>
        <v>0</v>
      </c>
      <c r="BY65" s="21">
        <f ca="1">IF(BX64=0,0,
IF(OR(BX64="",COUNTIF(BX64,"*保育無し*")),"",
IF(MOD(BX65-BX64,1)*24&gt;=8,1,
IF(MOD(BX65-BX64,1)*24&gt;=6,0.75,0))))</f>
        <v>0</v>
      </c>
    </row>
    <row r="66" spans="12:77" ht="19.8" customHeight="1" x14ac:dyDescent="0.2">
      <c r="M66" s="103" t="str" cm="1">
        <f t="array" aca="1" ref="M66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6" s="101" t="str">
        <f t="shared" ref="N66" ca="1" si="32">IF(M66&lt;&gt;"",VLOOKUP(M66,$B$12:$C$41,2,FALSE),"")</f>
        <v/>
      </c>
      <c r="O66" s="106" cm="1">
        <f t="array" aca="1" ref="O66" ca="1">IF(COUNTIF(P66,"*保育無*"),0,
SUM(IF(
MOD(COLUMN(INDIRECT("P"&amp; ROW() &amp; ":" &amp; ADDRESS(ROW(), IFERROR(MATCH("*保育無し*", INDIRECT("P"&amp; ROW() &amp; ":BY" &amp; ROW()), 0) + COLUMN(P66) - 2, COLUMN(BX66) + 1), 4))) - COLUMN(P66), 2) = 0,
MOD(INDIRECT("P"&amp; ROW()+1 &amp; ":" &amp; ADDRESS(ROW()+1, IFERROR(MATCH("*保育無し*", INDIRECT("P"&amp; ROW() &amp; ":BY" &amp; ROW()), 0) + COLUMN(P66) - 2, COLUMN(BX66) + 1), 4)) - INDIRECT("P"&amp; ROW() &amp; ":" &amp; ADDRESS(ROW(), IFERROR(MATCH("*保育無し*", INDIRECT("P"&amp; ROW() &amp; ":BY" &amp; ROW()), 0) + COLUMN(P66) - 2, COLUMN(BX66) + 1), 4)),1),0))*24
-SUM(_xlfn._xlws.FILTER(P67:BX67, MOD(COLUMN(P67:BX67) - COLUMN(P67), 2) = 1)))</f>
        <v>0</v>
      </c>
      <c r="P66" s="20">
        <f t="array" aca="1" ref="P66" ca="1">IFERROR(IF(M66&lt;&gt;"",INDEX('シフト一覧（転載）'!$F$8:$AK$100,
    MATCH(1,(ISNUMBER(SEARCH(M66,'シフト一覧（転載）'!$A$8:$A$100)))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MATCH(1,(ISNUMBER(SEARCH(M66,'シフト一覧（転載）'!$A$8:$A$100)))
                *(ISNUMBER(SEARCH($F$9,'シフト一覧（転載）'!$B$8:$B$100))),
                0),0),0)),0),$F$9&amp;"保育無し")</f>
        <v>0</v>
      </c>
      <c r="Q66" s="20">
        <f t="array" aca="1" ref="Q66" ca="1">IFERROR(IF(COUNTIF(P66,"*無*"),"",IF(M66&lt;&gt;"",ADDRESS(
    MATCH(1,(ISNUMBER(SEARCH(M66,'シフト一覧（転載）'!$A$8:$A$100)))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MATCH(1,(ISNUMBER(SEARCH(M66,'シフト一覧（転載）'!$A$8:$A$100)))
                *(ISNUMBER(SEARCH($F$9,'シフト一覧（転載）'!$B$8:$B$100))),0),0),0) + 6,4),0)),0)</f>
        <v>0</v>
      </c>
      <c r="R66" s="20">
        <f t="array" aca="1" ref="R66" ca="1">IFERROR(IF(Q66&lt;&gt;"",IF(Q66&lt;&gt;0,INDEX(
INDIRECT("'シフト一覧（転載）'!"&amp;Q66&amp;":AK100"),1,
MATCH(1,INDEX((LEN(INDIRECT("'シフト一覧（転載）'!"&amp;Q66&amp;":AK100"))&gt;0)
*(INDIRECT("'シフト一覧（転載）'!"&amp;Q66&amp;":AK100")&lt;&gt;"休み"),1,0),0)),0),""),$F$9&amp;"保育無し")</f>
        <v>0</v>
      </c>
      <c r="S66" s="20">
        <f t="array" aca="1" ref="S66" ca="1">IFERROR(IF(Q66&lt;&gt;0,ADDRESS(ROW(INDIRECT(Q66)),
    COLUMN(INDIRECT(Q66)) - 1 +
    MATCH(1,INDEX((LEN(INDIRECT("'シフト一覧（転載）'!"&amp;Q66&amp;":AK100"))&gt;0)
            *(INDIRECT("'シフト一覧（転載）'!"&amp;Q66&amp;":AK100")&lt;&gt;"休み"),
            1,0),0)+1,4),0),"")</f>
        <v>0</v>
      </c>
      <c r="T66" s="20">
        <f t="array" aca="1" ref="T66" ca="1">IFERROR(IF(S66&lt;&gt;"",IF(S66&lt;&gt;0,INDEX(
INDIRECT("'シフト一覧（転載）'!"&amp;S66&amp;":AK100"),1,
MATCH(1,INDEX((LEN(INDIRECT("'シフト一覧（転載）'!"&amp;S66&amp;":AK100"))&gt;0)
*(INDIRECT("'シフト一覧（転載）'!"&amp;S66&amp;":AK100")&lt;&gt;"休み"),1,0),0)),0),""),$F$9&amp;"保育無し")</f>
        <v>0</v>
      </c>
      <c r="U66" s="20">
        <f t="array" aca="1" ref="U66" ca="1">IFERROR(IF(S66&lt;&gt;0,ADDRESS(ROW(INDIRECT(S66)),
    COLUMN(INDIRECT(S66)) - 1 +
    MATCH(1,INDEX((LEN(INDIRECT("'シフト一覧（転載）'!"&amp;S66&amp;":AK100"))&gt;0)
            *(INDIRECT("'シフト一覧（転載）'!"&amp;S66&amp;":AK100")&lt;&gt;"休み"),
            1,0),0)+1,4),0),"")</f>
        <v>0</v>
      </c>
      <c r="V66" s="20">
        <f t="array" aca="1" ref="V66" ca="1">IFERROR(IF(U66&lt;&gt;"",IF(U66&lt;&gt;0,INDEX(
INDIRECT("'シフト一覧（転載）'!"&amp;U66&amp;":AK100"),1,
MATCH(1,INDEX((LEN(INDIRECT("'シフト一覧（転載）'!"&amp;U66&amp;":AK100"))&gt;0)
*(INDIRECT("'シフト一覧（転載）'!"&amp;U66&amp;":AK100")&lt;&gt;"休み"),1,0),0)),0),""),$F$9&amp;"保育無し")</f>
        <v>0</v>
      </c>
      <c r="W66" s="20">
        <f t="array" aca="1" ref="W66" ca="1">IFERROR(IF(U66&lt;&gt;0,ADDRESS(ROW(INDIRECT(U66)),
    COLUMN(INDIRECT(U66)) - 1 +
    MATCH(1,INDEX((LEN(INDIRECT("'シフト一覧（転載）'!"&amp;U66&amp;":AK100"))&gt;0)
            *(INDIRECT("'シフト一覧（転載）'!"&amp;U66&amp;":AK100")&lt;&gt;"休み"),
            1,0),0)+1,4),0),"")</f>
        <v>0</v>
      </c>
      <c r="X66" s="20">
        <f t="array" aca="1" ref="X66" ca="1">IFERROR(IF(W66&lt;&gt;"",IF(W66&lt;&gt;0,INDEX(
INDIRECT("'シフト一覧（転載）'!"&amp;W66&amp;":AK100"),1,
MATCH(1,INDEX((LEN(INDIRECT("'シフト一覧（転載）'!"&amp;W66&amp;":AK100"))&gt;0)
*(INDIRECT("'シフト一覧（転載）'!"&amp;W66&amp;":AK100")&lt;&gt;"休み"),1,0),0)),0),""),$F$9&amp;"保育無し")</f>
        <v>0</v>
      </c>
      <c r="Y66" s="20">
        <f t="array" aca="1" ref="Y66" ca="1">IFERROR(IF(W66&lt;&gt;0,ADDRESS(ROW(INDIRECT(W66)),
    COLUMN(INDIRECT(W66)) - 1 +
    MATCH(1,INDEX((LEN(INDIRECT("'シフト一覧（転載）'!"&amp;W66&amp;":AK100"))&gt;0)
            *(INDIRECT("'シフト一覧（転載）'!"&amp;W66&amp;":AK100")&lt;&gt;"休み"),
            1,0),0)+1,4),0),"")</f>
        <v>0</v>
      </c>
      <c r="Z66" s="20">
        <f t="array" aca="1" ref="Z66" ca="1">IFERROR(IF(Y66&lt;&gt;"",IF(Y66&lt;&gt;0,INDEX(
INDIRECT("'シフト一覧（転載）'!"&amp;Y66&amp;":AK100"),1,
MATCH(1,INDEX((LEN(INDIRECT("'シフト一覧（転載）'!"&amp;Y66&amp;":AK100"))&gt;0)
*(INDIRECT("'シフト一覧（転載）'!"&amp;Y66&amp;":AK100")&lt;&gt;"休み"),1,0),0)),0),""),$F$9&amp;"保育無し")</f>
        <v>0</v>
      </c>
      <c r="AA66" s="20">
        <f t="array" aca="1" ref="AA66" ca="1">IFERROR(IF(Y66&lt;&gt;0,ADDRESS(ROW(INDIRECT(Y66)),
    COLUMN(INDIRECT(Y66)) - 1 +
    MATCH(1,INDEX((LEN(INDIRECT("'シフト一覧（転載）'!"&amp;Y66&amp;":AK100"))&gt;0)
            *(INDIRECT("'シフト一覧（転載）'!"&amp;Y66&amp;":AK100")&lt;&gt;"休み"),
            1,0),0)+1,4),0),"")</f>
        <v>0</v>
      </c>
      <c r="AB66" s="20">
        <f t="array" aca="1" ref="AB66" ca="1">IFERROR(IF(AA66&lt;&gt;"",IF(AA66&lt;&gt;0,INDEX(
INDIRECT("'シフト一覧（転載）'!"&amp;AA66&amp;":AK100"),1,
MATCH(1,INDEX((LEN(INDIRECT("'シフト一覧（転載）'!"&amp;AA66&amp;":AK100"))&gt;0)
*(INDIRECT("'シフト一覧（転載）'!"&amp;AA66&amp;":AK100")&lt;&gt;"休み"),1,0),0)),0),""),$F$9&amp;"保育無し")</f>
        <v>0</v>
      </c>
      <c r="AC66" s="20">
        <f t="array" aca="1" ref="AC66" ca="1">IFERROR(IF(AA66&lt;&gt;0,ADDRESS(ROW(INDIRECT(AA66)),
    COLUMN(INDIRECT(AA66)) - 1 +
    MATCH(1,INDEX((LEN(INDIRECT("'シフト一覧（転載）'!"&amp;AA66&amp;":AK100"))&gt;0)
            *(INDIRECT("'シフト一覧（転載）'!"&amp;AA66&amp;":AK100")&lt;&gt;"休み"),
            1,0),0)+1,4),0),"")</f>
        <v>0</v>
      </c>
      <c r="AD66" s="20">
        <f t="array" aca="1" ref="AD66" ca="1">IFERROR(IF(AC66&lt;&gt;"",IF(AC66&lt;&gt;0,INDEX(
INDIRECT("'シフト一覧（転載）'!"&amp;AC66&amp;":AK100"),1,
MATCH(1,INDEX((LEN(INDIRECT("'シフト一覧（転載）'!"&amp;AC66&amp;":AK100"))&gt;0)
*(INDIRECT("'シフト一覧（転載）'!"&amp;AC66&amp;":AK100")&lt;&gt;"休み"),1,0),0)),0),""),$F$9&amp;"保育無し")</f>
        <v>0</v>
      </c>
      <c r="AE66" s="20">
        <f t="array" aca="1" ref="AE66" ca="1">IFERROR(IF(AC66&lt;&gt;0,ADDRESS(ROW(INDIRECT(AC66)),
    COLUMN(INDIRECT(AC66)) - 1 +
    MATCH(1,INDEX((LEN(INDIRECT("'シフト一覧（転載）'!"&amp;AC66&amp;":AK100"))&gt;0)
            *(INDIRECT("'シフト一覧（転載）'!"&amp;AC66&amp;":AK100")&lt;&gt;"休み"),
            1,0),0)+1,4),0),"")</f>
        <v>0</v>
      </c>
      <c r="AF66" s="20">
        <f t="array" aca="1" ref="AF66" ca="1">IFERROR(IF(AE66&lt;&gt;"",IF(AE66&lt;&gt;0,INDEX(
INDIRECT("'シフト一覧（転載）'!"&amp;AE66&amp;":AK100"),1,
MATCH(1,INDEX((LEN(INDIRECT("'シフト一覧（転載）'!"&amp;AE66&amp;":AK100"))&gt;0)
*(INDIRECT("'シフト一覧（転載）'!"&amp;AE66&amp;":AK100")&lt;&gt;"休み"),1,0),0)),0),""),$F$9&amp;"保育無し")</f>
        <v>0</v>
      </c>
      <c r="AG66" s="20">
        <f t="array" aca="1" ref="AG66" ca="1">IFERROR(IF(AE66&lt;&gt;0,ADDRESS(ROW(INDIRECT(AE66)),
    COLUMN(INDIRECT(AE66)) - 1 +
    MATCH(1,INDEX((LEN(INDIRECT("'シフト一覧（転載）'!"&amp;AE66&amp;":AK100"))&gt;0)
            *(INDIRECT("'シフト一覧（転載）'!"&amp;AE66&amp;":AK100")&lt;&gt;"休み"),
            1,0),0)+1,4),0),"")</f>
        <v>0</v>
      </c>
      <c r="AH66" s="20">
        <f t="array" aca="1" ref="AH66" ca="1">IFERROR(IF(AG66&lt;&gt;"",IF(AG66&lt;&gt;0,INDEX(
INDIRECT("'シフト一覧（転載）'!"&amp;AG66&amp;":AK100"),1,
MATCH(1,INDEX((LEN(INDIRECT("'シフト一覧（転載）'!"&amp;AG66&amp;":AK100"))&gt;0)
*(INDIRECT("'シフト一覧（転載）'!"&amp;AG66&amp;":AK100")&lt;&gt;"休み"),1,0),0)),0),""),$F$9&amp;"保育無し")</f>
        <v>0</v>
      </c>
      <c r="AI66" s="20">
        <f t="array" aca="1" ref="AI66" ca="1">IFERROR(IF(AG66&lt;&gt;0,ADDRESS(ROW(INDIRECT(AG66)),
    COLUMN(INDIRECT(AG66)) - 1 +
    MATCH(1,INDEX((LEN(INDIRECT("'シフト一覧（転載）'!"&amp;AG66&amp;":AK100"))&gt;0)
            *(INDIRECT("'シフト一覧（転載）'!"&amp;AG66&amp;":AK100")&lt;&gt;"休み"),
            1,0),0)+1,4),0),"")</f>
        <v>0</v>
      </c>
      <c r="AJ66" s="20">
        <f t="array" aca="1" ref="AJ66" ca="1">IFERROR(IF(AI66&lt;&gt;"",IF(AI66&lt;&gt;0,INDEX(
INDIRECT("'シフト一覧（転載）'!"&amp;AI66&amp;":AK100"),1,
MATCH(1,INDEX((LEN(INDIRECT("'シフト一覧（転載）'!"&amp;AI66&amp;":AK100"))&gt;0)
*(INDIRECT("'シフト一覧（転載）'!"&amp;AI66&amp;":AK100")&lt;&gt;"休み"),1,0),0)),0),""),$F$9&amp;"保育無し")</f>
        <v>0</v>
      </c>
      <c r="AK66" s="20">
        <f t="array" aca="1" ref="AK66" ca="1">IFERROR(IF(AI66&lt;&gt;0,ADDRESS(ROW(INDIRECT(AI66)),
    COLUMN(INDIRECT(AI66)) - 1 +
    MATCH(1,INDEX((LEN(INDIRECT("'シフト一覧（転載）'!"&amp;AI66&amp;":AK100"))&gt;0)
            *(INDIRECT("'シフト一覧（転載）'!"&amp;AI66&amp;":AK100")&lt;&gt;"休み"),
            1,0),0)+1,4),0),"")</f>
        <v>0</v>
      </c>
      <c r="AL66" s="20">
        <f t="array" aca="1" ref="AL66" ca="1">IFERROR(IF(AK66&lt;&gt;"",IF(AK66&lt;&gt;0,INDEX(
INDIRECT("'シフト一覧（転載）'!"&amp;AK66&amp;":AK100"),1,
MATCH(1,INDEX((LEN(INDIRECT("'シフト一覧（転載）'!"&amp;AK66&amp;":AK100"))&gt;0)
*(INDIRECT("'シフト一覧（転載）'!"&amp;AK66&amp;":AK100")&lt;&gt;"休み"),1,0),0)),0),""),$F$9&amp;"保育無し")</f>
        <v>0</v>
      </c>
      <c r="AM66" s="20">
        <f t="array" aca="1" ref="AM66" ca="1">IFERROR(IF(AK66&lt;&gt;0,ADDRESS(ROW(INDIRECT(AK66)),
    COLUMN(INDIRECT(AK66)) - 1 +
    MATCH(1,INDEX((LEN(INDIRECT("'シフト一覧（転載）'!"&amp;AK66&amp;":AK100"))&gt;0)
            *(INDIRECT("'シフト一覧（転載）'!"&amp;AK66&amp;":AK100")&lt;&gt;"休み"),
            1,0),0)+1,4),0),"")</f>
        <v>0</v>
      </c>
      <c r="AN66" s="20">
        <f t="array" aca="1" ref="AN66" ca="1">IFERROR(IF(AM66&lt;&gt;"",IF(AM66&lt;&gt;0,INDEX(
INDIRECT("'シフト一覧（転載）'!"&amp;AM66&amp;":AK100"),1,
MATCH(1,INDEX((LEN(INDIRECT("'シフト一覧（転載）'!"&amp;AM66&amp;":AK100"))&gt;0)
*(INDIRECT("'シフト一覧（転載）'!"&amp;AM66&amp;":AK100")&lt;&gt;"休み"),1,0),0)),0),""),$F$9&amp;"保育無し")</f>
        <v>0</v>
      </c>
      <c r="AO66" s="20">
        <f t="array" aca="1" ref="AO66" ca="1">IFERROR(IF(AM66&lt;&gt;0,ADDRESS(ROW(INDIRECT(AM66)),
    COLUMN(INDIRECT(AM66)) - 1 +
    MATCH(1,INDEX((LEN(INDIRECT("'シフト一覧（転載）'!"&amp;AM66&amp;":AK100"))&gt;0)
            *(INDIRECT("'シフト一覧（転載）'!"&amp;AM66&amp;":AK100")&lt;&gt;"休み"),
            1,0),0)+1,4),0),"")</f>
        <v>0</v>
      </c>
      <c r="AP66" s="20">
        <f t="array" aca="1" ref="AP66" ca="1">IFERROR(IF(AO66&lt;&gt;"",IF(AO66&lt;&gt;0,INDEX(
INDIRECT("'シフト一覧（転載）'!"&amp;AO66&amp;":AK100"),1,
MATCH(1,INDEX((LEN(INDIRECT("'シフト一覧（転載）'!"&amp;AO66&amp;":AK100"))&gt;0)
*(INDIRECT("'シフト一覧（転載）'!"&amp;AO66&amp;":AK100")&lt;&gt;"休み"),1,0),0)),0),""),$F$9&amp;"保育無し")</f>
        <v>0</v>
      </c>
      <c r="AQ66" s="20">
        <f t="array" aca="1" ref="AQ66" ca="1">IFERROR(IF(AO66&lt;&gt;0,ADDRESS(ROW(INDIRECT(AO66)),
    COLUMN(INDIRECT(AO66)) - 1 +
    MATCH(1,INDEX((LEN(INDIRECT("'シフト一覧（転載）'!"&amp;AO66&amp;":AK100"))&gt;0)
            *(INDIRECT("'シフト一覧（転載）'!"&amp;AO66&amp;":AK100")&lt;&gt;"休み"),
            1,0),0)+1,4),0),"")</f>
        <v>0</v>
      </c>
      <c r="AR66" s="20">
        <f t="array" aca="1" ref="AR66" ca="1">IFERROR(IF(AQ66&lt;&gt;"",IF(AQ66&lt;&gt;0,INDEX(
INDIRECT("'シフト一覧（転載）'!"&amp;AQ66&amp;":AK100"),1,
MATCH(1,INDEX((LEN(INDIRECT("'シフト一覧（転載）'!"&amp;AQ66&amp;":AK100"))&gt;0)
*(INDIRECT("'シフト一覧（転載）'!"&amp;AQ66&amp;":AK100")&lt;&gt;"休み"),1,0),0)),0),""),$F$9&amp;"保育無し")</f>
        <v>0</v>
      </c>
      <c r="AS66" s="20">
        <f t="array" aca="1" ref="AS66" ca="1">IFERROR(IF(AQ66&lt;&gt;0,ADDRESS(ROW(INDIRECT(AQ66)),
    COLUMN(INDIRECT(AQ66)) - 1 +
    MATCH(1,INDEX((LEN(INDIRECT("'シフト一覧（転載）'!"&amp;AQ66&amp;":AK100"))&gt;0)
            *(INDIRECT("'シフト一覧（転載）'!"&amp;AQ66&amp;":AK100")&lt;&gt;"休み"),
            1,0),0)+1,4),0),"")</f>
        <v>0</v>
      </c>
      <c r="AT66" s="20">
        <f t="array" aca="1" ref="AT66" ca="1">IFERROR(IF(AS66&lt;&gt;"",IF(AS66&lt;&gt;0,INDEX(
INDIRECT("'シフト一覧（転載）'!"&amp;AS66&amp;":AK100"),1,
MATCH(1,INDEX((LEN(INDIRECT("'シフト一覧（転載）'!"&amp;AS66&amp;":AK100"))&gt;0)
*(INDIRECT("'シフト一覧（転載）'!"&amp;AS66&amp;":AK100")&lt;&gt;"休み"),1,0),0)),0),""),$F$9&amp;"保育無し")</f>
        <v>0</v>
      </c>
      <c r="AU66" s="20">
        <f t="array" aca="1" ref="AU66" ca="1">IFERROR(IF(AS66&lt;&gt;0,ADDRESS(ROW(INDIRECT(AS66)),
    COLUMN(INDIRECT(AS66)) - 1 +
    MATCH(1,INDEX((LEN(INDIRECT("'シフト一覧（転載）'!"&amp;AS66&amp;":AK100"))&gt;0)
            *(INDIRECT("'シフト一覧（転載）'!"&amp;AS66&amp;":AK100")&lt;&gt;"休み"),
            1,0),0)+1,4),0),"")</f>
        <v>0</v>
      </c>
      <c r="AV66" s="20">
        <f t="array" aca="1" ref="AV66" ca="1">IFERROR(IF(AU66&lt;&gt;"",IF(AU66&lt;&gt;0,INDEX(
INDIRECT("'シフト一覧（転載）'!"&amp;AU66&amp;":AK100"),1,
MATCH(1,INDEX((LEN(INDIRECT("'シフト一覧（転載）'!"&amp;AU66&amp;":AK100"))&gt;0)
*(INDIRECT("'シフト一覧（転載）'!"&amp;AU66&amp;":AK100")&lt;&gt;"休み"),1,0),0)),0),""),$F$9&amp;"保育無し")</f>
        <v>0</v>
      </c>
      <c r="AW66" s="20">
        <f t="array" aca="1" ref="AW66" ca="1">IFERROR(IF(AU66&lt;&gt;0,ADDRESS(ROW(INDIRECT(AU66)),
    COLUMN(INDIRECT(AU66)) - 1 +
    MATCH(1,INDEX((LEN(INDIRECT("'シフト一覧（転載）'!"&amp;AU66&amp;":AK100"))&gt;0)
            *(INDIRECT("'シフト一覧（転載）'!"&amp;AU66&amp;":AK100")&lt;&gt;"休み"),
            1,0),0)+1,4),0),"")</f>
        <v>0</v>
      </c>
      <c r="AX66" s="20">
        <f t="array" aca="1" ref="AX66" ca="1">IFERROR(IF(AW66&lt;&gt;"",IF(AW66&lt;&gt;0,INDEX(
INDIRECT("'シフト一覧（転載）'!"&amp;AW66&amp;":AK100"),1,
MATCH(1,INDEX((LEN(INDIRECT("'シフト一覧（転載）'!"&amp;AW66&amp;":AK100"))&gt;0)
*(INDIRECT("'シフト一覧（転載）'!"&amp;AW66&amp;":AK100")&lt;&gt;"休み"),1,0),0)),0),""),$F$9&amp;"保育無し")</f>
        <v>0</v>
      </c>
      <c r="AY66" s="20">
        <f t="array" aca="1" ref="AY66" ca="1">IFERROR(IF(AW66&lt;&gt;0,ADDRESS(ROW(INDIRECT(AW66)),
    COLUMN(INDIRECT(AW66)) - 1 +
    MATCH(1,INDEX((LEN(INDIRECT("'シフト一覧（転載）'!"&amp;AW66&amp;":AK100"))&gt;0)
            *(INDIRECT("'シフト一覧（転載）'!"&amp;AW66&amp;":AK100")&lt;&gt;"休み"),
            1,0),0)+1,4),0),"")</f>
        <v>0</v>
      </c>
      <c r="AZ66" s="20">
        <f t="array" aca="1" ref="AZ66" ca="1">IFERROR(IF(AY66&lt;&gt;"",IF(AY66&lt;&gt;0,INDEX(
INDIRECT("'シフト一覧（転載）'!"&amp;AY66&amp;":AK100"),1,
MATCH(1,INDEX((LEN(INDIRECT("'シフト一覧（転載）'!"&amp;AY66&amp;":AK100"))&gt;0)
*(INDIRECT("'シフト一覧（転載）'!"&amp;AY66&amp;":AK100")&lt;&gt;"休み"),1,0),0)),0),""),$F$9&amp;"保育無し")</f>
        <v>0</v>
      </c>
      <c r="BA66" s="20">
        <f t="array" aca="1" ref="BA66" ca="1">IFERROR(IF(AY66&lt;&gt;0,ADDRESS(ROW(INDIRECT(AY66)),
    COLUMN(INDIRECT(AY66)) - 1 +
    MATCH(1,INDEX((LEN(INDIRECT("'シフト一覧（転載）'!"&amp;AY66&amp;":AK100"))&gt;0)
            *(INDIRECT("'シフト一覧（転載）'!"&amp;AY66&amp;":AK100")&lt;&gt;"休み"),
            1,0),0)+1,4),0),"")</f>
        <v>0</v>
      </c>
      <c r="BB66" s="20">
        <f t="array" aca="1" ref="BB66" ca="1">IFERROR(IF(BA66&lt;&gt;"",IF(BA66&lt;&gt;0,INDEX(
INDIRECT("'シフト一覧（転載）'!"&amp;BA66&amp;":AK100"),1,
MATCH(1,INDEX((LEN(INDIRECT("'シフト一覧（転載）'!"&amp;BA66&amp;":AK100"))&gt;0)
*(INDIRECT("'シフト一覧（転載）'!"&amp;BA66&amp;":AK100")&lt;&gt;"休み"),1,0),0)),0),""),$F$9&amp;"保育無し")</f>
        <v>0</v>
      </c>
      <c r="BC66" s="20">
        <f t="array" aca="1" ref="BC66" ca="1">IFERROR(IF(BA66&lt;&gt;0,ADDRESS(ROW(INDIRECT(BA66)),
    COLUMN(INDIRECT(BA66)) - 1 +
    MATCH(1,INDEX((LEN(INDIRECT("'シフト一覧（転載）'!"&amp;BA66&amp;":AK100"))&gt;0)
            *(INDIRECT("'シフト一覧（転載）'!"&amp;BA66&amp;":AK100")&lt;&gt;"休み"),
            1,0),0)+1,4),0),"")</f>
        <v>0</v>
      </c>
      <c r="BD66" s="20">
        <f t="array" aca="1" ref="BD66" ca="1">IFERROR(IF(BC66&lt;&gt;"",IF(BC66&lt;&gt;0,INDEX(
INDIRECT("'シフト一覧（転載）'!"&amp;BC66&amp;":AK100"),1,
MATCH(1,INDEX((LEN(INDIRECT("'シフト一覧（転載）'!"&amp;BC66&amp;":AK100"))&gt;0)
*(INDIRECT("'シフト一覧（転載）'!"&amp;BC66&amp;":AK100")&lt;&gt;"休み"),1,0),0)),0),""),$F$9&amp;"保育無し")</f>
        <v>0</v>
      </c>
      <c r="BE66" s="20">
        <f t="array" aca="1" ref="BE66" ca="1">IFERROR(IF(BC66&lt;&gt;0,ADDRESS(ROW(INDIRECT(BC66)),
    COLUMN(INDIRECT(BC66)) - 1 +
    MATCH(1,INDEX((LEN(INDIRECT("'シフト一覧（転載）'!"&amp;BC66&amp;":AK100"))&gt;0)
            *(INDIRECT("'シフト一覧（転載）'!"&amp;BC66&amp;":AK100")&lt;&gt;"休み"),
            1,0),0)+1,4),0),"")</f>
        <v>0</v>
      </c>
      <c r="BF66" s="20">
        <f t="array" aca="1" ref="BF66" ca="1">IFERROR(IF(BE66&lt;&gt;"",IF(BE66&lt;&gt;0,INDEX(
INDIRECT("'シフト一覧（転載）'!"&amp;BE66&amp;":AK100"),1,
MATCH(1,INDEX((LEN(INDIRECT("'シフト一覧（転載）'!"&amp;BE66&amp;":AK100"))&gt;0)
*(INDIRECT("'シフト一覧（転載）'!"&amp;BE66&amp;":AK100")&lt;&gt;"休み"),1,0),0)),0),""),$F$9&amp;"保育無し")</f>
        <v>0</v>
      </c>
      <c r="BG66" s="20">
        <f t="array" aca="1" ref="BG66" ca="1">IFERROR(IF(BE66&lt;&gt;0,ADDRESS(ROW(INDIRECT(BE66)),
    COLUMN(INDIRECT(BE66)) - 1 +
    MATCH(1,INDEX((LEN(INDIRECT("'シフト一覧（転載）'!"&amp;BE66&amp;":AK100"))&gt;0)
            *(INDIRECT("'シフト一覧（転載）'!"&amp;BE66&amp;":AK100")&lt;&gt;"休み"),
            1,0),0)+1,4),0),"")</f>
        <v>0</v>
      </c>
      <c r="BH66" s="20">
        <f t="array" aca="1" ref="BH66" ca="1">IFERROR(IF(BG66&lt;&gt;"",IF(BG66&lt;&gt;0,INDEX(
INDIRECT("'シフト一覧（転載）'!"&amp;BG66&amp;":AK100"),1,
MATCH(1,INDEX((LEN(INDIRECT("'シフト一覧（転載）'!"&amp;BG66&amp;":AK100"))&gt;0)
*(INDIRECT("'シフト一覧（転載）'!"&amp;BG66&amp;":AK100")&lt;&gt;"休み"),1,0),0)),0),""),$F$9&amp;"保育無し")</f>
        <v>0</v>
      </c>
      <c r="BI66" s="20">
        <f t="array" aca="1" ref="BI66" ca="1">IFERROR(IF(BG66&lt;&gt;0,ADDRESS(ROW(INDIRECT(BG66)),
    COLUMN(INDIRECT(BG66)) - 1 +
    MATCH(1,INDEX((LEN(INDIRECT("'シフト一覧（転載）'!"&amp;BG66&amp;":AK100"))&gt;0)
            *(INDIRECT("'シフト一覧（転載）'!"&amp;BG66&amp;":AK100")&lt;&gt;"休み"),
            1,0),0)+1,4),0),"")</f>
        <v>0</v>
      </c>
      <c r="BJ66" s="20">
        <f t="array" aca="1" ref="BJ66" ca="1">IFERROR(IF(BI66&lt;&gt;"",IF(BI66&lt;&gt;0,INDEX(
INDIRECT("'シフト一覧（転載）'!"&amp;BI66&amp;":AK100"),1,
MATCH(1,INDEX((LEN(INDIRECT("'シフト一覧（転載）'!"&amp;BI66&amp;":AK100"))&gt;0)
*(INDIRECT("'シフト一覧（転載）'!"&amp;BI66&amp;":AK100")&lt;&gt;"休み"),1,0),0)),0),""),$F$9&amp;"保育無し")</f>
        <v>0</v>
      </c>
      <c r="BK66" s="20">
        <f t="array" aca="1" ref="BK66" ca="1">IFERROR(IF(BI66&lt;&gt;0,ADDRESS(ROW(INDIRECT(BI66)),
    COLUMN(INDIRECT(BI66)) - 1 +
    MATCH(1,INDEX((LEN(INDIRECT("'シフト一覧（転載）'!"&amp;BI66&amp;":AK100"))&gt;0)
            *(INDIRECT("'シフト一覧（転載）'!"&amp;BI66&amp;":AK100")&lt;&gt;"休み"),
            1,0),0)+1,4),0),"")</f>
        <v>0</v>
      </c>
      <c r="BL66" s="20">
        <f t="array" aca="1" ref="BL66" ca="1">IFERROR(IF(BK66&lt;&gt;"",IF(BK66&lt;&gt;0,INDEX(
INDIRECT("'シフト一覧（転載）'!"&amp;BK66&amp;":AK100"),1,
MATCH(1,INDEX((LEN(INDIRECT("'シフト一覧（転載）'!"&amp;BK66&amp;":AK100"))&gt;0)
*(INDIRECT("'シフト一覧（転載）'!"&amp;BK66&amp;":AK100")&lt;&gt;"休み"),1,0),0)),0),""),$F$9&amp;"保育無し")</f>
        <v>0</v>
      </c>
      <c r="BM66" s="20">
        <f t="array" aca="1" ref="BM66" ca="1">IFERROR(IF(BK66&lt;&gt;0,ADDRESS(ROW(INDIRECT(BK66)),
    COLUMN(INDIRECT(BK66)) - 1 +
    MATCH(1,INDEX((LEN(INDIRECT("'シフト一覧（転載）'!"&amp;BK66&amp;":AK100"))&gt;0)
            *(INDIRECT("'シフト一覧（転載）'!"&amp;BK66&amp;":AK100")&lt;&gt;"休み"),
            1,0),0)+1,4),0),"")</f>
        <v>0</v>
      </c>
      <c r="BN66" s="20">
        <f t="array" aca="1" ref="BN66" ca="1">IFERROR(IF(BM66&lt;&gt;"",IF(BM66&lt;&gt;0,INDEX(
INDIRECT("'シフト一覧（転載）'!"&amp;BM66&amp;":AK100"),1,
MATCH(1,INDEX((LEN(INDIRECT("'シフト一覧（転載）'!"&amp;BM66&amp;":AK100"))&gt;0)
*(INDIRECT("'シフト一覧（転載）'!"&amp;BM66&amp;":AK100")&lt;&gt;"休み"),1,0),0)),0),""),$F$9&amp;"保育無し")</f>
        <v>0</v>
      </c>
      <c r="BO66" s="20">
        <f t="array" aca="1" ref="BO66" ca="1">IFERROR(IF(BM66&lt;&gt;0,ADDRESS(ROW(INDIRECT(BM66)),
    COLUMN(INDIRECT(BM66)) - 1 +
    MATCH(1,INDEX((LEN(INDIRECT("'シフト一覧（転載）'!"&amp;BM66&amp;":AK100"))&gt;0)
            *(INDIRECT("'シフト一覧（転載）'!"&amp;BM66&amp;":AK100")&lt;&gt;"休み"),
            1,0),0)+1,4),0),"")</f>
        <v>0</v>
      </c>
      <c r="BP66" s="20">
        <f t="array" aca="1" ref="BP66" ca="1">IFERROR(IF(BO66&lt;&gt;"",IF(BO66&lt;&gt;0,INDEX(
INDIRECT("'シフト一覧（転載）'!"&amp;BO66&amp;":AK100"),1,
MATCH(1,INDEX((LEN(INDIRECT("'シフト一覧（転載）'!"&amp;BO66&amp;":AK100"))&gt;0)
*(INDIRECT("'シフト一覧（転載）'!"&amp;BO66&amp;":AK100")&lt;&gt;"休み"),1,0),0)),0),""),$F$9&amp;"保育無し")</f>
        <v>0</v>
      </c>
      <c r="BQ66" s="20">
        <f t="array" aca="1" ref="BQ66" ca="1">IFERROR(IF(BO66&lt;&gt;0,ADDRESS(ROW(INDIRECT(BO66)),
    COLUMN(INDIRECT(BO66)) - 1 +
    MATCH(1,INDEX((LEN(INDIRECT("'シフト一覧（転載）'!"&amp;BO66&amp;":AK100"))&gt;0)
            *(INDIRECT("'シフト一覧（転載）'!"&amp;BO66&amp;":AK100")&lt;&gt;"休み"),
            1,0),0)+1,4),0),"")</f>
        <v>0</v>
      </c>
      <c r="BR66" s="20">
        <f t="array" aca="1" ref="BR66" ca="1">IFERROR(IF(BQ66&lt;&gt;"",IF(BQ66&lt;&gt;0,INDEX(
INDIRECT("'シフト一覧（転載）'!"&amp;BQ66&amp;":AK100"),1,
MATCH(1,INDEX((LEN(INDIRECT("'シフト一覧（転載）'!"&amp;BQ66&amp;":AK100"))&gt;0)
*(INDIRECT("'シフト一覧（転載）'!"&amp;BQ66&amp;":AK100")&lt;&gt;"休み"),1,0),0)),0),""),$F$9&amp;"保育無し")</f>
        <v>0</v>
      </c>
      <c r="BS66" s="20">
        <f t="array" aca="1" ref="BS66" ca="1">IFERROR(IF(BQ66&lt;&gt;0,ADDRESS(ROW(INDIRECT(BQ66)),
    COLUMN(INDIRECT(BQ66)) - 1 +
    MATCH(1,INDEX((LEN(INDIRECT("'シフト一覧（転載）'!"&amp;BQ66&amp;":AK100"))&gt;0)
            *(INDIRECT("'シフト一覧（転載）'!"&amp;BQ66&amp;":AK100")&lt;&gt;"休み"),
            1,0),0)+1,4),0),"")</f>
        <v>0</v>
      </c>
      <c r="BT66" s="20">
        <f t="array" aca="1" ref="BT66" ca="1">IFERROR(IF(BS66&lt;&gt;"",IF(BS66&lt;&gt;0,INDEX(
INDIRECT("'シフト一覧（転載）'!"&amp;BS66&amp;":AK100"),1,
MATCH(1,INDEX((LEN(INDIRECT("'シフト一覧（転載）'!"&amp;BS66&amp;":AK100"))&gt;0)
*(INDIRECT("'シフト一覧（転載）'!"&amp;BS66&amp;":AK100")&lt;&gt;"休み"),1,0),0)),0),""),$F$9&amp;"保育無し")</f>
        <v>0</v>
      </c>
      <c r="BU66" s="20">
        <f t="array" aca="1" ref="BU66" ca="1">IFERROR(IF(BS66&lt;&gt;0,ADDRESS(ROW(INDIRECT(BS66)),
    COLUMN(INDIRECT(BS66)) - 1 +
    MATCH(1,INDEX((LEN(INDIRECT("'シフト一覧（転載）'!"&amp;BS66&amp;":AK100"))&gt;0)
            *(INDIRECT("'シフト一覧（転載）'!"&amp;BS66&amp;":AK100")&lt;&gt;"休み"),
            1,0),0)+1,4),0),"")</f>
        <v>0</v>
      </c>
      <c r="BV66" s="20">
        <f t="array" aca="1" ref="BV66" ca="1">IFERROR(IF(BU66&lt;&gt;"",IF(BU66&lt;&gt;0,INDEX(
INDIRECT("'シフト一覧（転載）'!"&amp;BU66&amp;":AK100"),1,
MATCH(1,INDEX((LEN(INDIRECT("'シフト一覧（転載）'!"&amp;BU66&amp;":AK100"))&gt;0)
*(INDIRECT("'シフト一覧（転載）'!"&amp;BU66&amp;":AK100")&lt;&gt;"休み"),1,0),0)),0),""),$F$9&amp;"保育無し")</f>
        <v>0</v>
      </c>
      <c r="BW66" s="20">
        <f t="array" aca="1" ref="BW66" ca="1">IFERROR(IF(BU66&lt;&gt;0,ADDRESS(ROW(INDIRECT(BU66)),
    COLUMN(INDIRECT(BU66)) - 1 +
    MATCH(1,INDEX((LEN(INDIRECT("'シフト一覧（転載）'!"&amp;BU66&amp;":AK100"))&gt;0)
            *(INDIRECT("'シフト一覧（転載）'!"&amp;BU66&amp;":AK100")&lt;&gt;"休み"),
            1,0),0)+1,4),0),"")</f>
        <v>0</v>
      </c>
      <c r="BX66" s="20">
        <f t="array" aca="1" ref="BX66" ca="1">IFERROR(IF(BW66&lt;&gt;"",IF(BW66&lt;&gt;0,INDEX(
INDIRECT("'シフト一覧（転載）'!"&amp;BW66&amp;":AK100"),1,
MATCH(1,INDEX((LEN(INDIRECT("'シフト一覧（転載）'!"&amp;BW66&amp;":AK100"))&gt;0)
*(INDIRECT("'シフト一覧（転載）'!"&amp;BW66&amp;":AK100")&lt;&gt;"休み"),1,0),0)),0),""),$F$9&amp;"保育無し")</f>
        <v>0</v>
      </c>
      <c r="BY66" s="20">
        <f t="array" aca="1" ref="BY66" ca="1">IFERROR(IF(BW66&lt;&gt;0,ADDRESS(ROW(INDIRECT(BW66)),
    COLUMN(INDIRECT(BW66)) - 1 +
    MATCH(1,INDEX((LEN(INDIRECT("'シフト一覧（転載）'!"&amp;BW66&amp;":AK100"))&gt;0)
            *(INDIRECT("'シフト一覧（転載）'!"&amp;BW66&amp;":AK100")&lt;&gt;"休み"),
            1,0),0)+1,4),0),"")</f>
        <v>0</v>
      </c>
    </row>
    <row r="67" spans="12:77" ht="19.8" customHeight="1" x14ac:dyDescent="0.2">
      <c r="M67" s="104"/>
      <c r="N67" s="102"/>
      <c r="O67" s="107"/>
      <c r="P67" s="21">
        <f t="array" aca="1" ref="P67" ca="1">IFERROR(IF(M66&lt;&gt;"",INDEX('シフト一覧（転載）'!$F$8:$AK$100,
    MATCH(1,(ISNUMBER(SEARCH(M66,'シフト一覧（転載）'!$A$8:$A$100)))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MATCH(1,(ISNUMBER(SEARCH(M66,'シフト一覧（転載）'!$A$8:$A$100)))
                *(ISNUMBER(SEARCH($F$9,'シフト一覧（転載）'!$B$8:$B$100))),
                0),0),0)),0),"")</f>
        <v>0</v>
      </c>
      <c r="Q67" s="21">
        <f ca="1">IF(P66=0,0,
IF(OR(P66="",COUNTIF(P66,"*保育無し*")),"",
IF(MOD(P67-P66,1)*24&gt;=8,1,
IF(MOD(P67-P66,1)*24&gt;=6,0.75,0))))</f>
        <v>0</v>
      </c>
      <c r="R67" s="21">
        <f t="array" aca="1" ref="R67" ca="1">IFERROR(IF(Q66&lt;&gt;0,INDEX(
INDIRECT("'シフト一覧（転載）'!"&amp;Q66&amp;":AK100"),1+1,
MATCH(1,INDEX((LEN(INDIRECT("'シフト一覧（転載）'!"&amp;Q66&amp;":AK100"))&gt;0)
*(INDIRECT("'シフト一覧（転載）'!"&amp;Q66&amp;":AK100")&lt;&gt;"休み"),1,0),0)),0),"")</f>
        <v>0</v>
      </c>
      <c r="S67" s="21">
        <f ca="1">IF(R66=0,0,
IF(OR(R66="",COUNTIF(R66,"*保育無し*")),"",
IF(MOD(R67-R66,1)*24&gt;=8,1,
IF(MOD(R67-R66,1)*24&gt;=6,0.75,0))))</f>
        <v>0</v>
      </c>
      <c r="T67" s="21">
        <f t="array" aca="1" ref="T67" ca="1">IFERROR(IF(S66&lt;&gt;0,INDEX(
INDIRECT("'シフト一覧（転載）'!"&amp;S66&amp;":AK100"),1+1,
MATCH(1,INDEX((LEN(INDIRECT("'シフト一覧（転載）'!"&amp;S66&amp;":AK100"))&gt;0)
*(INDIRECT("'シフト一覧（転載）'!"&amp;S66&amp;":AK100")&lt;&gt;"休み"),1,0),0)),0),"")</f>
        <v>0</v>
      </c>
      <c r="U67" s="21">
        <f ca="1">IF(T66=0,0,
IF(OR(T66="",COUNTIF(T66,"*保育無し*")),"",
IF(MOD(T67-T66,1)*24&gt;=8,1,
IF(MOD(T67-T66,1)*24&gt;=6,0.75,0))))</f>
        <v>0</v>
      </c>
      <c r="V67" s="21">
        <f t="array" aca="1" ref="V67" ca="1">IFERROR(IF(U66&lt;&gt;0,INDEX(
INDIRECT("'シフト一覧（転載）'!"&amp;U66&amp;":AK100"),1+1,
MATCH(1,INDEX((LEN(INDIRECT("'シフト一覧（転載）'!"&amp;U66&amp;":AK100"))&gt;0)
*(INDIRECT("'シフト一覧（転載）'!"&amp;U66&amp;":AK100")&lt;&gt;"休み"),1,0),0)),0),"")</f>
        <v>0</v>
      </c>
      <c r="W67" s="21">
        <f ca="1">IF(V66=0,0,
IF(OR(V66="",COUNTIF(V66,"*保育無し*")),"",
IF(MOD(V67-V66,1)*24&gt;=8,1,
IF(MOD(V67-V66,1)*24&gt;=6,0.75,0))))</f>
        <v>0</v>
      </c>
      <c r="X67" s="21">
        <f t="array" aca="1" ref="X67" ca="1">IFERROR(IF(W66&lt;&gt;0,INDEX(
INDIRECT("'シフト一覧（転載）'!"&amp;W66&amp;":AK100"),1+1,
MATCH(1,INDEX((LEN(INDIRECT("'シフト一覧（転載）'!"&amp;W66&amp;":AK100"))&gt;0)
*(INDIRECT("'シフト一覧（転載）'!"&amp;W66&amp;":AK100")&lt;&gt;"休み"),1,0),0)),0),"")</f>
        <v>0</v>
      </c>
      <c r="Y67" s="21">
        <f ca="1">IF(X66=0,0,
IF(OR(X66="",COUNTIF(X66,"*保育無し*")),"",
IF(MOD(X67-X66,1)*24&gt;=8,1,
IF(MOD(X67-X66,1)*24&gt;=6,0.75,0))))</f>
        <v>0</v>
      </c>
      <c r="Z67" s="21">
        <f t="array" aca="1" ref="Z67" ca="1">IFERROR(IF(Y66&lt;&gt;0,INDEX(
INDIRECT("'シフト一覧（転載）'!"&amp;Y66&amp;":AK100"),1+1,
MATCH(1,INDEX((LEN(INDIRECT("'シフト一覧（転載）'!"&amp;Y66&amp;":AK100"))&gt;0)
*(INDIRECT("'シフト一覧（転載）'!"&amp;Y66&amp;":AK100")&lt;&gt;"休み"),1,0),0)),0),"")</f>
        <v>0</v>
      </c>
      <c r="AA67" s="21">
        <f ca="1">IF(Z66=0,0,
IF(OR(Z66="",COUNTIF(Z66,"*保育無し*")),"",
IF(MOD(Z67-Z66,1)*24&gt;=8,1,
IF(MOD(Z67-Z66,1)*24&gt;=6,0.75,0))))</f>
        <v>0</v>
      </c>
      <c r="AB67" s="21">
        <f t="array" aca="1" ref="AB67" ca="1">IFERROR(IF(AA66&lt;&gt;0,INDEX(
INDIRECT("'シフト一覧（転載）'!"&amp;AA66&amp;":AK100"),1+1,
MATCH(1,INDEX((LEN(INDIRECT("'シフト一覧（転載）'!"&amp;AA66&amp;":AK100"))&gt;0)
*(INDIRECT("'シフト一覧（転載）'!"&amp;AA66&amp;":AK100")&lt;&gt;"休み"),1,0),0)),0),"")</f>
        <v>0</v>
      </c>
      <c r="AC67" s="21">
        <f ca="1">IF(AB66=0,0,
IF(OR(AB66="",COUNTIF(AB66,"*保育無し*")),"",
IF(MOD(AB67-AB66,1)*24&gt;=8,1,
IF(MOD(AB67-AB66,1)*24&gt;=6,0.75,0))))</f>
        <v>0</v>
      </c>
      <c r="AD67" s="21">
        <f t="array" aca="1" ref="AD67" ca="1">IFERROR(IF(AC66&lt;&gt;0,INDEX(
INDIRECT("'シフト一覧（転載）'!"&amp;AC66&amp;":AK100"),1+1,
MATCH(1,INDEX((LEN(INDIRECT("'シフト一覧（転載）'!"&amp;AC66&amp;":AK100"))&gt;0)
*(INDIRECT("'シフト一覧（転載）'!"&amp;AC66&amp;":AK100")&lt;&gt;"休み"),1,0),0)),0),"")</f>
        <v>0</v>
      </c>
      <c r="AE67" s="21">
        <f ca="1">IF(AD66=0,0,
IF(OR(AD66="",COUNTIF(AD66,"*保育無し*")),"",
IF(MOD(AD67-AD66,1)*24&gt;=8,1,
IF(MOD(AD67-AD66,1)*24&gt;=6,0.75,0))))</f>
        <v>0</v>
      </c>
      <c r="AF67" s="21">
        <f t="array" aca="1" ref="AF67" ca="1">IFERROR(IF(AE66&lt;&gt;0,INDEX(
INDIRECT("'シフト一覧（転載）'!"&amp;AE66&amp;":AK100"),1+1,
MATCH(1,INDEX((LEN(INDIRECT("'シフト一覧（転載）'!"&amp;AE66&amp;":AK100"))&gt;0)
*(INDIRECT("'シフト一覧（転載）'!"&amp;AE66&amp;":AK100")&lt;&gt;"休み"),1,0),0)),0),"")</f>
        <v>0</v>
      </c>
      <c r="AG67" s="21">
        <f ca="1">IF(AF66=0,0,
IF(OR(AF66="",COUNTIF(AF66,"*保育無し*")),"",
IF(MOD(AF67-AF66,1)*24&gt;=8,1,
IF(MOD(AF67-AF66,1)*24&gt;=6,0.75,0))))</f>
        <v>0</v>
      </c>
      <c r="AH67" s="21">
        <f t="array" aca="1" ref="AH67" ca="1">IFERROR(IF(AG66&lt;&gt;0,INDEX(
INDIRECT("'シフト一覧（転載）'!"&amp;AG66&amp;":AK100"),1+1,
MATCH(1,INDEX((LEN(INDIRECT("'シフト一覧（転載）'!"&amp;AG66&amp;":AK100"))&gt;0)
*(INDIRECT("'シフト一覧（転載）'!"&amp;AG66&amp;":AK100")&lt;&gt;"休み"),1,0),0)),0),"")</f>
        <v>0</v>
      </c>
      <c r="AI67" s="21">
        <f ca="1">IF(AH66=0,0,
IF(OR(AH66="",COUNTIF(AH66,"*保育無し*")),"",
IF(MOD(AH67-AH66,1)*24&gt;=8,1,
IF(MOD(AH67-AH66,1)*24&gt;=6,0.75,0))))</f>
        <v>0</v>
      </c>
      <c r="AJ67" s="21">
        <f t="array" aca="1" ref="AJ67" ca="1">IFERROR(IF(AI66&lt;&gt;0,INDEX(
INDIRECT("'シフト一覧（転載）'!"&amp;AI66&amp;":AK100"),1+1,
MATCH(1,INDEX((LEN(INDIRECT("'シフト一覧（転載）'!"&amp;AI66&amp;":AK100"))&gt;0)
*(INDIRECT("'シフト一覧（転載）'!"&amp;AI66&amp;":AK100")&lt;&gt;"休み"),1,0),0)),0),"")</f>
        <v>0</v>
      </c>
      <c r="AK67" s="21">
        <f ca="1">IF(AJ66=0,0,
IF(OR(AJ66="",COUNTIF(AJ66,"*保育無し*")),"",
IF(MOD(AJ67-AJ66,1)*24&gt;=8,1,
IF(MOD(AJ67-AJ66,1)*24&gt;=6,0.75,0))))</f>
        <v>0</v>
      </c>
      <c r="AL67" s="21">
        <f t="array" aca="1" ref="AL67" ca="1">IFERROR(IF(AK66&lt;&gt;0,INDEX(
INDIRECT("'シフト一覧（転載）'!"&amp;AK66&amp;":AK100"),1+1,
MATCH(1,INDEX((LEN(INDIRECT("'シフト一覧（転載）'!"&amp;AK66&amp;":AK100"))&gt;0)
*(INDIRECT("'シフト一覧（転載）'!"&amp;AK66&amp;":AK100")&lt;&gt;"休み"),1,0),0)),0),"")</f>
        <v>0</v>
      </c>
      <c r="AM67" s="21">
        <f ca="1">IF(AL66=0,0,
IF(OR(AL66="",COUNTIF(AL66,"*保育無し*")),"",
IF(MOD(AL67-AL66,1)*24&gt;=8,1,
IF(MOD(AL67-AL66,1)*24&gt;=6,0.75,0))))</f>
        <v>0</v>
      </c>
      <c r="AN67" s="21">
        <f t="array" aca="1" ref="AN67" ca="1">IFERROR(IF(AM66&lt;&gt;0,INDEX(
INDIRECT("'シフト一覧（転載）'!"&amp;AM66&amp;":AK100"),1+1,
MATCH(1,INDEX((LEN(INDIRECT("'シフト一覧（転載）'!"&amp;AM66&amp;":AK100"))&gt;0)
*(INDIRECT("'シフト一覧（転載）'!"&amp;AM66&amp;":AK100")&lt;&gt;"休み"),1,0),0)),0),"")</f>
        <v>0</v>
      </c>
      <c r="AO67" s="21">
        <f ca="1">IF(AN66=0,0,
IF(OR(AN66="",COUNTIF(AN66,"*保育無し*")),"",
IF(MOD(AN67-AN66,1)*24&gt;=8,1,
IF(MOD(AN67-AN66,1)*24&gt;=6,0.75,0))))</f>
        <v>0</v>
      </c>
      <c r="AP67" s="21">
        <f t="array" aca="1" ref="AP67" ca="1">IFERROR(IF(AO66&lt;&gt;0,INDEX(
INDIRECT("'シフト一覧（転載）'!"&amp;AO66&amp;":AK100"),1+1,
MATCH(1,INDEX((LEN(INDIRECT("'シフト一覧（転載）'!"&amp;AO66&amp;":AK100"))&gt;0)
*(INDIRECT("'シフト一覧（転載）'!"&amp;AO66&amp;":AK100")&lt;&gt;"休み"),1,0),0)),0),"")</f>
        <v>0</v>
      </c>
      <c r="AQ67" s="21">
        <f ca="1">IF(AP66=0,0,
IF(OR(AP66="",COUNTIF(AP66,"*保育無し*")),"",
IF(MOD(AP67-AP66,1)*24&gt;=8,1,
IF(MOD(AP67-AP66,1)*24&gt;=6,0.75,0))))</f>
        <v>0</v>
      </c>
      <c r="AR67" s="21">
        <f t="array" aca="1" ref="AR67" ca="1">IFERROR(IF(AQ66&lt;&gt;0,INDEX(
INDIRECT("'シフト一覧（転載）'!"&amp;AQ66&amp;":AK100"),1+1,
MATCH(1,INDEX((LEN(INDIRECT("'シフト一覧（転載）'!"&amp;AQ66&amp;":AK100"))&gt;0)
*(INDIRECT("'シフト一覧（転載）'!"&amp;AQ66&amp;":AK100")&lt;&gt;"休み"),1,0),0)),0),"")</f>
        <v>0</v>
      </c>
      <c r="AS67" s="21">
        <f ca="1">IF(AR66=0,0,
IF(OR(AR66="",COUNTIF(AR66,"*保育無し*")),"",
IF(MOD(AR67-AR66,1)*24&gt;=8,1,
IF(MOD(AR67-AR66,1)*24&gt;=6,0.75,0))))</f>
        <v>0</v>
      </c>
      <c r="AT67" s="21">
        <f t="array" aca="1" ref="AT67" ca="1">IFERROR(IF(AS66&lt;&gt;0,INDEX(
INDIRECT("'シフト一覧（転載）'!"&amp;AS66&amp;":AK100"),1+1,
MATCH(1,INDEX((LEN(INDIRECT("'シフト一覧（転載）'!"&amp;AS66&amp;":AK100"))&gt;0)
*(INDIRECT("'シフト一覧（転載）'!"&amp;AS66&amp;":AK100")&lt;&gt;"休み"),1,0),0)),0),"")</f>
        <v>0</v>
      </c>
      <c r="AU67" s="21">
        <f ca="1">IF(AT66=0,0,
IF(OR(AT66="",COUNTIF(AT66,"*保育無し*")),"",
IF(MOD(AT67-AT66,1)*24&gt;=8,1,
IF(MOD(AT67-AT66,1)*24&gt;=6,0.75,0))))</f>
        <v>0</v>
      </c>
      <c r="AV67" s="21">
        <f t="array" aca="1" ref="AV67" ca="1">IFERROR(IF(AU66&lt;&gt;0,INDEX(
INDIRECT("'シフト一覧（転載）'!"&amp;AU66&amp;":AK100"),1+1,
MATCH(1,INDEX((LEN(INDIRECT("'シフト一覧（転載）'!"&amp;AU66&amp;":AK100"))&gt;0)
*(INDIRECT("'シフト一覧（転載）'!"&amp;AU66&amp;":AK100")&lt;&gt;"休み"),1,0),0)),0),"")</f>
        <v>0</v>
      </c>
      <c r="AW67" s="21">
        <f ca="1">IF(AV66=0,0,
IF(OR(AV66="",COUNTIF(AV66,"*保育無し*")),"",
IF(MOD(AV67-AV66,1)*24&gt;=8,1,
IF(MOD(AV67-AV66,1)*24&gt;=6,0.75,0))))</f>
        <v>0</v>
      </c>
      <c r="AX67" s="21">
        <f t="array" aca="1" ref="AX67" ca="1">IFERROR(IF(AW66&lt;&gt;0,INDEX(
INDIRECT("'シフト一覧（転載）'!"&amp;AW66&amp;":AK100"),1+1,
MATCH(1,INDEX((LEN(INDIRECT("'シフト一覧（転載）'!"&amp;AW66&amp;":AK100"))&gt;0)
*(INDIRECT("'シフト一覧（転載）'!"&amp;AW66&amp;":AK100")&lt;&gt;"休み"),1,0),0)),0),"")</f>
        <v>0</v>
      </c>
      <c r="AY67" s="21">
        <f ca="1">IF(AX66=0,0,
IF(OR(AX66="",COUNTIF(AX66,"*保育無し*")),"",
IF(MOD(AX67-AX66,1)*24&gt;=8,1,
IF(MOD(AX67-AX66,1)*24&gt;=6,0.75,0))))</f>
        <v>0</v>
      </c>
      <c r="AZ67" s="21">
        <f t="array" aca="1" ref="AZ67" ca="1">IFERROR(IF(AY66&lt;&gt;0,INDEX(
INDIRECT("'シフト一覧（転載）'!"&amp;AY66&amp;":AK100"),1+1,
MATCH(1,INDEX((LEN(INDIRECT("'シフト一覧（転載）'!"&amp;AY66&amp;":AK100"))&gt;0)
*(INDIRECT("'シフト一覧（転載）'!"&amp;AY66&amp;":AK100")&lt;&gt;"休み"),1,0),0)),0),"")</f>
        <v>0</v>
      </c>
      <c r="BA67" s="21">
        <f ca="1">IF(AZ66=0,0,
IF(OR(AZ66="",COUNTIF(AZ66,"*保育無し*")),"",
IF(MOD(AZ67-AZ66,1)*24&gt;=8,1,
IF(MOD(AZ67-AZ66,1)*24&gt;=6,0.75,0))))</f>
        <v>0</v>
      </c>
      <c r="BB67" s="21">
        <f t="array" aca="1" ref="BB67" ca="1">IFERROR(IF(BA66&lt;&gt;0,INDEX(
INDIRECT("'シフト一覧（転載）'!"&amp;BA66&amp;":AK100"),1+1,
MATCH(1,INDEX((LEN(INDIRECT("'シフト一覧（転載）'!"&amp;BA66&amp;":AK100"))&gt;0)
*(INDIRECT("'シフト一覧（転載）'!"&amp;BA66&amp;":AK100")&lt;&gt;"休み"),1,0),0)),0),"")</f>
        <v>0</v>
      </c>
      <c r="BC67" s="21">
        <f ca="1">IF(BB66=0,0,
IF(OR(BB66="",COUNTIF(BB66,"*保育無し*")),"",
IF(MOD(BB67-BB66,1)*24&gt;=8,1,
IF(MOD(BB67-BB66,1)*24&gt;=6,0.75,0))))</f>
        <v>0</v>
      </c>
      <c r="BD67" s="21">
        <f t="array" aca="1" ref="BD67" ca="1">IFERROR(IF(BC66&lt;&gt;0,INDEX(
INDIRECT("'シフト一覧（転載）'!"&amp;BC66&amp;":AK100"),1+1,
MATCH(1,INDEX((LEN(INDIRECT("'シフト一覧（転載）'!"&amp;BC66&amp;":AK100"))&gt;0)
*(INDIRECT("'シフト一覧（転載）'!"&amp;BC66&amp;":AK100")&lt;&gt;"休み"),1,0),0)),0),"")</f>
        <v>0</v>
      </c>
      <c r="BE67" s="21">
        <f ca="1">IF(BD66=0,0,
IF(OR(BD66="",COUNTIF(BD66,"*保育無し*")),"",
IF(MOD(BD67-BD66,1)*24&gt;=8,1,
IF(MOD(BD67-BD66,1)*24&gt;=6,0.75,0))))</f>
        <v>0</v>
      </c>
      <c r="BF67" s="21">
        <f t="array" aca="1" ref="BF67" ca="1">IFERROR(IF(BE66&lt;&gt;0,INDEX(
INDIRECT("'シフト一覧（転載）'!"&amp;BE66&amp;":AK100"),1+1,
MATCH(1,INDEX((LEN(INDIRECT("'シフト一覧（転載）'!"&amp;BE66&amp;":AK100"))&gt;0)
*(INDIRECT("'シフト一覧（転載）'!"&amp;BE66&amp;":AK100")&lt;&gt;"休み"),1,0),0)),0),"")</f>
        <v>0</v>
      </c>
      <c r="BG67" s="21">
        <f ca="1">IF(BF66=0,0,
IF(OR(BF66="",COUNTIF(BF66,"*保育無し*")),"",
IF(MOD(BF67-BF66,1)*24&gt;=8,1,
IF(MOD(BF67-BF66,1)*24&gt;=6,0.75,0))))</f>
        <v>0</v>
      </c>
      <c r="BH67" s="21">
        <f t="array" aca="1" ref="BH67" ca="1">IFERROR(IF(BG66&lt;&gt;0,INDEX(
INDIRECT("'シフト一覧（転載）'!"&amp;BG66&amp;":AK100"),1+1,
MATCH(1,INDEX((LEN(INDIRECT("'シフト一覧（転載）'!"&amp;BG66&amp;":AK100"))&gt;0)
*(INDIRECT("'シフト一覧（転載）'!"&amp;BG66&amp;":AK100")&lt;&gt;"休み"),1,0),0)),0),"")</f>
        <v>0</v>
      </c>
      <c r="BI67" s="21">
        <f ca="1">IF(BH66=0,0,
IF(OR(BH66="",COUNTIF(BH66,"*保育無し*")),"",
IF(MOD(BH67-BH66,1)*24&gt;=8,1,
IF(MOD(BH67-BH66,1)*24&gt;=6,0.75,0))))</f>
        <v>0</v>
      </c>
      <c r="BJ67" s="21">
        <f t="array" aca="1" ref="BJ67" ca="1">IFERROR(IF(BI66&lt;&gt;0,INDEX(
INDIRECT("'シフト一覧（転載）'!"&amp;BI66&amp;":AK100"),1+1,
MATCH(1,INDEX((LEN(INDIRECT("'シフト一覧（転載）'!"&amp;BI66&amp;":AK100"))&gt;0)
*(INDIRECT("'シフト一覧（転載）'!"&amp;BI66&amp;":AK100")&lt;&gt;"休み"),1,0),0)),0),"")</f>
        <v>0</v>
      </c>
      <c r="BK67" s="21">
        <f ca="1">IF(BJ66=0,0,
IF(OR(BJ66="",COUNTIF(BJ66,"*保育無し*")),"",
IF(MOD(BJ67-BJ66,1)*24&gt;=8,1,
IF(MOD(BJ67-BJ66,1)*24&gt;=6,0.75,0))))</f>
        <v>0</v>
      </c>
      <c r="BL67" s="21">
        <f t="array" aca="1" ref="BL67" ca="1">IFERROR(IF(BK66&lt;&gt;0,INDEX(
INDIRECT("'シフト一覧（転載）'!"&amp;BK66&amp;":AK100"),1+1,
MATCH(1,INDEX((LEN(INDIRECT("'シフト一覧（転載）'!"&amp;BK66&amp;":AK100"))&gt;0)
*(INDIRECT("'シフト一覧（転載）'!"&amp;BK66&amp;":AK100")&lt;&gt;"休み"),1,0),0)),0),"")</f>
        <v>0</v>
      </c>
      <c r="BM67" s="21">
        <f ca="1">IF(BL66=0,0,
IF(OR(BL66="",COUNTIF(BL66,"*保育無し*")),"",
IF(MOD(BL67-BL66,1)*24&gt;=8,1,
IF(MOD(BL67-BL66,1)*24&gt;=6,0.75,0))))</f>
        <v>0</v>
      </c>
      <c r="BN67" s="21">
        <f t="array" aca="1" ref="BN67" ca="1">IFERROR(IF(BM66&lt;&gt;0,INDEX(
INDIRECT("'シフト一覧（転載）'!"&amp;BM66&amp;":AK100"),1+1,
MATCH(1,INDEX((LEN(INDIRECT("'シフト一覧（転載）'!"&amp;BM66&amp;":AK100"))&gt;0)
*(INDIRECT("'シフト一覧（転載）'!"&amp;BM66&amp;":AK100")&lt;&gt;"休み"),1,0),0)),0),"")</f>
        <v>0</v>
      </c>
      <c r="BO67" s="21">
        <f ca="1">IF(BN66=0,0,
IF(OR(BN66="",COUNTIF(BN66,"*保育無し*")),"",
IF(MOD(BN67-BN66,1)*24&gt;=8,1,
IF(MOD(BN67-BN66,1)*24&gt;=6,0.75,0))))</f>
        <v>0</v>
      </c>
      <c r="BP67" s="21">
        <f t="array" aca="1" ref="BP67" ca="1">IFERROR(IF(BO66&lt;&gt;0,INDEX(
INDIRECT("'シフト一覧（転載）'!"&amp;BO66&amp;":AK100"),1+1,
MATCH(1,INDEX((LEN(INDIRECT("'シフト一覧（転載）'!"&amp;BO66&amp;":AK100"))&gt;0)
*(INDIRECT("'シフト一覧（転載）'!"&amp;BO66&amp;":AK100")&lt;&gt;"休み"),1,0),0)),0),"")</f>
        <v>0</v>
      </c>
      <c r="BQ67" s="21">
        <f ca="1">IF(BP66=0,0,
IF(OR(BP66="",COUNTIF(BP66,"*保育無し*")),"",
IF(MOD(BP67-BP66,1)*24&gt;=8,1,
IF(MOD(BP67-BP66,1)*24&gt;=6,0.75,0))))</f>
        <v>0</v>
      </c>
      <c r="BR67" s="21">
        <f t="array" aca="1" ref="BR67" ca="1">IFERROR(IF(BQ66&lt;&gt;0,INDEX(
INDIRECT("'シフト一覧（転載）'!"&amp;BQ66&amp;":AK100"),1+1,
MATCH(1,INDEX((LEN(INDIRECT("'シフト一覧（転載）'!"&amp;BQ66&amp;":AK100"))&gt;0)
*(INDIRECT("'シフト一覧（転載）'!"&amp;BQ66&amp;":AK100")&lt;&gt;"休み"),1,0),0)),0),"")</f>
        <v>0</v>
      </c>
      <c r="BS67" s="21">
        <f ca="1">IF(BR66=0,0,
IF(OR(BR66="",COUNTIF(BR66,"*保育無し*")),"",
IF(MOD(BR67-BR66,1)*24&gt;=8,1,
IF(MOD(BR67-BR66,1)*24&gt;=6,0.75,0))))</f>
        <v>0</v>
      </c>
      <c r="BT67" s="21">
        <f t="array" aca="1" ref="BT67" ca="1">IFERROR(IF(BS66&lt;&gt;0,INDEX(
INDIRECT("'シフト一覧（転載）'!"&amp;BS66&amp;":AK100"),1+1,
MATCH(1,INDEX((LEN(INDIRECT("'シフト一覧（転載）'!"&amp;BS66&amp;":AK100"))&gt;0)
*(INDIRECT("'シフト一覧（転載）'!"&amp;BS66&amp;":AK100")&lt;&gt;"休み"),1,0),0)),0),"")</f>
        <v>0</v>
      </c>
      <c r="BU67" s="21">
        <f ca="1">IF(BT66=0,0,
IF(OR(BT66="",COUNTIF(BT66,"*保育無し*")),"",
IF(MOD(BT67-BT66,1)*24&gt;=8,1,
IF(MOD(BT67-BT66,1)*24&gt;=6,0.75,0))))</f>
        <v>0</v>
      </c>
      <c r="BV67" s="21">
        <f t="array" aca="1" ref="BV67" ca="1">IFERROR(IF(BU66&lt;&gt;0,INDEX(
INDIRECT("'シフト一覧（転載）'!"&amp;BU66&amp;":AK100"),1+1,
MATCH(1,INDEX((LEN(INDIRECT("'シフト一覧（転載）'!"&amp;BU66&amp;":AK100"))&gt;0)
*(INDIRECT("'シフト一覧（転載）'!"&amp;BU66&amp;":AK100")&lt;&gt;"休み"),1,0),0)),0),"")</f>
        <v>0</v>
      </c>
      <c r="BW67" s="21">
        <f ca="1">IF(BV66=0,0,
IF(OR(BV66="",COUNTIF(BV66,"*保育無し*")),"",
IF(MOD(BV67-BV66,1)*24&gt;=8,1,
IF(MOD(BV67-BV66,1)*24&gt;=6,0.75,0))))</f>
        <v>0</v>
      </c>
      <c r="BX67" s="21">
        <f t="array" aca="1" ref="BX67" ca="1">IFERROR(IF(BW66&lt;&gt;0,INDEX(
INDIRECT("'シフト一覧（転載）'!"&amp;BW66&amp;":AK100"),1+1,
MATCH(1,INDEX((LEN(INDIRECT("'シフト一覧（転載）'!"&amp;BW66&amp;":AK100"))&gt;0)
*(INDIRECT("'シフト一覧（転載）'!"&amp;BW66&amp;":AK100")&lt;&gt;"休み"),1,0),0)),0),"")</f>
        <v>0</v>
      </c>
      <c r="BY67" s="21">
        <f ca="1">IF(BX66=0,0,
IF(OR(BX66="",COUNTIF(BX66,"*保育無し*")),"",
IF(MOD(BX67-BX66,1)*24&gt;=8,1,
IF(MOD(BX67-BX66,1)*24&gt;=6,0.75,0))))</f>
        <v>0</v>
      </c>
    </row>
    <row r="68" spans="12:77" ht="19.8" customHeight="1" x14ac:dyDescent="0.2">
      <c r="M68" s="103" t="str" cm="1">
        <f t="array" aca="1" ref="M68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68" s="101" t="str">
        <f t="shared" ref="N68" ca="1" si="33">IF(M68&lt;&gt;"",VLOOKUP(M68,$B$12:$C$41,2,FALSE),"")</f>
        <v/>
      </c>
      <c r="O68" s="106" cm="1">
        <f t="array" aca="1" ref="O68" ca="1">IF(COUNTIF(P68,"*保育無*"),0,
SUM(IF(
MOD(COLUMN(INDIRECT("P"&amp; ROW() &amp; ":" &amp; ADDRESS(ROW(), IFERROR(MATCH("*保育無し*", INDIRECT("P"&amp; ROW() &amp; ":BY" &amp; ROW()), 0) + COLUMN(P68) - 2, COLUMN(BX68) + 1), 4))) - COLUMN(P68), 2) = 0,
MOD(INDIRECT("P"&amp; ROW()+1 &amp; ":" &amp; ADDRESS(ROW()+1, IFERROR(MATCH("*保育無し*", INDIRECT("P"&amp; ROW() &amp; ":BY" &amp; ROW()), 0) + COLUMN(P68) - 2, COLUMN(BX68) + 1), 4)) - INDIRECT("P"&amp; ROW() &amp; ":" &amp; ADDRESS(ROW(), IFERROR(MATCH("*保育無し*", INDIRECT("P"&amp; ROW() &amp; ":BY" &amp; ROW()), 0) + COLUMN(P68) - 2, COLUMN(BX68) + 1), 4)),1),0))*24
-SUM(_xlfn._xlws.FILTER(P69:BX69, MOD(COLUMN(P69:BX69) - COLUMN(P69), 2) = 1)))</f>
        <v>0</v>
      </c>
      <c r="P68" s="20">
        <f t="array" aca="1" ref="P68" ca="1">IFERROR(IF(M68&lt;&gt;"",INDEX('シフト一覧（転載）'!$F$8:$AK$100,
    MATCH(1,(ISNUMBER(SEARCH(M68,'シフト一覧（転載）'!$A$8:$A$100)))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MATCH(1,(ISNUMBER(SEARCH(M68,'シフト一覧（転載）'!$A$8:$A$100)))
                *(ISNUMBER(SEARCH($F$9,'シフト一覧（転載）'!$B$8:$B$100))),
                0),0),0)),0),$F$9&amp;"保育無し")</f>
        <v>0</v>
      </c>
      <c r="Q68" s="20">
        <f t="array" aca="1" ref="Q68" ca="1">IFERROR(IF(COUNTIF(P68,"*無*"),"",IF(M68&lt;&gt;"",ADDRESS(
    MATCH(1,(ISNUMBER(SEARCH(M68,'シフト一覧（転載）'!$A$8:$A$100)))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MATCH(1,(ISNUMBER(SEARCH(M68,'シフト一覧（転載）'!$A$8:$A$100)))
                *(ISNUMBER(SEARCH($F$9,'シフト一覧（転載）'!$B$8:$B$100))),0),0),0) + 6,4),0)),0)</f>
        <v>0</v>
      </c>
      <c r="R68" s="20">
        <f t="array" aca="1" ref="R68" ca="1">IFERROR(IF(Q68&lt;&gt;"",IF(Q68&lt;&gt;0,INDEX(
INDIRECT("'シフト一覧（転載）'!"&amp;Q68&amp;":AK100"),1,
MATCH(1,INDEX((LEN(INDIRECT("'シフト一覧（転載）'!"&amp;Q68&amp;":AK100"))&gt;0)
*(INDIRECT("'シフト一覧（転載）'!"&amp;Q68&amp;":AK100")&lt;&gt;"休み"),1,0),0)),0),""),$F$9&amp;"保育無し")</f>
        <v>0</v>
      </c>
      <c r="S68" s="20">
        <f t="array" aca="1" ref="S68" ca="1">IFERROR(IF(Q68&lt;&gt;0,ADDRESS(ROW(INDIRECT(Q68)),
    COLUMN(INDIRECT(Q68)) - 1 +
    MATCH(1,INDEX((LEN(INDIRECT("'シフト一覧（転載）'!"&amp;Q68&amp;":AK100"))&gt;0)
            *(INDIRECT("'シフト一覧（転載）'!"&amp;Q68&amp;":AK100")&lt;&gt;"休み"),
            1,0),0)+1,4),0),"")</f>
        <v>0</v>
      </c>
      <c r="T68" s="20">
        <f t="array" aca="1" ref="T68" ca="1">IFERROR(IF(S68&lt;&gt;"",IF(S68&lt;&gt;0,INDEX(
INDIRECT("'シフト一覧（転載）'!"&amp;S68&amp;":AK100"),1,
MATCH(1,INDEX((LEN(INDIRECT("'シフト一覧（転載）'!"&amp;S68&amp;":AK100"))&gt;0)
*(INDIRECT("'シフト一覧（転載）'!"&amp;S68&amp;":AK100")&lt;&gt;"休み"),1,0),0)),0),""),$F$9&amp;"保育無し")</f>
        <v>0</v>
      </c>
      <c r="U68" s="20">
        <f t="array" aca="1" ref="U68" ca="1">IFERROR(IF(S68&lt;&gt;0,ADDRESS(ROW(INDIRECT(S68)),
    COLUMN(INDIRECT(S68)) - 1 +
    MATCH(1,INDEX((LEN(INDIRECT("'シフト一覧（転載）'!"&amp;S68&amp;":AK100"))&gt;0)
            *(INDIRECT("'シフト一覧（転載）'!"&amp;S68&amp;":AK100")&lt;&gt;"休み"),
            1,0),0)+1,4),0),"")</f>
        <v>0</v>
      </c>
      <c r="V68" s="20">
        <f t="array" aca="1" ref="V68" ca="1">IFERROR(IF(U68&lt;&gt;"",IF(U68&lt;&gt;0,INDEX(
INDIRECT("'シフト一覧（転載）'!"&amp;U68&amp;":AK100"),1,
MATCH(1,INDEX((LEN(INDIRECT("'シフト一覧（転載）'!"&amp;U68&amp;":AK100"))&gt;0)
*(INDIRECT("'シフト一覧（転載）'!"&amp;U68&amp;":AK100")&lt;&gt;"休み"),1,0),0)),0),""),$F$9&amp;"保育無し")</f>
        <v>0</v>
      </c>
      <c r="W68" s="20">
        <f t="array" aca="1" ref="W68" ca="1">IFERROR(IF(U68&lt;&gt;0,ADDRESS(ROW(INDIRECT(U68)),
    COLUMN(INDIRECT(U68)) - 1 +
    MATCH(1,INDEX((LEN(INDIRECT("'シフト一覧（転載）'!"&amp;U68&amp;":AK100"))&gt;0)
            *(INDIRECT("'シフト一覧（転載）'!"&amp;U68&amp;":AK100")&lt;&gt;"休み"),
            1,0),0)+1,4),0),"")</f>
        <v>0</v>
      </c>
      <c r="X68" s="20">
        <f t="array" aca="1" ref="X68" ca="1">IFERROR(IF(W68&lt;&gt;"",IF(W68&lt;&gt;0,INDEX(
INDIRECT("'シフト一覧（転載）'!"&amp;W68&amp;":AK100"),1,
MATCH(1,INDEX((LEN(INDIRECT("'シフト一覧（転載）'!"&amp;W68&amp;":AK100"))&gt;0)
*(INDIRECT("'シフト一覧（転載）'!"&amp;W68&amp;":AK100")&lt;&gt;"休み"),1,0),0)),0),""),$F$9&amp;"保育無し")</f>
        <v>0</v>
      </c>
      <c r="Y68" s="20">
        <f t="array" aca="1" ref="Y68" ca="1">IFERROR(IF(W68&lt;&gt;0,ADDRESS(ROW(INDIRECT(W68)),
    COLUMN(INDIRECT(W68)) - 1 +
    MATCH(1,INDEX((LEN(INDIRECT("'シフト一覧（転載）'!"&amp;W68&amp;":AK100"))&gt;0)
            *(INDIRECT("'シフト一覧（転載）'!"&amp;W68&amp;":AK100")&lt;&gt;"休み"),
            1,0),0)+1,4),0),"")</f>
        <v>0</v>
      </c>
      <c r="Z68" s="20">
        <f t="array" aca="1" ref="Z68" ca="1">IFERROR(IF(Y68&lt;&gt;"",IF(Y68&lt;&gt;0,INDEX(
INDIRECT("'シフト一覧（転載）'!"&amp;Y68&amp;":AK100"),1,
MATCH(1,INDEX((LEN(INDIRECT("'シフト一覧（転載）'!"&amp;Y68&amp;":AK100"))&gt;0)
*(INDIRECT("'シフト一覧（転載）'!"&amp;Y68&amp;":AK100")&lt;&gt;"休み"),1,0),0)),0),""),$F$9&amp;"保育無し")</f>
        <v>0</v>
      </c>
      <c r="AA68" s="20">
        <f t="array" aca="1" ref="AA68" ca="1">IFERROR(IF(Y68&lt;&gt;0,ADDRESS(ROW(INDIRECT(Y68)),
    COLUMN(INDIRECT(Y68)) - 1 +
    MATCH(1,INDEX((LEN(INDIRECT("'シフト一覧（転載）'!"&amp;Y68&amp;":AK100"))&gt;0)
            *(INDIRECT("'シフト一覧（転載）'!"&amp;Y68&amp;":AK100")&lt;&gt;"休み"),
            1,0),0)+1,4),0),"")</f>
        <v>0</v>
      </c>
      <c r="AB68" s="20">
        <f t="array" aca="1" ref="AB68" ca="1">IFERROR(IF(AA68&lt;&gt;"",IF(AA68&lt;&gt;0,INDEX(
INDIRECT("'シフト一覧（転載）'!"&amp;AA68&amp;":AK100"),1,
MATCH(1,INDEX((LEN(INDIRECT("'シフト一覧（転載）'!"&amp;AA68&amp;":AK100"))&gt;0)
*(INDIRECT("'シフト一覧（転載）'!"&amp;AA68&amp;":AK100")&lt;&gt;"休み"),1,0),0)),0),""),$F$9&amp;"保育無し")</f>
        <v>0</v>
      </c>
      <c r="AC68" s="20">
        <f t="array" aca="1" ref="AC68" ca="1">IFERROR(IF(AA68&lt;&gt;0,ADDRESS(ROW(INDIRECT(AA68)),
    COLUMN(INDIRECT(AA68)) - 1 +
    MATCH(1,INDEX((LEN(INDIRECT("'シフト一覧（転載）'!"&amp;AA68&amp;":AK100"))&gt;0)
            *(INDIRECT("'シフト一覧（転載）'!"&amp;AA68&amp;":AK100")&lt;&gt;"休み"),
            1,0),0)+1,4),0),"")</f>
        <v>0</v>
      </c>
      <c r="AD68" s="20">
        <f t="array" aca="1" ref="AD68" ca="1">IFERROR(IF(AC68&lt;&gt;"",IF(AC68&lt;&gt;0,INDEX(
INDIRECT("'シフト一覧（転載）'!"&amp;AC68&amp;":AK100"),1,
MATCH(1,INDEX((LEN(INDIRECT("'シフト一覧（転載）'!"&amp;AC68&amp;":AK100"))&gt;0)
*(INDIRECT("'シフト一覧（転載）'!"&amp;AC68&amp;":AK100")&lt;&gt;"休み"),1,0),0)),0),""),$F$9&amp;"保育無し")</f>
        <v>0</v>
      </c>
      <c r="AE68" s="20">
        <f t="array" aca="1" ref="AE68" ca="1">IFERROR(IF(AC68&lt;&gt;0,ADDRESS(ROW(INDIRECT(AC68)),
    COLUMN(INDIRECT(AC68)) - 1 +
    MATCH(1,INDEX((LEN(INDIRECT("'シフト一覧（転載）'!"&amp;AC68&amp;":AK100"))&gt;0)
            *(INDIRECT("'シフト一覧（転載）'!"&amp;AC68&amp;":AK100")&lt;&gt;"休み"),
            1,0),0)+1,4),0),"")</f>
        <v>0</v>
      </c>
      <c r="AF68" s="20">
        <f t="array" aca="1" ref="AF68" ca="1">IFERROR(IF(AE68&lt;&gt;"",IF(AE68&lt;&gt;0,INDEX(
INDIRECT("'シフト一覧（転載）'!"&amp;AE68&amp;":AK100"),1,
MATCH(1,INDEX((LEN(INDIRECT("'シフト一覧（転載）'!"&amp;AE68&amp;":AK100"))&gt;0)
*(INDIRECT("'シフト一覧（転載）'!"&amp;AE68&amp;":AK100")&lt;&gt;"休み"),1,0),0)),0),""),$F$9&amp;"保育無し")</f>
        <v>0</v>
      </c>
      <c r="AG68" s="20">
        <f t="array" aca="1" ref="AG68" ca="1">IFERROR(IF(AE68&lt;&gt;0,ADDRESS(ROW(INDIRECT(AE68)),
    COLUMN(INDIRECT(AE68)) - 1 +
    MATCH(1,INDEX((LEN(INDIRECT("'シフト一覧（転載）'!"&amp;AE68&amp;":AK100"))&gt;0)
            *(INDIRECT("'シフト一覧（転載）'!"&amp;AE68&amp;":AK100")&lt;&gt;"休み"),
            1,0),0)+1,4),0),"")</f>
        <v>0</v>
      </c>
      <c r="AH68" s="20">
        <f t="array" aca="1" ref="AH68" ca="1">IFERROR(IF(AG68&lt;&gt;"",IF(AG68&lt;&gt;0,INDEX(
INDIRECT("'シフト一覧（転載）'!"&amp;AG68&amp;":AK100"),1,
MATCH(1,INDEX((LEN(INDIRECT("'シフト一覧（転載）'!"&amp;AG68&amp;":AK100"))&gt;0)
*(INDIRECT("'シフト一覧（転載）'!"&amp;AG68&amp;":AK100")&lt;&gt;"休み"),1,0),0)),0),""),$F$9&amp;"保育無し")</f>
        <v>0</v>
      </c>
      <c r="AI68" s="20">
        <f t="array" aca="1" ref="AI68" ca="1">IFERROR(IF(AG68&lt;&gt;0,ADDRESS(ROW(INDIRECT(AG68)),
    COLUMN(INDIRECT(AG68)) - 1 +
    MATCH(1,INDEX((LEN(INDIRECT("'シフト一覧（転載）'!"&amp;AG68&amp;":AK100"))&gt;0)
            *(INDIRECT("'シフト一覧（転載）'!"&amp;AG68&amp;":AK100")&lt;&gt;"休み"),
            1,0),0)+1,4),0),"")</f>
        <v>0</v>
      </c>
      <c r="AJ68" s="20">
        <f t="array" aca="1" ref="AJ68" ca="1">IFERROR(IF(AI68&lt;&gt;"",IF(AI68&lt;&gt;0,INDEX(
INDIRECT("'シフト一覧（転載）'!"&amp;AI68&amp;":AK100"),1,
MATCH(1,INDEX((LEN(INDIRECT("'シフト一覧（転載）'!"&amp;AI68&amp;":AK100"))&gt;0)
*(INDIRECT("'シフト一覧（転載）'!"&amp;AI68&amp;":AK100")&lt;&gt;"休み"),1,0),0)),0),""),$F$9&amp;"保育無し")</f>
        <v>0</v>
      </c>
      <c r="AK68" s="20">
        <f t="array" aca="1" ref="AK68" ca="1">IFERROR(IF(AI68&lt;&gt;0,ADDRESS(ROW(INDIRECT(AI68)),
    COLUMN(INDIRECT(AI68)) - 1 +
    MATCH(1,INDEX((LEN(INDIRECT("'シフト一覧（転載）'!"&amp;AI68&amp;":AK100"))&gt;0)
            *(INDIRECT("'シフト一覧（転載）'!"&amp;AI68&amp;":AK100")&lt;&gt;"休み"),
            1,0),0)+1,4),0),"")</f>
        <v>0</v>
      </c>
      <c r="AL68" s="20">
        <f t="array" aca="1" ref="AL68" ca="1">IFERROR(IF(AK68&lt;&gt;"",IF(AK68&lt;&gt;0,INDEX(
INDIRECT("'シフト一覧（転載）'!"&amp;AK68&amp;":AK100"),1,
MATCH(1,INDEX((LEN(INDIRECT("'シフト一覧（転載）'!"&amp;AK68&amp;":AK100"))&gt;0)
*(INDIRECT("'シフト一覧（転載）'!"&amp;AK68&amp;":AK100")&lt;&gt;"休み"),1,0),0)),0),""),$F$9&amp;"保育無し")</f>
        <v>0</v>
      </c>
      <c r="AM68" s="20">
        <f t="array" aca="1" ref="AM68" ca="1">IFERROR(IF(AK68&lt;&gt;0,ADDRESS(ROW(INDIRECT(AK68)),
    COLUMN(INDIRECT(AK68)) - 1 +
    MATCH(1,INDEX((LEN(INDIRECT("'シフト一覧（転載）'!"&amp;AK68&amp;":AK100"))&gt;0)
            *(INDIRECT("'シフト一覧（転載）'!"&amp;AK68&amp;":AK100")&lt;&gt;"休み"),
            1,0),0)+1,4),0),"")</f>
        <v>0</v>
      </c>
      <c r="AN68" s="20">
        <f t="array" aca="1" ref="AN68" ca="1">IFERROR(IF(AM68&lt;&gt;"",IF(AM68&lt;&gt;0,INDEX(
INDIRECT("'シフト一覧（転載）'!"&amp;AM68&amp;":AK100"),1,
MATCH(1,INDEX((LEN(INDIRECT("'シフト一覧（転載）'!"&amp;AM68&amp;":AK100"))&gt;0)
*(INDIRECT("'シフト一覧（転載）'!"&amp;AM68&amp;":AK100")&lt;&gt;"休み"),1,0),0)),0),""),$F$9&amp;"保育無し")</f>
        <v>0</v>
      </c>
      <c r="AO68" s="20">
        <f t="array" aca="1" ref="AO68" ca="1">IFERROR(IF(AM68&lt;&gt;0,ADDRESS(ROW(INDIRECT(AM68)),
    COLUMN(INDIRECT(AM68)) - 1 +
    MATCH(1,INDEX((LEN(INDIRECT("'シフト一覧（転載）'!"&amp;AM68&amp;":AK100"))&gt;0)
            *(INDIRECT("'シフト一覧（転載）'!"&amp;AM68&amp;":AK100")&lt;&gt;"休み"),
            1,0),0)+1,4),0),"")</f>
        <v>0</v>
      </c>
      <c r="AP68" s="20">
        <f t="array" aca="1" ref="AP68" ca="1">IFERROR(IF(AO68&lt;&gt;"",IF(AO68&lt;&gt;0,INDEX(
INDIRECT("'シフト一覧（転載）'!"&amp;AO68&amp;":AK100"),1,
MATCH(1,INDEX((LEN(INDIRECT("'シフト一覧（転載）'!"&amp;AO68&amp;":AK100"))&gt;0)
*(INDIRECT("'シフト一覧（転載）'!"&amp;AO68&amp;":AK100")&lt;&gt;"休み"),1,0),0)),0),""),$F$9&amp;"保育無し")</f>
        <v>0</v>
      </c>
      <c r="AQ68" s="20">
        <f t="array" aca="1" ref="AQ68" ca="1">IFERROR(IF(AO68&lt;&gt;0,ADDRESS(ROW(INDIRECT(AO68)),
    COLUMN(INDIRECT(AO68)) - 1 +
    MATCH(1,INDEX((LEN(INDIRECT("'シフト一覧（転載）'!"&amp;AO68&amp;":AK100"))&gt;0)
            *(INDIRECT("'シフト一覧（転載）'!"&amp;AO68&amp;":AK100")&lt;&gt;"休み"),
            1,0),0)+1,4),0),"")</f>
        <v>0</v>
      </c>
      <c r="AR68" s="20">
        <f t="array" aca="1" ref="AR68" ca="1">IFERROR(IF(AQ68&lt;&gt;"",IF(AQ68&lt;&gt;0,INDEX(
INDIRECT("'シフト一覧（転載）'!"&amp;AQ68&amp;":AK100"),1,
MATCH(1,INDEX((LEN(INDIRECT("'シフト一覧（転載）'!"&amp;AQ68&amp;":AK100"))&gt;0)
*(INDIRECT("'シフト一覧（転載）'!"&amp;AQ68&amp;":AK100")&lt;&gt;"休み"),1,0),0)),0),""),$F$9&amp;"保育無し")</f>
        <v>0</v>
      </c>
      <c r="AS68" s="20">
        <f t="array" aca="1" ref="AS68" ca="1">IFERROR(IF(AQ68&lt;&gt;0,ADDRESS(ROW(INDIRECT(AQ68)),
    COLUMN(INDIRECT(AQ68)) - 1 +
    MATCH(1,INDEX((LEN(INDIRECT("'シフト一覧（転載）'!"&amp;AQ68&amp;":AK100"))&gt;0)
            *(INDIRECT("'シフト一覧（転載）'!"&amp;AQ68&amp;":AK100")&lt;&gt;"休み"),
            1,0),0)+1,4),0),"")</f>
        <v>0</v>
      </c>
      <c r="AT68" s="20">
        <f t="array" aca="1" ref="AT68" ca="1">IFERROR(IF(AS68&lt;&gt;"",IF(AS68&lt;&gt;0,INDEX(
INDIRECT("'シフト一覧（転載）'!"&amp;AS68&amp;":AK100"),1,
MATCH(1,INDEX((LEN(INDIRECT("'シフト一覧（転載）'!"&amp;AS68&amp;":AK100"))&gt;0)
*(INDIRECT("'シフト一覧（転載）'!"&amp;AS68&amp;":AK100")&lt;&gt;"休み"),1,0),0)),0),""),$F$9&amp;"保育無し")</f>
        <v>0</v>
      </c>
      <c r="AU68" s="20">
        <f t="array" aca="1" ref="AU68" ca="1">IFERROR(IF(AS68&lt;&gt;0,ADDRESS(ROW(INDIRECT(AS68)),
    COLUMN(INDIRECT(AS68)) - 1 +
    MATCH(1,INDEX((LEN(INDIRECT("'シフト一覧（転載）'!"&amp;AS68&amp;":AK100"))&gt;0)
            *(INDIRECT("'シフト一覧（転載）'!"&amp;AS68&amp;":AK100")&lt;&gt;"休み"),
            1,0),0)+1,4),0),"")</f>
        <v>0</v>
      </c>
      <c r="AV68" s="20">
        <f t="array" aca="1" ref="AV68" ca="1">IFERROR(IF(AU68&lt;&gt;"",IF(AU68&lt;&gt;0,INDEX(
INDIRECT("'シフト一覧（転載）'!"&amp;AU68&amp;":AK100"),1,
MATCH(1,INDEX((LEN(INDIRECT("'シフト一覧（転載）'!"&amp;AU68&amp;":AK100"))&gt;0)
*(INDIRECT("'シフト一覧（転載）'!"&amp;AU68&amp;":AK100")&lt;&gt;"休み"),1,0),0)),0),""),$F$9&amp;"保育無し")</f>
        <v>0</v>
      </c>
      <c r="AW68" s="20">
        <f t="array" aca="1" ref="AW68" ca="1">IFERROR(IF(AU68&lt;&gt;0,ADDRESS(ROW(INDIRECT(AU68)),
    COLUMN(INDIRECT(AU68)) - 1 +
    MATCH(1,INDEX((LEN(INDIRECT("'シフト一覧（転載）'!"&amp;AU68&amp;":AK100"))&gt;0)
            *(INDIRECT("'シフト一覧（転載）'!"&amp;AU68&amp;":AK100")&lt;&gt;"休み"),
            1,0),0)+1,4),0),"")</f>
        <v>0</v>
      </c>
      <c r="AX68" s="20">
        <f t="array" aca="1" ref="AX68" ca="1">IFERROR(IF(AW68&lt;&gt;"",IF(AW68&lt;&gt;0,INDEX(
INDIRECT("'シフト一覧（転載）'!"&amp;AW68&amp;":AK100"),1,
MATCH(1,INDEX((LEN(INDIRECT("'シフト一覧（転載）'!"&amp;AW68&amp;":AK100"))&gt;0)
*(INDIRECT("'シフト一覧（転載）'!"&amp;AW68&amp;":AK100")&lt;&gt;"休み"),1,0),0)),0),""),$F$9&amp;"保育無し")</f>
        <v>0</v>
      </c>
      <c r="AY68" s="20">
        <f t="array" aca="1" ref="AY68" ca="1">IFERROR(IF(AW68&lt;&gt;0,ADDRESS(ROW(INDIRECT(AW68)),
    COLUMN(INDIRECT(AW68)) - 1 +
    MATCH(1,INDEX((LEN(INDIRECT("'シフト一覧（転載）'!"&amp;AW68&amp;":AK100"))&gt;0)
            *(INDIRECT("'シフト一覧（転載）'!"&amp;AW68&amp;":AK100")&lt;&gt;"休み"),
            1,0),0)+1,4),0),"")</f>
        <v>0</v>
      </c>
      <c r="AZ68" s="20">
        <f t="array" aca="1" ref="AZ68" ca="1">IFERROR(IF(AY68&lt;&gt;"",IF(AY68&lt;&gt;0,INDEX(
INDIRECT("'シフト一覧（転載）'!"&amp;AY68&amp;":AK100"),1,
MATCH(1,INDEX((LEN(INDIRECT("'シフト一覧（転載）'!"&amp;AY68&amp;":AK100"))&gt;0)
*(INDIRECT("'シフト一覧（転載）'!"&amp;AY68&amp;":AK100")&lt;&gt;"休み"),1,0),0)),0),""),$F$9&amp;"保育無し")</f>
        <v>0</v>
      </c>
      <c r="BA68" s="20">
        <f t="array" aca="1" ref="BA68" ca="1">IFERROR(IF(AY68&lt;&gt;0,ADDRESS(ROW(INDIRECT(AY68)),
    COLUMN(INDIRECT(AY68)) - 1 +
    MATCH(1,INDEX((LEN(INDIRECT("'シフト一覧（転載）'!"&amp;AY68&amp;":AK100"))&gt;0)
            *(INDIRECT("'シフト一覧（転載）'!"&amp;AY68&amp;":AK100")&lt;&gt;"休み"),
            1,0),0)+1,4),0),"")</f>
        <v>0</v>
      </c>
      <c r="BB68" s="20">
        <f t="array" aca="1" ref="BB68" ca="1">IFERROR(IF(BA68&lt;&gt;"",IF(BA68&lt;&gt;0,INDEX(
INDIRECT("'シフト一覧（転載）'!"&amp;BA68&amp;":AK100"),1,
MATCH(1,INDEX((LEN(INDIRECT("'シフト一覧（転載）'!"&amp;BA68&amp;":AK100"))&gt;0)
*(INDIRECT("'シフト一覧（転載）'!"&amp;BA68&amp;":AK100")&lt;&gt;"休み"),1,0),0)),0),""),$F$9&amp;"保育無し")</f>
        <v>0</v>
      </c>
      <c r="BC68" s="20">
        <f t="array" aca="1" ref="BC68" ca="1">IFERROR(IF(BA68&lt;&gt;0,ADDRESS(ROW(INDIRECT(BA68)),
    COLUMN(INDIRECT(BA68)) - 1 +
    MATCH(1,INDEX((LEN(INDIRECT("'シフト一覧（転載）'!"&amp;BA68&amp;":AK100"))&gt;0)
            *(INDIRECT("'シフト一覧（転載）'!"&amp;BA68&amp;":AK100")&lt;&gt;"休み"),
            1,0),0)+1,4),0),"")</f>
        <v>0</v>
      </c>
      <c r="BD68" s="20">
        <f t="array" aca="1" ref="BD68" ca="1">IFERROR(IF(BC68&lt;&gt;"",IF(BC68&lt;&gt;0,INDEX(
INDIRECT("'シフト一覧（転載）'!"&amp;BC68&amp;":AK100"),1,
MATCH(1,INDEX((LEN(INDIRECT("'シフト一覧（転載）'!"&amp;BC68&amp;":AK100"))&gt;0)
*(INDIRECT("'シフト一覧（転載）'!"&amp;BC68&amp;":AK100")&lt;&gt;"休み"),1,0),0)),0),""),$F$9&amp;"保育無し")</f>
        <v>0</v>
      </c>
      <c r="BE68" s="20">
        <f t="array" aca="1" ref="BE68" ca="1">IFERROR(IF(BC68&lt;&gt;0,ADDRESS(ROW(INDIRECT(BC68)),
    COLUMN(INDIRECT(BC68)) - 1 +
    MATCH(1,INDEX((LEN(INDIRECT("'シフト一覧（転載）'!"&amp;BC68&amp;":AK100"))&gt;0)
            *(INDIRECT("'シフト一覧（転載）'!"&amp;BC68&amp;":AK100")&lt;&gt;"休み"),
            1,0),0)+1,4),0),"")</f>
        <v>0</v>
      </c>
      <c r="BF68" s="20">
        <f t="array" aca="1" ref="BF68" ca="1">IFERROR(IF(BE68&lt;&gt;"",IF(BE68&lt;&gt;0,INDEX(
INDIRECT("'シフト一覧（転載）'!"&amp;BE68&amp;":AK100"),1,
MATCH(1,INDEX((LEN(INDIRECT("'シフト一覧（転載）'!"&amp;BE68&amp;":AK100"))&gt;0)
*(INDIRECT("'シフト一覧（転載）'!"&amp;BE68&amp;":AK100")&lt;&gt;"休み"),1,0),0)),0),""),$F$9&amp;"保育無し")</f>
        <v>0</v>
      </c>
      <c r="BG68" s="20">
        <f t="array" aca="1" ref="BG68" ca="1">IFERROR(IF(BE68&lt;&gt;0,ADDRESS(ROW(INDIRECT(BE68)),
    COLUMN(INDIRECT(BE68)) - 1 +
    MATCH(1,INDEX((LEN(INDIRECT("'シフト一覧（転載）'!"&amp;BE68&amp;":AK100"))&gt;0)
            *(INDIRECT("'シフト一覧（転載）'!"&amp;BE68&amp;":AK100")&lt;&gt;"休み"),
            1,0),0)+1,4),0),"")</f>
        <v>0</v>
      </c>
      <c r="BH68" s="20">
        <f t="array" aca="1" ref="BH68" ca="1">IFERROR(IF(BG68&lt;&gt;"",IF(BG68&lt;&gt;0,INDEX(
INDIRECT("'シフト一覧（転載）'!"&amp;BG68&amp;":AK100"),1,
MATCH(1,INDEX((LEN(INDIRECT("'シフト一覧（転載）'!"&amp;BG68&amp;":AK100"))&gt;0)
*(INDIRECT("'シフト一覧（転載）'!"&amp;BG68&amp;":AK100")&lt;&gt;"休み"),1,0),0)),0),""),$F$9&amp;"保育無し")</f>
        <v>0</v>
      </c>
      <c r="BI68" s="20">
        <f t="array" aca="1" ref="BI68" ca="1">IFERROR(IF(BG68&lt;&gt;0,ADDRESS(ROW(INDIRECT(BG68)),
    COLUMN(INDIRECT(BG68)) - 1 +
    MATCH(1,INDEX((LEN(INDIRECT("'シフト一覧（転載）'!"&amp;BG68&amp;":AK100"))&gt;0)
            *(INDIRECT("'シフト一覧（転載）'!"&amp;BG68&amp;":AK100")&lt;&gt;"休み"),
            1,0),0)+1,4),0),"")</f>
        <v>0</v>
      </c>
      <c r="BJ68" s="20">
        <f t="array" aca="1" ref="BJ68" ca="1">IFERROR(IF(BI68&lt;&gt;"",IF(BI68&lt;&gt;0,INDEX(
INDIRECT("'シフト一覧（転載）'!"&amp;BI68&amp;":AK100"),1,
MATCH(1,INDEX((LEN(INDIRECT("'シフト一覧（転載）'!"&amp;BI68&amp;":AK100"))&gt;0)
*(INDIRECT("'シフト一覧（転載）'!"&amp;BI68&amp;":AK100")&lt;&gt;"休み"),1,0),0)),0),""),$F$9&amp;"保育無し")</f>
        <v>0</v>
      </c>
      <c r="BK68" s="20">
        <f t="array" aca="1" ref="BK68" ca="1">IFERROR(IF(BI68&lt;&gt;0,ADDRESS(ROW(INDIRECT(BI68)),
    COLUMN(INDIRECT(BI68)) - 1 +
    MATCH(1,INDEX((LEN(INDIRECT("'シフト一覧（転載）'!"&amp;BI68&amp;":AK100"))&gt;0)
            *(INDIRECT("'シフト一覧（転載）'!"&amp;BI68&amp;":AK100")&lt;&gt;"休み"),
            1,0),0)+1,4),0),"")</f>
        <v>0</v>
      </c>
      <c r="BL68" s="20">
        <f t="array" aca="1" ref="BL68" ca="1">IFERROR(IF(BK68&lt;&gt;"",IF(BK68&lt;&gt;0,INDEX(
INDIRECT("'シフト一覧（転載）'!"&amp;BK68&amp;":AK100"),1,
MATCH(1,INDEX((LEN(INDIRECT("'シフト一覧（転載）'!"&amp;BK68&amp;":AK100"))&gt;0)
*(INDIRECT("'シフト一覧（転載）'!"&amp;BK68&amp;":AK100")&lt;&gt;"休み"),1,0),0)),0),""),$F$9&amp;"保育無し")</f>
        <v>0</v>
      </c>
      <c r="BM68" s="20">
        <f t="array" aca="1" ref="BM68" ca="1">IFERROR(IF(BK68&lt;&gt;0,ADDRESS(ROW(INDIRECT(BK68)),
    COLUMN(INDIRECT(BK68)) - 1 +
    MATCH(1,INDEX((LEN(INDIRECT("'シフト一覧（転載）'!"&amp;BK68&amp;":AK100"))&gt;0)
            *(INDIRECT("'シフト一覧（転載）'!"&amp;BK68&amp;":AK100")&lt;&gt;"休み"),
            1,0),0)+1,4),0),"")</f>
        <v>0</v>
      </c>
      <c r="BN68" s="20">
        <f t="array" aca="1" ref="BN68" ca="1">IFERROR(IF(BM68&lt;&gt;"",IF(BM68&lt;&gt;0,INDEX(
INDIRECT("'シフト一覧（転載）'!"&amp;BM68&amp;":AK100"),1,
MATCH(1,INDEX((LEN(INDIRECT("'シフト一覧（転載）'!"&amp;BM68&amp;":AK100"))&gt;0)
*(INDIRECT("'シフト一覧（転載）'!"&amp;BM68&amp;":AK100")&lt;&gt;"休み"),1,0),0)),0),""),$F$9&amp;"保育無し")</f>
        <v>0</v>
      </c>
      <c r="BO68" s="20">
        <f t="array" aca="1" ref="BO68" ca="1">IFERROR(IF(BM68&lt;&gt;0,ADDRESS(ROW(INDIRECT(BM68)),
    COLUMN(INDIRECT(BM68)) - 1 +
    MATCH(1,INDEX((LEN(INDIRECT("'シフト一覧（転載）'!"&amp;BM68&amp;":AK100"))&gt;0)
            *(INDIRECT("'シフト一覧（転載）'!"&amp;BM68&amp;":AK100")&lt;&gt;"休み"),
            1,0),0)+1,4),0),"")</f>
        <v>0</v>
      </c>
      <c r="BP68" s="20">
        <f t="array" aca="1" ref="BP68" ca="1">IFERROR(IF(BO68&lt;&gt;"",IF(BO68&lt;&gt;0,INDEX(
INDIRECT("'シフト一覧（転載）'!"&amp;BO68&amp;":AK100"),1,
MATCH(1,INDEX((LEN(INDIRECT("'シフト一覧（転載）'!"&amp;BO68&amp;":AK100"))&gt;0)
*(INDIRECT("'シフト一覧（転載）'!"&amp;BO68&amp;":AK100")&lt;&gt;"休み"),1,0),0)),0),""),$F$9&amp;"保育無し")</f>
        <v>0</v>
      </c>
      <c r="BQ68" s="20">
        <f t="array" aca="1" ref="BQ68" ca="1">IFERROR(IF(BO68&lt;&gt;0,ADDRESS(ROW(INDIRECT(BO68)),
    COLUMN(INDIRECT(BO68)) - 1 +
    MATCH(1,INDEX((LEN(INDIRECT("'シフト一覧（転載）'!"&amp;BO68&amp;":AK100"))&gt;0)
            *(INDIRECT("'シフト一覧（転載）'!"&amp;BO68&amp;":AK100")&lt;&gt;"休み"),
            1,0),0)+1,4),0),"")</f>
        <v>0</v>
      </c>
      <c r="BR68" s="20">
        <f t="array" aca="1" ref="BR68" ca="1">IFERROR(IF(BQ68&lt;&gt;"",IF(BQ68&lt;&gt;0,INDEX(
INDIRECT("'シフト一覧（転載）'!"&amp;BQ68&amp;":AK100"),1,
MATCH(1,INDEX((LEN(INDIRECT("'シフト一覧（転載）'!"&amp;BQ68&amp;":AK100"))&gt;0)
*(INDIRECT("'シフト一覧（転載）'!"&amp;BQ68&amp;":AK100")&lt;&gt;"休み"),1,0),0)),0),""),$F$9&amp;"保育無し")</f>
        <v>0</v>
      </c>
      <c r="BS68" s="20">
        <f t="array" aca="1" ref="BS68" ca="1">IFERROR(IF(BQ68&lt;&gt;0,ADDRESS(ROW(INDIRECT(BQ68)),
    COLUMN(INDIRECT(BQ68)) - 1 +
    MATCH(1,INDEX((LEN(INDIRECT("'シフト一覧（転載）'!"&amp;BQ68&amp;":AK100"))&gt;0)
            *(INDIRECT("'シフト一覧（転載）'!"&amp;BQ68&amp;":AK100")&lt;&gt;"休み"),
            1,0),0)+1,4),0),"")</f>
        <v>0</v>
      </c>
      <c r="BT68" s="20">
        <f t="array" aca="1" ref="BT68" ca="1">IFERROR(IF(BS68&lt;&gt;"",IF(BS68&lt;&gt;0,INDEX(
INDIRECT("'シフト一覧（転載）'!"&amp;BS68&amp;":AK100"),1,
MATCH(1,INDEX((LEN(INDIRECT("'シフト一覧（転載）'!"&amp;BS68&amp;":AK100"))&gt;0)
*(INDIRECT("'シフト一覧（転載）'!"&amp;BS68&amp;":AK100")&lt;&gt;"休み"),1,0),0)),0),""),$F$9&amp;"保育無し")</f>
        <v>0</v>
      </c>
      <c r="BU68" s="20">
        <f t="array" aca="1" ref="BU68" ca="1">IFERROR(IF(BS68&lt;&gt;0,ADDRESS(ROW(INDIRECT(BS68)),
    COLUMN(INDIRECT(BS68)) - 1 +
    MATCH(1,INDEX((LEN(INDIRECT("'シフト一覧（転載）'!"&amp;BS68&amp;":AK100"))&gt;0)
            *(INDIRECT("'シフト一覧（転載）'!"&amp;BS68&amp;":AK100")&lt;&gt;"休み"),
            1,0),0)+1,4),0),"")</f>
        <v>0</v>
      </c>
      <c r="BV68" s="20">
        <f t="array" aca="1" ref="BV68" ca="1">IFERROR(IF(BU68&lt;&gt;"",IF(BU68&lt;&gt;0,INDEX(
INDIRECT("'シフト一覧（転載）'!"&amp;BU68&amp;":AK100"),1,
MATCH(1,INDEX((LEN(INDIRECT("'シフト一覧（転載）'!"&amp;BU68&amp;":AK100"))&gt;0)
*(INDIRECT("'シフト一覧（転載）'!"&amp;BU68&amp;":AK100")&lt;&gt;"休み"),1,0),0)),0),""),$F$9&amp;"保育無し")</f>
        <v>0</v>
      </c>
      <c r="BW68" s="20">
        <f t="array" aca="1" ref="BW68" ca="1">IFERROR(IF(BU68&lt;&gt;0,ADDRESS(ROW(INDIRECT(BU68)),
    COLUMN(INDIRECT(BU68)) - 1 +
    MATCH(1,INDEX((LEN(INDIRECT("'シフト一覧（転載）'!"&amp;BU68&amp;":AK100"))&gt;0)
            *(INDIRECT("'シフト一覧（転載）'!"&amp;BU68&amp;":AK100")&lt;&gt;"休み"),
            1,0),0)+1,4),0),"")</f>
        <v>0</v>
      </c>
      <c r="BX68" s="20">
        <f t="array" aca="1" ref="BX68" ca="1">IFERROR(IF(BW68&lt;&gt;"",IF(BW68&lt;&gt;0,INDEX(
INDIRECT("'シフト一覧（転載）'!"&amp;BW68&amp;":AK100"),1,
MATCH(1,INDEX((LEN(INDIRECT("'シフト一覧（転載）'!"&amp;BW68&amp;":AK100"))&gt;0)
*(INDIRECT("'シフト一覧（転載）'!"&amp;BW68&amp;":AK100")&lt;&gt;"休み"),1,0),0)),0),""),$F$9&amp;"保育無し")</f>
        <v>0</v>
      </c>
      <c r="BY68" s="20">
        <f t="array" aca="1" ref="BY68" ca="1">IFERROR(IF(BW68&lt;&gt;0,ADDRESS(ROW(INDIRECT(BW68)),
    COLUMN(INDIRECT(BW68)) - 1 +
    MATCH(1,INDEX((LEN(INDIRECT("'シフト一覧（転載）'!"&amp;BW68&amp;":AK100"))&gt;0)
            *(INDIRECT("'シフト一覧（転載）'!"&amp;BW68&amp;":AK100")&lt;&gt;"休み"),
            1,0),0)+1,4),0),"")</f>
        <v>0</v>
      </c>
    </row>
    <row r="69" spans="12:77" ht="19.8" customHeight="1" x14ac:dyDescent="0.2">
      <c r="M69" s="104"/>
      <c r="N69" s="102"/>
      <c r="O69" s="107"/>
      <c r="P69" s="21" cm="1">
        <f t="array" aca="1" ref="P69" ca="1">IFERROR(IF(M68&lt;&gt;"",INDEX('シフト一覧（転載）'!$F$8:$AK$100,
    MATCH(1,(ISNUMBER(SEARCH(M68,'シフト一覧（転載）'!$A$8:$A$100)))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MATCH(1,(ISNUMBER(SEARCH(M68,'シフト一覧（転載）'!$A$8:$A$100)))
                *(ISNUMBER(SEARCH($F$9,'シフト一覧（転載）'!$B$8:$B$100))),
                0),0),0)),0),"")</f>
        <v>0</v>
      </c>
      <c r="Q69" s="21">
        <f ca="1">IF(P68=0,0,
IF(OR(P68="",COUNTIF(P68,"*保育無し*")),"",
IF(MOD(P69-P68,1)*24&gt;=8,1,
IF(MOD(P69-P68,1)*24&gt;=6,0.75,0))))</f>
        <v>0</v>
      </c>
      <c r="R69" s="21">
        <f t="array" aca="1" ref="R69" ca="1">IFERROR(IF(Q68&lt;&gt;0,INDEX(
INDIRECT("'シフト一覧（転載）'!"&amp;Q68&amp;":AK100"),1+1,
MATCH(1,INDEX((LEN(INDIRECT("'シフト一覧（転載）'!"&amp;Q68&amp;":AK100"))&gt;0)
*(INDIRECT("'シフト一覧（転載）'!"&amp;Q68&amp;":AK100")&lt;&gt;"休み"),1,0),0)),0),"")</f>
        <v>0</v>
      </c>
      <c r="S69" s="21">
        <f ca="1">IF(R68=0,0,
IF(OR(R68="",COUNTIF(R68,"*保育無し*")),"",
IF(MOD(R69-R68,1)*24&gt;=8,1,
IF(MOD(R69-R68,1)*24&gt;=6,0.75,0))))</f>
        <v>0</v>
      </c>
      <c r="T69" s="21">
        <f t="array" aca="1" ref="T69" ca="1">IFERROR(IF(S68&lt;&gt;0,INDEX(
INDIRECT("'シフト一覧（転載）'!"&amp;S68&amp;":AK100"),1+1,
MATCH(1,INDEX((LEN(INDIRECT("'シフト一覧（転載）'!"&amp;S68&amp;":AK100"))&gt;0)
*(INDIRECT("'シフト一覧（転載）'!"&amp;S68&amp;":AK100")&lt;&gt;"休み"),1,0),0)),0),"")</f>
        <v>0</v>
      </c>
      <c r="U69" s="21">
        <f ca="1">IF(T68=0,0,
IF(OR(T68="",COUNTIF(T68,"*保育無し*")),"",
IF(MOD(T69-T68,1)*24&gt;=8,1,
IF(MOD(T69-T68,1)*24&gt;=6,0.75,0))))</f>
        <v>0</v>
      </c>
      <c r="V69" s="21">
        <f t="array" aca="1" ref="V69" ca="1">IFERROR(IF(U68&lt;&gt;0,INDEX(
INDIRECT("'シフト一覧（転載）'!"&amp;U68&amp;":AK100"),1+1,
MATCH(1,INDEX((LEN(INDIRECT("'シフト一覧（転載）'!"&amp;U68&amp;":AK100"))&gt;0)
*(INDIRECT("'シフト一覧（転載）'!"&amp;U68&amp;":AK100")&lt;&gt;"休み"),1,0),0)),0),"")</f>
        <v>0</v>
      </c>
      <c r="W69" s="21">
        <f ca="1">IF(V68=0,0,
IF(OR(V68="",COUNTIF(V68,"*保育無し*")),"",
IF(MOD(V69-V68,1)*24&gt;=8,1,
IF(MOD(V69-V68,1)*24&gt;=6,0.75,0))))</f>
        <v>0</v>
      </c>
      <c r="X69" s="21">
        <f t="array" aca="1" ref="X69" ca="1">IFERROR(IF(W68&lt;&gt;0,INDEX(
INDIRECT("'シフト一覧（転載）'!"&amp;W68&amp;":AK100"),1+1,
MATCH(1,INDEX((LEN(INDIRECT("'シフト一覧（転載）'!"&amp;W68&amp;":AK100"))&gt;0)
*(INDIRECT("'シフト一覧（転載）'!"&amp;W68&amp;":AK100")&lt;&gt;"休み"),1,0),0)),0),"")</f>
        <v>0</v>
      </c>
      <c r="Y69" s="21">
        <f ca="1">IF(X68=0,0,
IF(OR(X68="",COUNTIF(X68,"*保育無し*")),"",
IF(MOD(X69-X68,1)*24&gt;=8,1,
IF(MOD(X69-X68,1)*24&gt;=6,0.75,0))))</f>
        <v>0</v>
      </c>
      <c r="Z69" s="21">
        <f t="array" aca="1" ref="Z69" ca="1">IFERROR(IF(Y68&lt;&gt;0,INDEX(
INDIRECT("'シフト一覧（転載）'!"&amp;Y68&amp;":AK100"),1+1,
MATCH(1,INDEX((LEN(INDIRECT("'シフト一覧（転載）'!"&amp;Y68&amp;":AK100"))&gt;0)
*(INDIRECT("'シフト一覧（転載）'!"&amp;Y68&amp;":AK100")&lt;&gt;"休み"),1,0),0)),0),"")</f>
        <v>0</v>
      </c>
      <c r="AA69" s="21">
        <f ca="1">IF(Z68=0,0,
IF(OR(Z68="",COUNTIF(Z68,"*保育無し*")),"",
IF(MOD(Z69-Z68,1)*24&gt;=8,1,
IF(MOD(Z69-Z68,1)*24&gt;=6,0.75,0))))</f>
        <v>0</v>
      </c>
      <c r="AB69" s="21">
        <f t="array" aca="1" ref="AB69" ca="1">IFERROR(IF(AA68&lt;&gt;0,INDEX(
INDIRECT("'シフト一覧（転載）'!"&amp;AA68&amp;":AK100"),1+1,
MATCH(1,INDEX((LEN(INDIRECT("'シフト一覧（転載）'!"&amp;AA68&amp;":AK100"))&gt;0)
*(INDIRECT("'シフト一覧（転載）'!"&amp;AA68&amp;":AK100")&lt;&gt;"休み"),1,0),0)),0),"")</f>
        <v>0</v>
      </c>
      <c r="AC69" s="21">
        <f ca="1">IF(AB68=0,0,
IF(OR(AB68="",COUNTIF(AB68,"*保育無し*")),"",
IF(MOD(AB69-AB68,1)*24&gt;=8,1,
IF(MOD(AB69-AB68,1)*24&gt;=6,0.75,0))))</f>
        <v>0</v>
      </c>
      <c r="AD69" s="21">
        <f t="array" aca="1" ref="AD69" ca="1">IFERROR(IF(AC68&lt;&gt;0,INDEX(
INDIRECT("'シフト一覧（転載）'!"&amp;AC68&amp;":AK100"),1+1,
MATCH(1,INDEX((LEN(INDIRECT("'シフト一覧（転載）'!"&amp;AC68&amp;":AK100"))&gt;0)
*(INDIRECT("'シフト一覧（転載）'!"&amp;AC68&amp;":AK100")&lt;&gt;"休み"),1,0),0)),0),"")</f>
        <v>0</v>
      </c>
      <c r="AE69" s="21">
        <f ca="1">IF(AD68=0,0,
IF(OR(AD68="",COUNTIF(AD68,"*保育無し*")),"",
IF(MOD(AD69-AD68,1)*24&gt;=8,1,
IF(MOD(AD69-AD68,1)*24&gt;=6,0.75,0))))</f>
        <v>0</v>
      </c>
      <c r="AF69" s="21">
        <f t="array" aca="1" ref="AF69" ca="1">IFERROR(IF(AE68&lt;&gt;0,INDEX(
INDIRECT("'シフト一覧（転載）'!"&amp;AE68&amp;":AK100"),1+1,
MATCH(1,INDEX((LEN(INDIRECT("'シフト一覧（転載）'!"&amp;AE68&amp;":AK100"))&gt;0)
*(INDIRECT("'シフト一覧（転載）'!"&amp;AE68&amp;":AK100")&lt;&gt;"休み"),1,0),0)),0),"")</f>
        <v>0</v>
      </c>
      <c r="AG69" s="21">
        <f ca="1">IF(AF68=0,0,
IF(OR(AF68="",COUNTIF(AF68,"*保育無し*")),"",
IF(MOD(AF69-AF68,1)*24&gt;=8,1,
IF(MOD(AF69-AF68,1)*24&gt;=6,0.75,0))))</f>
        <v>0</v>
      </c>
      <c r="AH69" s="21">
        <f t="array" aca="1" ref="AH69" ca="1">IFERROR(IF(AG68&lt;&gt;0,INDEX(
INDIRECT("'シフト一覧（転載）'!"&amp;AG68&amp;":AK100"),1+1,
MATCH(1,INDEX((LEN(INDIRECT("'シフト一覧（転載）'!"&amp;AG68&amp;":AK100"))&gt;0)
*(INDIRECT("'シフト一覧（転載）'!"&amp;AG68&amp;":AK100")&lt;&gt;"休み"),1,0),0)),0),"")</f>
        <v>0</v>
      </c>
      <c r="AI69" s="21">
        <f ca="1">IF(AH68=0,0,
IF(OR(AH68="",COUNTIF(AH68,"*保育無し*")),"",
IF(MOD(AH69-AH68,1)*24&gt;=8,1,
IF(MOD(AH69-AH68,1)*24&gt;=6,0.75,0))))</f>
        <v>0</v>
      </c>
      <c r="AJ69" s="21">
        <f t="array" aca="1" ref="AJ69" ca="1">IFERROR(IF(AI68&lt;&gt;0,INDEX(
INDIRECT("'シフト一覧（転載）'!"&amp;AI68&amp;":AK100"),1+1,
MATCH(1,INDEX((LEN(INDIRECT("'シフト一覧（転載）'!"&amp;AI68&amp;":AK100"))&gt;0)
*(INDIRECT("'シフト一覧（転載）'!"&amp;AI68&amp;":AK100")&lt;&gt;"休み"),1,0),0)),0),"")</f>
        <v>0</v>
      </c>
      <c r="AK69" s="21">
        <f ca="1">IF(AJ68=0,0,
IF(OR(AJ68="",COUNTIF(AJ68,"*保育無し*")),"",
IF(MOD(AJ69-AJ68,1)*24&gt;=8,1,
IF(MOD(AJ69-AJ68,1)*24&gt;=6,0.75,0))))</f>
        <v>0</v>
      </c>
      <c r="AL69" s="21">
        <f t="array" aca="1" ref="AL69" ca="1">IFERROR(IF(AK68&lt;&gt;0,INDEX(
INDIRECT("'シフト一覧（転載）'!"&amp;AK68&amp;":AK100"),1+1,
MATCH(1,INDEX((LEN(INDIRECT("'シフト一覧（転載）'!"&amp;AK68&amp;":AK100"))&gt;0)
*(INDIRECT("'シフト一覧（転載）'!"&amp;AK68&amp;":AK100")&lt;&gt;"休み"),1,0),0)),0),"")</f>
        <v>0</v>
      </c>
      <c r="AM69" s="21">
        <f ca="1">IF(AL68=0,0,
IF(OR(AL68="",COUNTIF(AL68,"*保育無し*")),"",
IF(MOD(AL69-AL68,1)*24&gt;=8,1,
IF(MOD(AL69-AL68,1)*24&gt;=6,0.75,0))))</f>
        <v>0</v>
      </c>
      <c r="AN69" s="21">
        <f t="array" aca="1" ref="AN69" ca="1">IFERROR(IF(AM68&lt;&gt;0,INDEX(
INDIRECT("'シフト一覧（転載）'!"&amp;AM68&amp;":AK100"),1+1,
MATCH(1,INDEX((LEN(INDIRECT("'シフト一覧（転載）'!"&amp;AM68&amp;":AK100"))&gt;0)
*(INDIRECT("'シフト一覧（転載）'!"&amp;AM68&amp;":AK100")&lt;&gt;"休み"),1,0),0)),0),"")</f>
        <v>0</v>
      </c>
      <c r="AO69" s="21">
        <f ca="1">IF(AN68=0,0,
IF(OR(AN68="",COUNTIF(AN68,"*保育無し*")),"",
IF(MOD(AN69-AN68,1)*24&gt;=8,1,
IF(MOD(AN69-AN68,1)*24&gt;=6,0.75,0))))</f>
        <v>0</v>
      </c>
      <c r="AP69" s="21">
        <f t="array" aca="1" ref="AP69" ca="1">IFERROR(IF(AO68&lt;&gt;0,INDEX(
INDIRECT("'シフト一覧（転載）'!"&amp;AO68&amp;":AK100"),1+1,
MATCH(1,INDEX((LEN(INDIRECT("'シフト一覧（転載）'!"&amp;AO68&amp;":AK100"))&gt;0)
*(INDIRECT("'シフト一覧（転載）'!"&amp;AO68&amp;":AK100")&lt;&gt;"休み"),1,0),0)),0),"")</f>
        <v>0</v>
      </c>
      <c r="AQ69" s="21">
        <f ca="1">IF(AP68=0,0,
IF(OR(AP68="",COUNTIF(AP68,"*保育無し*")),"",
IF(MOD(AP69-AP68,1)*24&gt;=8,1,
IF(MOD(AP69-AP68,1)*24&gt;=6,0.75,0))))</f>
        <v>0</v>
      </c>
      <c r="AR69" s="21">
        <f t="array" aca="1" ref="AR69" ca="1">IFERROR(IF(AQ68&lt;&gt;0,INDEX(
INDIRECT("'シフト一覧（転載）'!"&amp;AQ68&amp;":AK100"),1+1,
MATCH(1,INDEX((LEN(INDIRECT("'シフト一覧（転載）'!"&amp;AQ68&amp;":AK100"))&gt;0)
*(INDIRECT("'シフト一覧（転載）'!"&amp;AQ68&amp;":AK100")&lt;&gt;"休み"),1,0),0)),0),"")</f>
        <v>0</v>
      </c>
      <c r="AS69" s="21">
        <f ca="1">IF(AR68=0,0,
IF(OR(AR68="",COUNTIF(AR68,"*保育無し*")),"",
IF(MOD(AR69-AR68,1)*24&gt;=8,1,
IF(MOD(AR69-AR68,1)*24&gt;=6,0.75,0))))</f>
        <v>0</v>
      </c>
      <c r="AT69" s="21">
        <f t="array" aca="1" ref="AT69" ca="1">IFERROR(IF(AS68&lt;&gt;0,INDEX(
INDIRECT("'シフト一覧（転載）'!"&amp;AS68&amp;":AK100"),1+1,
MATCH(1,INDEX((LEN(INDIRECT("'シフト一覧（転載）'!"&amp;AS68&amp;":AK100"))&gt;0)
*(INDIRECT("'シフト一覧（転載）'!"&amp;AS68&amp;":AK100")&lt;&gt;"休み"),1,0),0)),0),"")</f>
        <v>0</v>
      </c>
      <c r="AU69" s="21">
        <f ca="1">IF(AT68=0,0,
IF(OR(AT68="",COUNTIF(AT68,"*保育無し*")),"",
IF(MOD(AT69-AT68,1)*24&gt;=8,1,
IF(MOD(AT69-AT68,1)*24&gt;=6,0.75,0))))</f>
        <v>0</v>
      </c>
      <c r="AV69" s="21">
        <f t="array" aca="1" ref="AV69" ca="1">IFERROR(IF(AU68&lt;&gt;0,INDEX(
INDIRECT("'シフト一覧（転載）'!"&amp;AU68&amp;":AK100"),1+1,
MATCH(1,INDEX((LEN(INDIRECT("'シフト一覧（転載）'!"&amp;AU68&amp;":AK100"))&gt;0)
*(INDIRECT("'シフト一覧（転載）'!"&amp;AU68&amp;":AK100")&lt;&gt;"休み"),1,0),0)),0),"")</f>
        <v>0</v>
      </c>
      <c r="AW69" s="21">
        <f ca="1">IF(AV68=0,0,
IF(OR(AV68="",COUNTIF(AV68,"*保育無し*")),"",
IF(MOD(AV69-AV68,1)*24&gt;=8,1,
IF(MOD(AV69-AV68,1)*24&gt;=6,0.75,0))))</f>
        <v>0</v>
      </c>
      <c r="AX69" s="21">
        <f t="array" aca="1" ref="AX69" ca="1">IFERROR(IF(AW68&lt;&gt;0,INDEX(
INDIRECT("'シフト一覧（転載）'!"&amp;AW68&amp;":AK100"),1+1,
MATCH(1,INDEX((LEN(INDIRECT("'シフト一覧（転載）'!"&amp;AW68&amp;":AK100"))&gt;0)
*(INDIRECT("'シフト一覧（転載）'!"&amp;AW68&amp;":AK100")&lt;&gt;"休み"),1,0),0)),0),"")</f>
        <v>0</v>
      </c>
      <c r="AY69" s="21">
        <f ca="1">IF(AX68=0,0,
IF(OR(AX68="",COUNTIF(AX68,"*保育無し*")),"",
IF(MOD(AX69-AX68,1)*24&gt;=8,1,
IF(MOD(AX69-AX68,1)*24&gt;=6,0.75,0))))</f>
        <v>0</v>
      </c>
      <c r="AZ69" s="21">
        <f t="array" aca="1" ref="AZ69" ca="1">IFERROR(IF(AY68&lt;&gt;0,INDEX(
INDIRECT("'シフト一覧（転載）'!"&amp;AY68&amp;":AK100"),1+1,
MATCH(1,INDEX((LEN(INDIRECT("'シフト一覧（転載）'!"&amp;AY68&amp;":AK100"))&gt;0)
*(INDIRECT("'シフト一覧（転載）'!"&amp;AY68&amp;":AK100")&lt;&gt;"休み"),1,0),0)),0),"")</f>
        <v>0</v>
      </c>
      <c r="BA69" s="21">
        <f ca="1">IF(AZ68=0,0,
IF(OR(AZ68="",COUNTIF(AZ68,"*保育無し*")),"",
IF(MOD(AZ69-AZ68,1)*24&gt;=8,1,
IF(MOD(AZ69-AZ68,1)*24&gt;=6,0.75,0))))</f>
        <v>0</v>
      </c>
      <c r="BB69" s="21">
        <f t="array" aca="1" ref="BB69" ca="1">IFERROR(IF(BA68&lt;&gt;0,INDEX(
INDIRECT("'シフト一覧（転載）'!"&amp;BA68&amp;":AK100"),1+1,
MATCH(1,INDEX((LEN(INDIRECT("'シフト一覧（転載）'!"&amp;BA68&amp;":AK100"))&gt;0)
*(INDIRECT("'シフト一覧（転載）'!"&amp;BA68&amp;":AK100")&lt;&gt;"休み"),1,0),0)),0),"")</f>
        <v>0</v>
      </c>
      <c r="BC69" s="21">
        <f ca="1">IF(BB68=0,0,
IF(OR(BB68="",COUNTIF(BB68,"*保育無し*")),"",
IF(MOD(BB69-BB68,1)*24&gt;=8,1,
IF(MOD(BB69-BB68,1)*24&gt;=6,0.75,0))))</f>
        <v>0</v>
      </c>
      <c r="BD69" s="21">
        <f t="array" aca="1" ref="BD69" ca="1">IFERROR(IF(BC68&lt;&gt;0,INDEX(
INDIRECT("'シフト一覧（転載）'!"&amp;BC68&amp;":AK100"),1+1,
MATCH(1,INDEX((LEN(INDIRECT("'シフト一覧（転載）'!"&amp;BC68&amp;":AK100"))&gt;0)
*(INDIRECT("'シフト一覧（転載）'!"&amp;BC68&amp;":AK100")&lt;&gt;"休み"),1,0),0)),0),"")</f>
        <v>0</v>
      </c>
      <c r="BE69" s="21">
        <f ca="1">IF(BD68=0,0,
IF(OR(BD68="",COUNTIF(BD68,"*保育無し*")),"",
IF(MOD(BD69-BD68,1)*24&gt;=8,1,
IF(MOD(BD69-BD68,1)*24&gt;=6,0.75,0))))</f>
        <v>0</v>
      </c>
      <c r="BF69" s="21">
        <f t="array" aca="1" ref="BF69" ca="1">IFERROR(IF(BE68&lt;&gt;0,INDEX(
INDIRECT("'シフト一覧（転載）'!"&amp;BE68&amp;":AK100"),1+1,
MATCH(1,INDEX((LEN(INDIRECT("'シフト一覧（転載）'!"&amp;BE68&amp;":AK100"))&gt;0)
*(INDIRECT("'シフト一覧（転載）'!"&amp;BE68&amp;":AK100")&lt;&gt;"休み"),1,0),0)),0),"")</f>
        <v>0</v>
      </c>
      <c r="BG69" s="21">
        <f ca="1">IF(BF68=0,0,
IF(OR(BF68="",COUNTIF(BF68,"*保育無し*")),"",
IF(MOD(BF69-BF68,1)*24&gt;=8,1,
IF(MOD(BF69-BF68,1)*24&gt;=6,0.75,0))))</f>
        <v>0</v>
      </c>
      <c r="BH69" s="21">
        <f t="array" aca="1" ref="BH69" ca="1">IFERROR(IF(BG68&lt;&gt;0,INDEX(
INDIRECT("'シフト一覧（転載）'!"&amp;BG68&amp;":AK100"),1+1,
MATCH(1,INDEX((LEN(INDIRECT("'シフト一覧（転載）'!"&amp;BG68&amp;":AK100"))&gt;0)
*(INDIRECT("'シフト一覧（転載）'!"&amp;BG68&amp;":AK100")&lt;&gt;"休み"),1,0),0)),0),"")</f>
        <v>0</v>
      </c>
      <c r="BI69" s="21">
        <f ca="1">IF(BH68=0,0,
IF(OR(BH68="",COUNTIF(BH68,"*保育無し*")),"",
IF(MOD(BH69-BH68,1)*24&gt;=8,1,
IF(MOD(BH69-BH68,1)*24&gt;=6,0.75,0))))</f>
        <v>0</v>
      </c>
      <c r="BJ69" s="21">
        <f t="array" aca="1" ref="BJ69" ca="1">IFERROR(IF(BI68&lt;&gt;0,INDEX(
INDIRECT("'シフト一覧（転載）'!"&amp;BI68&amp;":AK100"),1+1,
MATCH(1,INDEX((LEN(INDIRECT("'シフト一覧（転載）'!"&amp;BI68&amp;":AK100"))&gt;0)
*(INDIRECT("'シフト一覧（転載）'!"&amp;BI68&amp;":AK100")&lt;&gt;"休み"),1,0),0)),0),"")</f>
        <v>0</v>
      </c>
      <c r="BK69" s="21">
        <f ca="1">IF(BJ68=0,0,
IF(OR(BJ68="",COUNTIF(BJ68,"*保育無し*")),"",
IF(MOD(BJ69-BJ68,1)*24&gt;=8,1,
IF(MOD(BJ69-BJ68,1)*24&gt;=6,0.75,0))))</f>
        <v>0</v>
      </c>
      <c r="BL69" s="21">
        <f t="array" aca="1" ref="BL69" ca="1">IFERROR(IF(BK68&lt;&gt;0,INDEX(
INDIRECT("'シフト一覧（転載）'!"&amp;BK68&amp;":AK100"),1+1,
MATCH(1,INDEX((LEN(INDIRECT("'シフト一覧（転載）'!"&amp;BK68&amp;":AK100"))&gt;0)
*(INDIRECT("'シフト一覧（転載）'!"&amp;BK68&amp;":AK100")&lt;&gt;"休み"),1,0),0)),0),"")</f>
        <v>0</v>
      </c>
      <c r="BM69" s="21">
        <f ca="1">IF(BL68=0,0,
IF(OR(BL68="",COUNTIF(BL68,"*保育無し*")),"",
IF(MOD(BL69-BL68,1)*24&gt;=8,1,
IF(MOD(BL69-BL68,1)*24&gt;=6,0.75,0))))</f>
        <v>0</v>
      </c>
      <c r="BN69" s="21">
        <f t="array" aca="1" ref="BN69" ca="1">IFERROR(IF(BM68&lt;&gt;0,INDEX(
INDIRECT("'シフト一覧（転載）'!"&amp;BM68&amp;":AK100"),1+1,
MATCH(1,INDEX((LEN(INDIRECT("'シフト一覧（転載）'!"&amp;BM68&amp;":AK100"))&gt;0)
*(INDIRECT("'シフト一覧（転載）'!"&amp;BM68&amp;":AK100")&lt;&gt;"休み"),1,0),0)),0),"")</f>
        <v>0</v>
      </c>
      <c r="BO69" s="21">
        <f ca="1">IF(BN68=0,0,
IF(OR(BN68="",COUNTIF(BN68,"*保育無し*")),"",
IF(MOD(BN69-BN68,1)*24&gt;=8,1,
IF(MOD(BN69-BN68,1)*24&gt;=6,0.75,0))))</f>
        <v>0</v>
      </c>
      <c r="BP69" s="21">
        <f t="array" aca="1" ref="BP69" ca="1">IFERROR(IF(BO68&lt;&gt;0,INDEX(
INDIRECT("'シフト一覧（転載）'!"&amp;BO68&amp;":AK100"),1+1,
MATCH(1,INDEX((LEN(INDIRECT("'シフト一覧（転載）'!"&amp;BO68&amp;":AK100"))&gt;0)
*(INDIRECT("'シフト一覧（転載）'!"&amp;BO68&amp;":AK100")&lt;&gt;"休み"),1,0),0)),0),"")</f>
        <v>0</v>
      </c>
      <c r="BQ69" s="21">
        <f ca="1">IF(BP68=0,0,
IF(OR(BP68="",COUNTIF(BP68,"*保育無し*")),"",
IF(MOD(BP69-BP68,1)*24&gt;=8,1,
IF(MOD(BP69-BP68,1)*24&gt;=6,0.75,0))))</f>
        <v>0</v>
      </c>
      <c r="BR69" s="21">
        <f t="array" aca="1" ref="BR69" ca="1">IFERROR(IF(BQ68&lt;&gt;0,INDEX(
INDIRECT("'シフト一覧（転載）'!"&amp;BQ68&amp;":AK100"),1+1,
MATCH(1,INDEX((LEN(INDIRECT("'シフト一覧（転載）'!"&amp;BQ68&amp;":AK100"))&gt;0)
*(INDIRECT("'シフト一覧（転載）'!"&amp;BQ68&amp;":AK100")&lt;&gt;"休み"),1,0),0)),0),"")</f>
        <v>0</v>
      </c>
      <c r="BS69" s="21">
        <f ca="1">IF(BR68=0,0,
IF(OR(BR68="",COUNTIF(BR68,"*保育無し*")),"",
IF(MOD(BR69-BR68,1)*24&gt;=8,1,
IF(MOD(BR69-BR68,1)*24&gt;=6,0.75,0))))</f>
        <v>0</v>
      </c>
      <c r="BT69" s="21">
        <f t="array" aca="1" ref="BT69" ca="1">IFERROR(IF(BS68&lt;&gt;0,INDEX(
INDIRECT("'シフト一覧（転載）'!"&amp;BS68&amp;":AK100"),1+1,
MATCH(1,INDEX((LEN(INDIRECT("'シフト一覧（転載）'!"&amp;BS68&amp;":AK100"))&gt;0)
*(INDIRECT("'シフト一覧（転載）'!"&amp;BS68&amp;":AK100")&lt;&gt;"休み"),1,0),0)),0),"")</f>
        <v>0</v>
      </c>
      <c r="BU69" s="21">
        <f ca="1">IF(BT68=0,0,
IF(OR(BT68="",COUNTIF(BT68,"*保育無し*")),"",
IF(MOD(BT69-BT68,1)*24&gt;=8,1,
IF(MOD(BT69-BT68,1)*24&gt;=6,0.75,0))))</f>
        <v>0</v>
      </c>
      <c r="BV69" s="21">
        <f t="array" aca="1" ref="BV69" ca="1">IFERROR(IF(BU68&lt;&gt;0,INDEX(
INDIRECT("'シフト一覧（転載）'!"&amp;BU68&amp;":AK100"),1+1,
MATCH(1,INDEX((LEN(INDIRECT("'シフト一覧（転載）'!"&amp;BU68&amp;":AK100"))&gt;0)
*(INDIRECT("'シフト一覧（転載）'!"&amp;BU68&amp;":AK100")&lt;&gt;"休み"),1,0),0)),0),"")</f>
        <v>0</v>
      </c>
      <c r="BW69" s="21">
        <f ca="1">IF(BV68=0,0,
IF(OR(BV68="",COUNTIF(BV68,"*保育無し*")),"",
IF(MOD(BV69-BV68,1)*24&gt;=8,1,
IF(MOD(BV69-BV68,1)*24&gt;=6,0.75,0))))</f>
        <v>0</v>
      </c>
      <c r="BX69" s="21">
        <f t="array" aca="1" ref="BX69" ca="1">IFERROR(IF(BW68&lt;&gt;0,INDEX(
INDIRECT("'シフト一覧（転載）'!"&amp;BW68&amp;":AK100"),1+1,
MATCH(1,INDEX((LEN(INDIRECT("'シフト一覧（転載）'!"&amp;BW68&amp;":AK100"))&gt;0)
*(INDIRECT("'シフト一覧（転載）'!"&amp;BW68&amp;":AK100")&lt;&gt;"休み"),1,0),0)),0),"")</f>
        <v>0</v>
      </c>
      <c r="BY69" s="21">
        <f ca="1">IF(BX68=0,0,
IF(OR(BX68="",COUNTIF(BX68,"*保育無し*")),"",
IF(MOD(BX69-BX68,1)*24&gt;=8,1,
IF(MOD(BX69-BX68,1)*24&gt;=6,0.75,0))))</f>
        <v>0</v>
      </c>
    </row>
    <row r="70" spans="12:77" ht="19.8" customHeight="1" x14ac:dyDescent="0.2">
      <c r="M70" s="103" t="str" cm="1">
        <f t="array" aca="1" ref="M70" ca="1">_xlfn.LET(_xlpm.row_num, INT((ROW()-ROW($M$12))/2)+1,
    _xlpm.病児データ, _xlfn._xlws.FILTER($B$12:$B$41, $H$12:$H$41="病児", ""),
    IF(AND(MOD(ROW()-ROW($M$12), 2)=0,
       _xlpm.row_num&lt;=COUNTA(_xlpm.病児データ)),INDEX(_xlpm.病児データ, _xlpm.row_num),""))</f>
        <v/>
      </c>
      <c r="N70" s="101" t="str">
        <f t="shared" ref="N70" ca="1" si="34">IF(M70&lt;&gt;"",VLOOKUP(M70,$B$12:$C$41,2,FALSE),"")</f>
        <v/>
      </c>
      <c r="O70" s="106" cm="1">
        <f t="array" aca="1" ref="O70" ca="1">IF(COUNTIF(P70,"*保育無*"),0,
SUM(IF(
MOD(COLUMN(INDIRECT("P"&amp; ROW() &amp; ":" &amp; ADDRESS(ROW(), IFERROR(MATCH("*保育無し*", INDIRECT("P"&amp; ROW() &amp; ":BY" &amp; ROW()), 0) + COLUMN(P70) - 2, COLUMN(BX70) + 1), 4))) - COLUMN(P70), 2) = 0,
MOD(INDIRECT("P"&amp; ROW()+1 &amp; ":" &amp; ADDRESS(ROW()+1, IFERROR(MATCH("*保育無し*", INDIRECT("P"&amp; ROW() &amp; ":BY" &amp; ROW()), 0) + COLUMN(P70) - 2, COLUMN(BX70) + 1), 4)) - INDIRECT("P"&amp; ROW() &amp; ":" &amp; ADDRESS(ROW(), IFERROR(MATCH("*保育無し*", INDIRECT("P"&amp; ROW() &amp; ":BY" &amp; ROW()), 0) + COLUMN(P70) - 2, COLUMN(BX70) + 1), 4)),1),0))*24
-SUM(_xlfn._xlws.FILTER(P71:BX71, MOD(COLUMN(P71:BX71) - COLUMN(P71), 2) = 1)))</f>
        <v>0</v>
      </c>
      <c r="P70" s="20">
        <f t="array" aca="1" ref="P70" ca="1">IFERROR(IF(M70&lt;&gt;"",INDEX('シフト一覧（転載）'!$F$8:$AK$100,
    MATCH(1,(ISNUMBER(SEARCH(M70,'シフト一覧（転載）'!$A$8:$A$100)))
        *(ISNUMBER(SEARCH($F$9,'シフト一覧（転載）'!$B$8:$B$100))),
        0),
    MATCH(1,INDEX((LEN('シフト一覧（転載）'!$F$8:$AK$100)&gt;0)
                *('シフト一覧（転載）'!$F$8:$AK$100&lt;&gt;"休み"),
            MATCH(1,(ISNUMBER(SEARCH(M70,'シフト一覧（転載）'!$A$8:$A$100)))
                *(ISNUMBER(SEARCH($F$9,'シフト一覧（転載）'!$B$8:$B$100))),
                0),0),0)),0),$F$9&amp;"保育無し")</f>
        <v>0</v>
      </c>
      <c r="Q70" s="20">
        <f t="array" aca="1" ref="Q70" ca="1">IFERROR(IF(COUNTIF(P70,"*無*"),"",IF(M70&lt;&gt;"",ADDRESS(
    MATCH(1,(ISNUMBER(SEARCH(M70,'シフト一覧（転載）'!$A$8:$A$100)))
        *(ISNUMBER(SEARCH($F$9,'シフト一覧（転載）'!$B$8:$B$100))),0) + 7,
    MATCH(1,INDEX((LEN('シフト一覧（転載）'!$F$8:$AK$100)&gt;0)
                *('シフト一覧（転載）'!$F$8:$AK$100&lt;&gt;"休み"),
            MATCH(1,(ISNUMBER(SEARCH(M70,'シフト一覧（転載）'!$A$8:$A$100)))
                *(ISNUMBER(SEARCH($F$9,'シフト一覧（転載）'!$B$8:$B$100))),0),0),0) + 6,4),0)),0)</f>
        <v>0</v>
      </c>
      <c r="R70" s="20">
        <f t="array" aca="1" ref="R70" ca="1">IFERROR(IF(Q70&lt;&gt;"",IF(Q70&lt;&gt;0,INDEX(
INDIRECT("'シフト一覧（転載）'!"&amp;Q70&amp;":AK100"),1,
MATCH(1,INDEX((LEN(INDIRECT("'シフト一覧（転載）'!"&amp;Q70&amp;":AK100"))&gt;0)
*(INDIRECT("'シフト一覧（転載）'!"&amp;Q70&amp;":AK100")&lt;&gt;"休み"),1,0),0)),0),""),$F$9&amp;"保育無し")</f>
        <v>0</v>
      </c>
      <c r="S70" s="20">
        <f t="array" aca="1" ref="S70" ca="1">IFERROR(IF(Q70&lt;&gt;0,ADDRESS(ROW(INDIRECT(Q70)),
    COLUMN(INDIRECT(Q70)) - 1 +
    MATCH(1,INDEX((LEN(INDIRECT("'シフト一覧（転載）'!"&amp;Q70&amp;":AK100"))&gt;0)
            *(INDIRECT("'シフト一覧（転載）'!"&amp;Q70&amp;":AK100")&lt;&gt;"休み"),
            1,0),0)+1,4),0),"")</f>
        <v>0</v>
      </c>
      <c r="T70" s="20">
        <f t="array" aca="1" ref="T70" ca="1">IFERROR(IF(S70&lt;&gt;"",IF(S70&lt;&gt;0,INDEX(
INDIRECT("'シフト一覧（転載）'!"&amp;S70&amp;":AK100"),1,
MATCH(1,INDEX((LEN(INDIRECT("'シフト一覧（転載）'!"&amp;S70&amp;":AK100"))&gt;0)
*(INDIRECT("'シフト一覧（転載）'!"&amp;S70&amp;":AK100")&lt;&gt;"休み"),1,0),0)),0),""),$F$9&amp;"保育無し")</f>
        <v>0</v>
      </c>
      <c r="U70" s="20">
        <f t="array" aca="1" ref="U70" ca="1">IFERROR(IF(S70&lt;&gt;0,ADDRESS(ROW(INDIRECT(S70)),
    COLUMN(INDIRECT(S70)) - 1 +
    MATCH(1,INDEX((LEN(INDIRECT("'シフト一覧（転載）'!"&amp;S70&amp;":AK100"))&gt;0)
            *(INDIRECT("'シフト一覧（転載）'!"&amp;S70&amp;":AK100")&lt;&gt;"休み"),
            1,0),0)+1,4),0),"")</f>
        <v>0</v>
      </c>
      <c r="V70" s="20">
        <f t="array" aca="1" ref="V70" ca="1">IFERROR(IF(U70&lt;&gt;"",IF(U70&lt;&gt;0,INDEX(
INDIRECT("'シフト一覧（転載）'!"&amp;U70&amp;":AK100"),1,
MATCH(1,INDEX((LEN(INDIRECT("'シフト一覧（転載）'!"&amp;U70&amp;":AK100"))&gt;0)
*(INDIRECT("'シフト一覧（転載）'!"&amp;U70&amp;":AK100")&lt;&gt;"休み"),1,0),0)),0),""),$F$9&amp;"保育無し")</f>
        <v>0</v>
      </c>
      <c r="W70" s="20">
        <f t="array" aca="1" ref="W70" ca="1">IFERROR(IF(U70&lt;&gt;0,ADDRESS(ROW(INDIRECT(U70)),
    COLUMN(INDIRECT(U70)) - 1 +
    MATCH(1,INDEX((LEN(INDIRECT("'シフト一覧（転載）'!"&amp;U70&amp;":AK100"))&gt;0)
            *(INDIRECT("'シフト一覧（転載）'!"&amp;U70&amp;":AK100")&lt;&gt;"休み"),
            1,0),0)+1,4),0),"")</f>
        <v>0</v>
      </c>
      <c r="X70" s="20">
        <f t="array" aca="1" ref="X70" ca="1">IFERROR(IF(W70&lt;&gt;"",IF(W70&lt;&gt;0,INDEX(
INDIRECT("'シフト一覧（転載）'!"&amp;W70&amp;":AK100"),1,
MATCH(1,INDEX((LEN(INDIRECT("'シフト一覧（転載）'!"&amp;W70&amp;":AK100"))&gt;0)
*(INDIRECT("'シフト一覧（転載）'!"&amp;W70&amp;":AK100")&lt;&gt;"休み"),1,0),0)),0),""),$F$9&amp;"保育無し")</f>
        <v>0</v>
      </c>
      <c r="Y70" s="20">
        <f t="array" aca="1" ref="Y70" ca="1">IFERROR(IF(W70&lt;&gt;0,ADDRESS(ROW(INDIRECT(W70)),
    COLUMN(INDIRECT(W70)) - 1 +
    MATCH(1,INDEX((LEN(INDIRECT("'シフト一覧（転載）'!"&amp;W70&amp;":AK100"))&gt;0)
            *(INDIRECT("'シフト一覧（転載）'!"&amp;W70&amp;":AK100")&lt;&gt;"休み"),
            1,0),0)+1,4),0),"")</f>
        <v>0</v>
      </c>
      <c r="Z70" s="20">
        <f t="array" aca="1" ref="Z70" ca="1">IFERROR(IF(Y70&lt;&gt;"",IF(Y70&lt;&gt;0,INDEX(
INDIRECT("'シフト一覧（転載）'!"&amp;Y70&amp;":AK100"),1,
MATCH(1,INDEX((LEN(INDIRECT("'シフト一覧（転載）'!"&amp;Y70&amp;":AK100"))&gt;0)
*(INDIRECT("'シフト一覧（転載）'!"&amp;Y70&amp;":AK100")&lt;&gt;"休み"),1,0),0)),0),""),$F$9&amp;"保育無し")</f>
        <v>0</v>
      </c>
      <c r="AA70" s="20">
        <f t="array" aca="1" ref="AA70" ca="1">IFERROR(IF(Y70&lt;&gt;0,ADDRESS(ROW(INDIRECT(Y70)),
    COLUMN(INDIRECT(Y70)) - 1 +
    MATCH(1,INDEX((LEN(INDIRECT("'シフト一覧（転載）'!"&amp;Y70&amp;":AK100"))&gt;0)
            *(INDIRECT("'シフト一覧（転載）'!"&amp;Y70&amp;":AK100")&lt;&gt;"休み"),
            1,0),0)+1,4),0),"")</f>
        <v>0</v>
      </c>
      <c r="AB70" s="20">
        <f t="array" aca="1" ref="AB70" ca="1">IFERROR(IF(AA70&lt;&gt;"",IF(AA70&lt;&gt;0,INDEX(
INDIRECT("'シフト一覧（転載）'!"&amp;AA70&amp;":AK100"),1,
MATCH(1,INDEX((LEN(INDIRECT("'シフト一覧（転載）'!"&amp;AA70&amp;":AK100"))&gt;0)
*(INDIRECT("'シフト一覧（転載）'!"&amp;AA70&amp;":AK100")&lt;&gt;"休み"),1,0),0)),0),""),$F$9&amp;"保育無し")</f>
        <v>0</v>
      </c>
      <c r="AC70" s="20">
        <f t="array" aca="1" ref="AC70" ca="1">IFERROR(IF(AA70&lt;&gt;0,ADDRESS(ROW(INDIRECT(AA70)),
    COLUMN(INDIRECT(AA70)) - 1 +
    MATCH(1,INDEX((LEN(INDIRECT("'シフト一覧（転載）'!"&amp;AA70&amp;":AK100"))&gt;0)
            *(INDIRECT("'シフト一覧（転載）'!"&amp;AA70&amp;":AK100")&lt;&gt;"休み"),
            1,0),0)+1,4),0),"")</f>
        <v>0</v>
      </c>
      <c r="AD70" s="20">
        <f t="array" aca="1" ref="AD70" ca="1">IFERROR(IF(AC70&lt;&gt;"",IF(AC70&lt;&gt;0,INDEX(
INDIRECT("'シフト一覧（転載）'!"&amp;AC70&amp;":AK100"),1,
MATCH(1,INDEX((LEN(INDIRECT("'シフト一覧（転載）'!"&amp;AC70&amp;":AK100"))&gt;0)
*(INDIRECT("'シフト一覧（転載）'!"&amp;AC70&amp;":AK100")&lt;&gt;"休み"),1,0),0)),0),""),$F$9&amp;"保育無し")</f>
        <v>0</v>
      </c>
      <c r="AE70" s="20">
        <f t="array" aca="1" ref="AE70" ca="1">IFERROR(IF(AC70&lt;&gt;0,ADDRESS(ROW(INDIRECT(AC70)),
    COLUMN(INDIRECT(AC70)) - 1 +
    MATCH(1,INDEX((LEN(INDIRECT("'シフト一覧（転載）'!"&amp;AC70&amp;":AK100"))&gt;0)
            *(INDIRECT("'シフト一覧（転載）'!"&amp;AC70&amp;":AK100")&lt;&gt;"休み"),
            1,0),0)+1,4),0),"")</f>
        <v>0</v>
      </c>
      <c r="AF70" s="20">
        <f t="array" aca="1" ref="AF70" ca="1">IFERROR(IF(AE70&lt;&gt;"",IF(AE70&lt;&gt;0,INDEX(
INDIRECT("'シフト一覧（転載）'!"&amp;AE70&amp;":AK100"),1,
MATCH(1,INDEX((LEN(INDIRECT("'シフト一覧（転載）'!"&amp;AE70&amp;":AK100"))&gt;0)
*(INDIRECT("'シフト一覧（転載）'!"&amp;AE70&amp;":AK100")&lt;&gt;"休み"),1,0),0)),0),""),$F$9&amp;"保育無し")</f>
        <v>0</v>
      </c>
      <c r="AG70" s="20">
        <f t="array" aca="1" ref="AG70" ca="1">IFERROR(IF(AE70&lt;&gt;0,ADDRESS(ROW(INDIRECT(AE70)),
    COLUMN(INDIRECT(AE70)) - 1 +
    MATCH(1,INDEX((LEN(INDIRECT("'シフト一覧（転載）'!"&amp;AE70&amp;":AK100"))&gt;0)
            *(INDIRECT("'シフト一覧（転載）'!"&amp;AE70&amp;":AK100")&lt;&gt;"休み"),
            1,0),0)+1,4),0),"")</f>
        <v>0</v>
      </c>
      <c r="AH70" s="20">
        <f t="array" aca="1" ref="AH70" ca="1">IFERROR(IF(AG70&lt;&gt;"",IF(AG70&lt;&gt;0,INDEX(
INDIRECT("'シフト一覧（転載）'!"&amp;AG70&amp;":AK100"),1,
MATCH(1,INDEX((LEN(INDIRECT("'シフト一覧（転載）'!"&amp;AG70&amp;":AK100"))&gt;0)
*(INDIRECT("'シフト一覧（転載）'!"&amp;AG70&amp;":AK100")&lt;&gt;"休み"),1,0),0)),0),""),$F$9&amp;"保育無し")</f>
        <v>0</v>
      </c>
      <c r="AI70" s="20">
        <f t="array" aca="1" ref="AI70" ca="1">IFERROR(IF(AG70&lt;&gt;0,ADDRESS(ROW(INDIRECT(AG70)),
    COLUMN(INDIRECT(AG70)) - 1 +
    MATCH(1,INDEX((LEN(INDIRECT("'シフト一覧（転載）'!"&amp;AG70&amp;":AK100"))&gt;0)
            *(INDIRECT("'シフト一覧（転載）'!"&amp;AG70&amp;":AK100")&lt;&gt;"休み"),
            1,0),0)+1,4),0),"")</f>
        <v>0</v>
      </c>
      <c r="AJ70" s="20">
        <f t="array" aca="1" ref="AJ70" ca="1">IFERROR(IF(AI70&lt;&gt;"",IF(AI70&lt;&gt;0,INDEX(
INDIRECT("'シフト一覧（転載）'!"&amp;AI70&amp;":AK100"),1,
MATCH(1,INDEX((LEN(INDIRECT("'シフト一覧（転載）'!"&amp;AI70&amp;":AK100"))&gt;0)
*(INDIRECT("'シフト一覧（転載）'!"&amp;AI70&amp;":AK100")&lt;&gt;"休み"),1,0),0)),0),""),$F$9&amp;"保育無し")</f>
        <v>0</v>
      </c>
      <c r="AK70" s="20">
        <f t="array" aca="1" ref="AK70" ca="1">IFERROR(IF(AI70&lt;&gt;0,ADDRESS(ROW(INDIRECT(AI70)),
    COLUMN(INDIRECT(AI70)) - 1 +
    MATCH(1,INDEX((LEN(INDIRECT("'シフト一覧（転載）'!"&amp;AI70&amp;":AK100"))&gt;0)
            *(INDIRECT("'シフト一覧（転載）'!"&amp;AI70&amp;":AK100")&lt;&gt;"休み"),
            1,0),0)+1,4),0),"")</f>
        <v>0</v>
      </c>
      <c r="AL70" s="20">
        <f t="array" aca="1" ref="AL70" ca="1">IFERROR(IF(AK70&lt;&gt;"",IF(AK70&lt;&gt;0,INDEX(
INDIRECT("'シフト一覧（転載）'!"&amp;AK70&amp;":AK100"),1,
MATCH(1,INDEX((LEN(INDIRECT("'シフト一覧（転載）'!"&amp;AK70&amp;":AK100"))&gt;0)
*(INDIRECT("'シフト一覧（転載）'!"&amp;AK70&amp;":AK100")&lt;&gt;"休み"),1,0),0)),0),""),$F$9&amp;"保育無し")</f>
        <v>0</v>
      </c>
      <c r="AM70" s="20">
        <f t="array" aca="1" ref="AM70" ca="1">IFERROR(IF(AK70&lt;&gt;0,ADDRESS(ROW(INDIRECT(AK70)),
    COLUMN(INDIRECT(AK70)) - 1 +
    MATCH(1,INDEX((LEN(INDIRECT("'シフト一覧（転載）'!"&amp;AK70&amp;":AK100"))&gt;0)
            *(INDIRECT("'シフト一覧（転載）'!"&amp;AK70&amp;":AK100")&lt;&gt;"休み"),
            1,0),0)+1,4),0),"")</f>
        <v>0</v>
      </c>
      <c r="AN70" s="20">
        <f t="array" aca="1" ref="AN70" ca="1">IFERROR(IF(AM70&lt;&gt;"",IF(AM70&lt;&gt;0,INDEX(
INDIRECT("'シフト一覧（転載）'!"&amp;AM70&amp;":AK100"),1,
MATCH(1,INDEX((LEN(INDIRECT("'シフト一覧（転載）'!"&amp;AM70&amp;":AK100"))&gt;0)
*(INDIRECT("'シフト一覧（転載）'!"&amp;AM70&amp;":AK100")&lt;&gt;"休み"),1,0),0)),0),""),$F$9&amp;"保育無し")</f>
        <v>0</v>
      </c>
      <c r="AO70" s="20">
        <f t="array" aca="1" ref="AO70" ca="1">IFERROR(IF(AM70&lt;&gt;0,ADDRESS(ROW(INDIRECT(AM70)),
    COLUMN(INDIRECT(AM70)) - 1 +
    MATCH(1,INDEX((LEN(INDIRECT("'シフト一覧（転載）'!"&amp;AM70&amp;":AK100"))&gt;0)
            *(INDIRECT("'シフト一覧（転載）'!"&amp;AM70&amp;":AK100")&lt;&gt;"休み"),
            1,0),0)+1,4),0),"")</f>
        <v>0</v>
      </c>
      <c r="AP70" s="20">
        <f t="array" aca="1" ref="AP70" ca="1">IFERROR(IF(AO70&lt;&gt;"",IF(AO70&lt;&gt;0,INDEX(
INDIRECT("'シフト一覧（転載）'!"&amp;AO70&amp;":AK100"),1,
MATCH(1,INDEX((LEN(INDIRECT("'シフト一覧（転載）'!"&amp;AO70&amp;":AK100"))&gt;0)
*(INDIRECT("'シフト一覧（転載）'!"&amp;AO70&amp;":AK100")&lt;&gt;"休み"),1,0),0)),0),""),$F$9&amp;"保育無し")</f>
        <v>0</v>
      </c>
      <c r="AQ70" s="20">
        <f t="array" aca="1" ref="AQ70" ca="1">IFERROR(IF(AO70&lt;&gt;0,ADDRESS(ROW(INDIRECT(AO70)),
    COLUMN(INDIRECT(AO70)) - 1 +
    MATCH(1,INDEX((LEN(INDIRECT("'シフト一覧（転載）'!"&amp;AO70&amp;":AK100"))&gt;0)
            *(INDIRECT("'シフト一覧（転載）'!"&amp;AO70&amp;":AK100")&lt;&gt;"休み"),
            1,0),0)+1,4),0),"")</f>
        <v>0</v>
      </c>
      <c r="AR70" s="20">
        <f t="array" aca="1" ref="AR70" ca="1">IFERROR(IF(AQ70&lt;&gt;"",IF(AQ70&lt;&gt;0,INDEX(
INDIRECT("'シフト一覧（転載）'!"&amp;AQ70&amp;":AK100"),1,
MATCH(1,INDEX((LEN(INDIRECT("'シフト一覧（転載）'!"&amp;AQ70&amp;":AK100"))&gt;0)
*(INDIRECT("'シフト一覧（転載）'!"&amp;AQ70&amp;":AK100")&lt;&gt;"休み"),1,0),0)),0),""),$F$9&amp;"保育無し")</f>
        <v>0</v>
      </c>
      <c r="AS70" s="20">
        <f t="array" aca="1" ref="AS70" ca="1">IFERROR(IF(AQ70&lt;&gt;0,ADDRESS(ROW(INDIRECT(AQ70)),
    COLUMN(INDIRECT(AQ70)) - 1 +
    MATCH(1,INDEX((LEN(INDIRECT("'シフト一覧（転載）'!"&amp;AQ70&amp;":AK100"))&gt;0)
            *(INDIRECT("'シフト一覧（転載）'!"&amp;AQ70&amp;":AK100")&lt;&gt;"休み"),
            1,0),0)+1,4),0),"")</f>
        <v>0</v>
      </c>
      <c r="AT70" s="20">
        <f t="array" aca="1" ref="AT70" ca="1">IFERROR(IF(AS70&lt;&gt;"",IF(AS70&lt;&gt;0,INDEX(
INDIRECT("'シフト一覧（転載）'!"&amp;AS70&amp;":AK100"),1,
MATCH(1,INDEX((LEN(INDIRECT("'シフト一覧（転載）'!"&amp;AS70&amp;":AK100"))&gt;0)
*(INDIRECT("'シフト一覧（転載）'!"&amp;AS70&amp;":AK100")&lt;&gt;"休み"),1,0),0)),0),""),$F$9&amp;"保育無し")</f>
        <v>0</v>
      </c>
      <c r="AU70" s="20">
        <f t="array" aca="1" ref="AU70" ca="1">IFERROR(IF(AS70&lt;&gt;0,ADDRESS(ROW(INDIRECT(AS70)),
    COLUMN(INDIRECT(AS70)) - 1 +
    MATCH(1,INDEX((LEN(INDIRECT("'シフト一覧（転載）'!"&amp;AS70&amp;":AK100"))&gt;0)
            *(INDIRECT("'シフト一覧（転載）'!"&amp;AS70&amp;":AK100")&lt;&gt;"休み"),
            1,0),0)+1,4),0),"")</f>
        <v>0</v>
      </c>
      <c r="AV70" s="20">
        <f t="array" aca="1" ref="AV70" ca="1">IFERROR(IF(AU70&lt;&gt;"",IF(AU70&lt;&gt;0,INDEX(
INDIRECT("'シフト一覧（転載）'!"&amp;AU70&amp;":AK100"),1,
MATCH(1,INDEX((LEN(INDIRECT("'シフト一覧（転載）'!"&amp;AU70&amp;":AK100"))&gt;0)
*(INDIRECT("'シフト一覧（転載）'!"&amp;AU70&amp;":AK100")&lt;&gt;"休み"),1,0),0)),0),""),$F$9&amp;"保育無し")</f>
        <v>0</v>
      </c>
      <c r="AW70" s="20">
        <f t="array" aca="1" ref="AW70" ca="1">IFERROR(IF(AU70&lt;&gt;0,ADDRESS(ROW(INDIRECT(AU70)),
    COLUMN(INDIRECT(AU70)) - 1 +
    MATCH(1,INDEX((LEN(INDIRECT("'シフト一覧（転載）'!"&amp;AU70&amp;":AK100"))&gt;0)
            *(INDIRECT("'シフト一覧（転載）'!"&amp;AU70&amp;":AK100")&lt;&gt;"休み"),
            1,0),0)+1,4),0),"")</f>
        <v>0</v>
      </c>
      <c r="AX70" s="20">
        <f t="array" aca="1" ref="AX70" ca="1">IFERROR(IF(AW70&lt;&gt;"",IF(AW70&lt;&gt;0,INDEX(
INDIRECT("'シフト一覧（転載）'!"&amp;AW70&amp;":AK100"),1,
MATCH(1,INDEX((LEN(INDIRECT("'シフト一覧（転載）'!"&amp;AW70&amp;":AK100"))&gt;0)
*(INDIRECT("'シフト一覧（転載）'!"&amp;AW70&amp;":AK100")&lt;&gt;"休み"),1,0),0)),0),""),$F$9&amp;"保育無し")</f>
        <v>0</v>
      </c>
      <c r="AY70" s="20">
        <f t="array" aca="1" ref="AY70" ca="1">IFERROR(IF(AW70&lt;&gt;0,ADDRESS(ROW(INDIRECT(AW70)),
    COLUMN(INDIRECT(AW70)) - 1 +
    MATCH(1,INDEX((LEN(INDIRECT("'シフト一覧（転載）'!"&amp;AW70&amp;":AK100"))&gt;0)
            *(INDIRECT("'シフト一覧（転載）'!"&amp;AW70&amp;":AK100")&lt;&gt;"休み"),
            1,0),0)+1,4),0),"")</f>
        <v>0</v>
      </c>
      <c r="AZ70" s="20">
        <f t="array" aca="1" ref="AZ70" ca="1">IFERROR(IF(AY70&lt;&gt;"",IF(AY70&lt;&gt;0,INDEX(
INDIRECT("'シフト一覧（転載）'!"&amp;AY70&amp;":AK100"),1,
MATCH(1,INDEX((LEN(INDIRECT("'シフト一覧（転載）'!"&amp;AY70&amp;":AK100"))&gt;0)
*(INDIRECT("'シフト一覧（転載）'!"&amp;AY70&amp;":AK100")&lt;&gt;"休み"),1,0),0)),0),""),$F$9&amp;"保育無し")</f>
        <v>0</v>
      </c>
      <c r="BA70" s="20">
        <f t="array" aca="1" ref="BA70" ca="1">IFERROR(IF(AY70&lt;&gt;0,ADDRESS(ROW(INDIRECT(AY70)),
    COLUMN(INDIRECT(AY70)) - 1 +
    MATCH(1,INDEX((LEN(INDIRECT("'シフト一覧（転載）'!"&amp;AY70&amp;":AK100"))&gt;0)
            *(INDIRECT("'シフト一覧（転載）'!"&amp;AY70&amp;":AK100")&lt;&gt;"休み"),
            1,0),0)+1,4),0),"")</f>
        <v>0</v>
      </c>
      <c r="BB70" s="20">
        <f t="array" aca="1" ref="BB70" ca="1">IFERROR(IF(BA70&lt;&gt;"",IF(BA70&lt;&gt;0,INDEX(
INDIRECT("'シフト一覧（転載）'!"&amp;BA70&amp;":AK100"),1,
MATCH(1,INDEX((LEN(INDIRECT("'シフト一覧（転載）'!"&amp;BA70&amp;":AK100"))&gt;0)
*(INDIRECT("'シフト一覧（転載）'!"&amp;BA70&amp;":AK100")&lt;&gt;"休み"),1,0),0)),0),""),$F$9&amp;"保育無し")</f>
        <v>0</v>
      </c>
      <c r="BC70" s="20">
        <f t="array" aca="1" ref="BC70" ca="1">IFERROR(IF(BA70&lt;&gt;0,ADDRESS(ROW(INDIRECT(BA70)),
    COLUMN(INDIRECT(BA70)) - 1 +
    MATCH(1,INDEX((LEN(INDIRECT("'シフト一覧（転載）'!"&amp;BA70&amp;":AK100"))&gt;0)
            *(INDIRECT("'シフト一覧（転載）'!"&amp;BA70&amp;":AK100")&lt;&gt;"休み"),
            1,0),0)+1,4),0),"")</f>
        <v>0</v>
      </c>
      <c r="BD70" s="20">
        <f t="array" aca="1" ref="BD70" ca="1">IFERROR(IF(BC70&lt;&gt;"",IF(BC70&lt;&gt;0,INDEX(
INDIRECT("'シフト一覧（転載）'!"&amp;BC70&amp;":AK100"),1,
MATCH(1,INDEX((LEN(INDIRECT("'シフト一覧（転載）'!"&amp;BC70&amp;":AK100"))&gt;0)
*(INDIRECT("'シフト一覧（転載）'!"&amp;BC70&amp;":AK100")&lt;&gt;"休み"),1,0),0)),0),""),$F$9&amp;"保育無し")</f>
        <v>0</v>
      </c>
      <c r="BE70" s="20">
        <f t="array" aca="1" ref="BE70" ca="1">IFERROR(IF(BC70&lt;&gt;0,ADDRESS(ROW(INDIRECT(BC70)),
    COLUMN(INDIRECT(BC70)) - 1 +
    MATCH(1,INDEX((LEN(INDIRECT("'シフト一覧（転載）'!"&amp;BC70&amp;":AK100"))&gt;0)
            *(INDIRECT("'シフト一覧（転載）'!"&amp;BC70&amp;":AK100")&lt;&gt;"休み"),
            1,0),0)+1,4),0),"")</f>
        <v>0</v>
      </c>
      <c r="BF70" s="20">
        <f t="array" aca="1" ref="BF70" ca="1">IFERROR(IF(BE70&lt;&gt;"",IF(BE70&lt;&gt;0,INDEX(
INDIRECT("'シフト一覧（転載）'!"&amp;BE70&amp;":AK100"),1,
MATCH(1,INDEX((LEN(INDIRECT("'シフト一覧（転載）'!"&amp;BE70&amp;":AK100"))&gt;0)
*(INDIRECT("'シフト一覧（転載）'!"&amp;BE70&amp;":AK100")&lt;&gt;"休み"),1,0),0)),0),""),$F$9&amp;"保育無し")</f>
        <v>0</v>
      </c>
      <c r="BG70" s="20">
        <f t="array" aca="1" ref="BG70" ca="1">IFERROR(IF(BE70&lt;&gt;0,ADDRESS(ROW(INDIRECT(BE70)),
    COLUMN(INDIRECT(BE70)) - 1 +
    MATCH(1,INDEX((LEN(INDIRECT("'シフト一覧（転載）'!"&amp;BE70&amp;":AK100"))&gt;0)
            *(INDIRECT("'シフト一覧（転載）'!"&amp;BE70&amp;":AK100")&lt;&gt;"休み"),
            1,0),0)+1,4),0),"")</f>
        <v>0</v>
      </c>
      <c r="BH70" s="20">
        <f t="array" aca="1" ref="BH70" ca="1">IFERROR(IF(BG70&lt;&gt;"",IF(BG70&lt;&gt;0,INDEX(
INDIRECT("'シフト一覧（転載）'!"&amp;BG70&amp;":AK100"),1,
MATCH(1,INDEX((LEN(INDIRECT("'シフト一覧（転載）'!"&amp;BG70&amp;":AK100"))&gt;0)
*(INDIRECT("'シフト一覧（転載）'!"&amp;BG70&amp;":AK100")&lt;&gt;"休み"),1,0),0)),0),""),$F$9&amp;"保育無し")</f>
        <v>0</v>
      </c>
      <c r="BI70" s="20">
        <f t="array" aca="1" ref="BI70" ca="1">IFERROR(IF(BG70&lt;&gt;0,ADDRESS(ROW(INDIRECT(BG70)),
    COLUMN(INDIRECT(BG70)) - 1 +
    MATCH(1,INDEX((LEN(INDIRECT("'シフト一覧（転載）'!"&amp;BG70&amp;":AK100"))&gt;0)
            *(INDIRECT("'シフト一覧（転載）'!"&amp;BG70&amp;":AK100")&lt;&gt;"休み"),
            1,0),0)+1,4),0),"")</f>
        <v>0</v>
      </c>
      <c r="BJ70" s="20">
        <f t="array" aca="1" ref="BJ70" ca="1">IFERROR(IF(BI70&lt;&gt;"",IF(BI70&lt;&gt;0,INDEX(
INDIRECT("'シフト一覧（転載）'!"&amp;BI70&amp;":AK100"),1,
MATCH(1,INDEX((LEN(INDIRECT("'シフト一覧（転載）'!"&amp;BI70&amp;":AK100"))&gt;0)
*(INDIRECT("'シフト一覧（転載）'!"&amp;BI70&amp;":AK100")&lt;&gt;"休み"),1,0),0)),0),""),$F$9&amp;"保育無し")</f>
        <v>0</v>
      </c>
      <c r="BK70" s="20">
        <f t="array" aca="1" ref="BK70" ca="1">IFERROR(IF(BI70&lt;&gt;0,ADDRESS(ROW(INDIRECT(BI70)),
    COLUMN(INDIRECT(BI70)) - 1 +
    MATCH(1,INDEX((LEN(INDIRECT("'シフト一覧（転載）'!"&amp;BI70&amp;":AK100"))&gt;0)
            *(INDIRECT("'シフト一覧（転載）'!"&amp;BI70&amp;":AK100")&lt;&gt;"休み"),
            1,0),0)+1,4),0),"")</f>
        <v>0</v>
      </c>
      <c r="BL70" s="20">
        <f t="array" aca="1" ref="BL70" ca="1">IFERROR(IF(BK70&lt;&gt;"",IF(BK70&lt;&gt;0,INDEX(
INDIRECT("'シフト一覧（転載）'!"&amp;BK70&amp;":AK100"),1,
MATCH(1,INDEX((LEN(INDIRECT("'シフト一覧（転載）'!"&amp;BK70&amp;":AK100"))&gt;0)
*(INDIRECT("'シフト一覧（転載）'!"&amp;BK70&amp;":AK100")&lt;&gt;"休み"),1,0),0)),0),""),$F$9&amp;"保育無し")</f>
        <v>0</v>
      </c>
      <c r="BM70" s="20">
        <f t="array" aca="1" ref="BM70" ca="1">IFERROR(IF(BK70&lt;&gt;0,ADDRESS(ROW(INDIRECT(BK70)),
    COLUMN(INDIRECT(BK70)) - 1 +
    MATCH(1,INDEX((LEN(INDIRECT("'シフト一覧（転載）'!"&amp;BK70&amp;":AK100"))&gt;0)
            *(INDIRECT("'シフト一覧（転載）'!"&amp;BK70&amp;":AK100")&lt;&gt;"休み"),
            1,0),0)+1,4),0),"")</f>
        <v>0</v>
      </c>
      <c r="BN70" s="20">
        <f t="array" aca="1" ref="BN70" ca="1">IFERROR(IF(BM70&lt;&gt;"",IF(BM70&lt;&gt;0,INDEX(
INDIRECT("'シフト一覧（転載）'!"&amp;BM70&amp;":AK100"),1,
MATCH(1,INDEX((LEN(INDIRECT("'シフト一覧（転載）'!"&amp;BM70&amp;":AK100"))&gt;0)
*(INDIRECT("'シフト一覧（転載）'!"&amp;BM70&amp;":AK100")&lt;&gt;"休み"),1,0),0)),0),""),$F$9&amp;"保育無し")</f>
        <v>0</v>
      </c>
      <c r="BO70" s="20">
        <f t="array" aca="1" ref="BO70" ca="1">IFERROR(IF(BM70&lt;&gt;0,ADDRESS(ROW(INDIRECT(BM70)),
    COLUMN(INDIRECT(BM70)) - 1 +
    MATCH(1,INDEX((LEN(INDIRECT("'シフト一覧（転載）'!"&amp;BM70&amp;":AK100"))&gt;0)
            *(INDIRECT("'シフト一覧（転載）'!"&amp;BM70&amp;":AK100")&lt;&gt;"休み"),
            1,0),0)+1,4),0),"")</f>
        <v>0</v>
      </c>
      <c r="BP70" s="20">
        <f t="array" aca="1" ref="BP70" ca="1">IFERROR(IF(BO70&lt;&gt;"",IF(BO70&lt;&gt;0,INDEX(
INDIRECT("'シフト一覧（転載）'!"&amp;BO70&amp;":AK100"),1,
MATCH(1,INDEX((LEN(INDIRECT("'シフト一覧（転載）'!"&amp;BO70&amp;":AK100"))&gt;0)
*(INDIRECT("'シフト一覧（転載）'!"&amp;BO70&amp;":AK100")&lt;&gt;"休み"),1,0),0)),0),""),$F$9&amp;"保育無し")</f>
        <v>0</v>
      </c>
      <c r="BQ70" s="20">
        <f t="array" aca="1" ref="BQ70" ca="1">IFERROR(IF(BO70&lt;&gt;0,ADDRESS(ROW(INDIRECT(BO70)),
    COLUMN(INDIRECT(BO70)) - 1 +
    MATCH(1,INDEX((LEN(INDIRECT("'シフト一覧（転載）'!"&amp;BO70&amp;":AK100"))&gt;0)
            *(INDIRECT("'シフト一覧（転載）'!"&amp;BO70&amp;":AK100")&lt;&gt;"休み"),
            1,0),0)+1,4),0),"")</f>
        <v>0</v>
      </c>
      <c r="BR70" s="20">
        <f t="array" aca="1" ref="BR70" ca="1">IFERROR(IF(BQ70&lt;&gt;"",IF(BQ70&lt;&gt;0,INDEX(
INDIRECT("'シフト一覧（転載）'!"&amp;BQ70&amp;":AK100"),1,
MATCH(1,INDEX((LEN(INDIRECT("'シフト一覧（転載）'!"&amp;BQ70&amp;":AK100"))&gt;0)
*(INDIRECT("'シフト一覧（転載）'!"&amp;BQ70&amp;":AK100")&lt;&gt;"休み"),1,0),0)),0),""),$F$9&amp;"保育無し")</f>
        <v>0</v>
      </c>
      <c r="BS70" s="20">
        <f t="array" aca="1" ref="BS70" ca="1">IFERROR(IF(BQ70&lt;&gt;0,ADDRESS(ROW(INDIRECT(BQ70)),
    COLUMN(INDIRECT(BQ70)) - 1 +
    MATCH(1,INDEX((LEN(INDIRECT("'シフト一覧（転載）'!"&amp;BQ70&amp;":AK100"))&gt;0)
            *(INDIRECT("'シフト一覧（転載）'!"&amp;BQ70&amp;":AK100")&lt;&gt;"休み"),
            1,0),0)+1,4),0),"")</f>
        <v>0</v>
      </c>
      <c r="BT70" s="20">
        <f t="array" aca="1" ref="BT70" ca="1">IFERROR(IF(BS70&lt;&gt;"",IF(BS70&lt;&gt;0,INDEX(
INDIRECT("'シフト一覧（転載）'!"&amp;BS70&amp;":AK100"),1,
MATCH(1,INDEX((LEN(INDIRECT("'シフト一覧（転載）'!"&amp;BS70&amp;":AK100"))&gt;0)
*(INDIRECT("'シフト一覧（転載）'!"&amp;BS70&amp;":AK100")&lt;&gt;"休み"),1,0),0)),0),""),$F$9&amp;"保育無し")</f>
        <v>0</v>
      </c>
      <c r="BU70" s="20">
        <f t="array" aca="1" ref="BU70" ca="1">IFERROR(IF(BS70&lt;&gt;0,ADDRESS(ROW(INDIRECT(BS70)),
    COLUMN(INDIRECT(BS70)) - 1 +
    MATCH(1,INDEX((LEN(INDIRECT("'シフト一覧（転載）'!"&amp;BS70&amp;":AK100"))&gt;0)
            *(INDIRECT("'シフト一覧（転載）'!"&amp;BS70&amp;":AK100")&lt;&gt;"休み"),
            1,0),0)+1,4),0),"")</f>
        <v>0</v>
      </c>
      <c r="BV70" s="20">
        <f t="array" aca="1" ref="BV70" ca="1">IFERROR(IF(BU70&lt;&gt;"",IF(BU70&lt;&gt;0,INDEX(
INDIRECT("'シフト一覧（転載）'!"&amp;BU70&amp;":AK100"),1,
MATCH(1,INDEX((LEN(INDIRECT("'シフト一覧（転載）'!"&amp;BU70&amp;":AK100"))&gt;0)
*(INDIRECT("'シフト一覧（転載）'!"&amp;BU70&amp;":AK100")&lt;&gt;"休み"),1,0),0)),0),""),$F$9&amp;"保育無し")</f>
        <v>0</v>
      </c>
      <c r="BW70" s="20">
        <f t="array" aca="1" ref="BW70" ca="1">IFERROR(IF(BU70&lt;&gt;0,ADDRESS(ROW(INDIRECT(BU70)),
    COLUMN(INDIRECT(BU70)) - 1 +
    MATCH(1,INDEX((LEN(INDIRECT("'シフト一覧（転載）'!"&amp;BU70&amp;":AK100"))&gt;0)
            *(INDIRECT("'シフト一覧（転載）'!"&amp;BU70&amp;":AK100")&lt;&gt;"休み"),
            1,0),0)+1,4),0),"")</f>
        <v>0</v>
      </c>
      <c r="BX70" s="20">
        <f t="array" aca="1" ref="BX70" ca="1">IFERROR(IF(BW70&lt;&gt;"",IF(BW70&lt;&gt;0,INDEX(
INDIRECT("'シフト一覧（転載）'!"&amp;BW70&amp;":AK100"),1,
MATCH(1,INDEX((LEN(INDIRECT("'シフト一覧（転載）'!"&amp;BW70&amp;":AK100"))&gt;0)
*(INDIRECT("'シフト一覧（転載）'!"&amp;BW70&amp;":AK100")&lt;&gt;"休み"),1,0),0)),0),""),$F$9&amp;"保育無し")</f>
        <v>0</v>
      </c>
      <c r="BY70" s="20">
        <f t="array" aca="1" ref="BY70" ca="1">IFERROR(IF(BW70&lt;&gt;0,ADDRESS(ROW(INDIRECT(BW70)),
    COLUMN(INDIRECT(BW70)) - 1 +
    MATCH(1,INDEX((LEN(INDIRECT("'シフト一覧（転載）'!"&amp;BW70&amp;":AK100"))&gt;0)
            *(INDIRECT("'シフト一覧（転載）'!"&amp;BW70&amp;":AK100")&lt;&gt;"休み"),
            1,0),0)+1,4),0),"")</f>
        <v>0</v>
      </c>
    </row>
    <row r="71" spans="12:77" ht="19.8" customHeight="1" x14ac:dyDescent="0.2">
      <c r="M71" s="104"/>
      <c r="N71" s="102"/>
      <c r="O71" s="107"/>
      <c r="P71" s="21">
        <f t="array" aca="1" ref="P71" ca="1">IFERROR(IF(M70&lt;&gt;"",INDEX('シフト一覧（転載）'!$F$8:$AK$100,
    MATCH(1,(ISNUMBER(SEARCH(M70,'シフト一覧（転載）'!$A$8:$A$100)))
        *(ISNUMBER(SEARCH($F$9,'シフト一覧（転載）'!$B$8:$B$100))),
        0)+1,
    MATCH(1,INDEX((LEN('シフト一覧（転載）'!$F$8:$AK$100)&gt;0)
                *('シフト一覧（転載）'!$F$8:$AK$100&lt;&gt;"休み"),
            MATCH(1,(ISNUMBER(SEARCH(M70,'シフト一覧（転載）'!$A$8:$A$100)))
                *(ISNUMBER(SEARCH($F$9,'シフト一覧（転載）'!$B$8:$B$100))),
                0),0),0)),0),"")</f>
        <v>0</v>
      </c>
      <c r="Q71" s="21">
        <f ca="1">IF(P70=0,0,
IF(OR(P70="",COUNTIF(P70,"*保育無し*")),"",
IF(MOD(P71-P70,1)*24&gt;=8,1,
IF(MOD(P71-P70,1)*24&gt;=6,0.75,0))))</f>
        <v>0</v>
      </c>
      <c r="R71" s="21">
        <f t="array" aca="1" ref="R71" ca="1">IFERROR(IF(Q70&lt;&gt;0,INDEX(
INDIRECT("'シフト一覧（転載）'!"&amp;Q70&amp;":AK100"),1+1,
MATCH(1,INDEX((LEN(INDIRECT("'シフト一覧（転載）'!"&amp;Q70&amp;":AK100"))&gt;0)
*(INDIRECT("'シフト一覧（転載）'!"&amp;Q70&amp;":AK100")&lt;&gt;"休み"),1,0),0)),0),"")</f>
        <v>0</v>
      </c>
      <c r="S71" s="21">
        <f ca="1">IF(R70=0,0,
IF(OR(R70="",COUNTIF(R70,"*保育無し*")),"",
IF(MOD(R71-R70,1)*24&gt;=8,1,
IF(MOD(R71-R70,1)*24&gt;=6,0.75,0))))</f>
        <v>0</v>
      </c>
      <c r="T71" s="21">
        <f t="array" aca="1" ref="T71" ca="1">IFERROR(IF(S70&lt;&gt;0,INDEX(
INDIRECT("'シフト一覧（転載）'!"&amp;S70&amp;":AK100"),1+1,
MATCH(1,INDEX((LEN(INDIRECT("'シフト一覧（転載）'!"&amp;S70&amp;":AK100"))&gt;0)
*(INDIRECT("'シフト一覧（転載）'!"&amp;S70&amp;":AK100")&lt;&gt;"休み"),1,0),0)),0),"")</f>
        <v>0</v>
      </c>
      <c r="U71" s="21">
        <f ca="1">IF(T70=0,0,
IF(OR(T70="",COUNTIF(T70,"*保育無し*")),"",
IF(MOD(T71-T70,1)*24&gt;=8,1,
IF(MOD(T71-T70,1)*24&gt;=6,0.75,0))))</f>
        <v>0</v>
      </c>
      <c r="V71" s="21">
        <f t="array" aca="1" ref="V71" ca="1">IFERROR(IF(U70&lt;&gt;0,INDEX(
INDIRECT("'シフト一覧（転載）'!"&amp;U70&amp;":AK100"),1+1,
MATCH(1,INDEX((LEN(INDIRECT("'シフト一覧（転載）'!"&amp;U70&amp;":AK100"))&gt;0)
*(INDIRECT("'シフト一覧（転載）'!"&amp;U70&amp;":AK100")&lt;&gt;"休み"),1,0),0)),0),"")</f>
        <v>0</v>
      </c>
      <c r="W71" s="21">
        <f ca="1">IF(V70=0,0,
IF(OR(V70="",COUNTIF(V70,"*保育無し*")),"",
IF(MOD(V71-V70,1)*24&gt;=8,1,
IF(MOD(V71-V70,1)*24&gt;=6,0.75,0))))</f>
        <v>0</v>
      </c>
      <c r="X71" s="21">
        <f t="array" aca="1" ref="X71" ca="1">IFERROR(IF(W70&lt;&gt;0,INDEX(
INDIRECT("'シフト一覧（転載）'!"&amp;W70&amp;":AK100"),1+1,
MATCH(1,INDEX((LEN(INDIRECT("'シフト一覧（転載）'!"&amp;W70&amp;":AK100"))&gt;0)
*(INDIRECT("'シフト一覧（転載）'!"&amp;W70&amp;":AK100")&lt;&gt;"休み"),1,0),0)),0),"")</f>
        <v>0</v>
      </c>
      <c r="Y71" s="21">
        <f ca="1">IF(X70=0,0,
IF(OR(X70="",COUNTIF(X70,"*保育無し*")),"",
IF(MOD(X71-X70,1)*24&gt;=8,1,
IF(MOD(X71-X70,1)*24&gt;=6,0.75,0))))</f>
        <v>0</v>
      </c>
      <c r="Z71" s="21">
        <f t="array" aca="1" ref="Z71" ca="1">IFERROR(IF(Y70&lt;&gt;0,INDEX(
INDIRECT("'シフト一覧（転載）'!"&amp;Y70&amp;":AK100"),1+1,
MATCH(1,INDEX((LEN(INDIRECT("'シフト一覧（転載）'!"&amp;Y70&amp;":AK100"))&gt;0)
*(INDIRECT("'シフト一覧（転載）'!"&amp;Y70&amp;":AK100")&lt;&gt;"休み"),1,0),0)),0),"")</f>
        <v>0</v>
      </c>
      <c r="AA71" s="21">
        <f ca="1">IF(Z70=0,0,
IF(OR(Z70="",COUNTIF(Z70,"*保育無し*")),"",
IF(MOD(Z71-Z70,1)*24&gt;=8,1,
IF(MOD(Z71-Z70,1)*24&gt;=6,0.75,0))))</f>
        <v>0</v>
      </c>
      <c r="AB71" s="21">
        <f t="array" aca="1" ref="AB71" ca="1">IFERROR(IF(AA70&lt;&gt;0,INDEX(
INDIRECT("'シフト一覧（転載）'!"&amp;AA70&amp;":AK100"),1+1,
MATCH(1,INDEX((LEN(INDIRECT("'シフト一覧（転載）'!"&amp;AA70&amp;":AK100"))&gt;0)
*(INDIRECT("'シフト一覧（転載）'!"&amp;AA70&amp;":AK100")&lt;&gt;"休み"),1,0),0)),0),"")</f>
        <v>0</v>
      </c>
      <c r="AC71" s="21">
        <f ca="1">IF(AB70=0,0,
IF(OR(AB70="",COUNTIF(AB70,"*保育無し*")),"",
IF(MOD(AB71-AB70,1)*24&gt;=8,1,
IF(MOD(AB71-AB70,1)*24&gt;=6,0.75,0))))</f>
        <v>0</v>
      </c>
      <c r="AD71" s="21">
        <f t="array" aca="1" ref="AD71" ca="1">IFERROR(IF(AC70&lt;&gt;0,INDEX(
INDIRECT("'シフト一覧（転載）'!"&amp;AC70&amp;":AK100"),1+1,
MATCH(1,INDEX((LEN(INDIRECT("'シフト一覧（転載）'!"&amp;AC70&amp;":AK100"))&gt;0)
*(INDIRECT("'シフト一覧（転載）'!"&amp;AC70&amp;":AK100")&lt;&gt;"休み"),1,0),0)),0),"")</f>
        <v>0</v>
      </c>
      <c r="AE71" s="21">
        <f ca="1">IF(AD70=0,0,
IF(OR(AD70="",COUNTIF(AD70,"*保育無し*")),"",
IF(MOD(AD71-AD70,1)*24&gt;=8,1,
IF(MOD(AD71-AD70,1)*24&gt;=6,0.75,0))))</f>
        <v>0</v>
      </c>
      <c r="AF71" s="21">
        <f t="array" aca="1" ref="AF71" ca="1">IFERROR(IF(AE70&lt;&gt;0,INDEX(
INDIRECT("'シフト一覧（転載）'!"&amp;AE70&amp;":AK100"),1+1,
MATCH(1,INDEX((LEN(INDIRECT("'シフト一覧（転載）'!"&amp;AE70&amp;":AK100"))&gt;0)
*(INDIRECT("'シフト一覧（転載）'!"&amp;AE70&amp;":AK100")&lt;&gt;"休み"),1,0),0)),0),"")</f>
        <v>0</v>
      </c>
      <c r="AG71" s="21">
        <f ca="1">IF(AF70=0,0,
IF(OR(AF70="",COUNTIF(AF70,"*保育無し*")),"",
IF(MOD(AF71-AF70,1)*24&gt;=8,1,
IF(MOD(AF71-AF70,1)*24&gt;=6,0.75,0))))</f>
        <v>0</v>
      </c>
      <c r="AH71" s="21">
        <f t="array" aca="1" ref="AH71" ca="1">IFERROR(IF(AG70&lt;&gt;0,INDEX(
INDIRECT("'シフト一覧（転載）'!"&amp;AG70&amp;":AK100"),1+1,
MATCH(1,INDEX((LEN(INDIRECT("'シフト一覧（転載）'!"&amp;AG70&amp;":AK100"))&gt;0)
*(INDIRECT("'シフト一覧（転載）'!"&amp;AG70&amp;":AK100")&lt;&gt;"休み"),1,0),0)),0),"")</f>
        <v>0</v>
      </c>
      <c r="AI71" s="21">
        <f ca="1">IF(AH70=0,0,
IF(OR(AH70="",COUNTIF(AH70,"*保育無し*")),"",
IF(MOD(AH71-AH70,1)*24&gt;=8,1,
IF(MOD(AH71-AH70,1)*24&gt;=6,0.75,0))))</f>
        <v>0</v>
      </c>
      <c r="AJ71" s="21">
        <f t="array" aca="1" ref="AJ71" ca="1">IFERROR(IF(AI70&lt;&gt;0,INDEX(
INDIRECT("'シフト一覧（転載）'!"&amp;AI70&amp;":AK100"),1+1,
MATCH(1,INDEX((LEN(INDIRECT("'シフト一覧（転載）'!"&amp;AI70&amp;":AK100"))&gt;0)
*(INDIRECT("'シフト一覧（転載）'!"&amp;AI70&amp;":AK100")&lt;&gt;"休み"),1,0),0)),0),"")</f>
        <v>0</v>
      </c>
      <c r="AK71" s="21">
        <f ca="1">IF(AJ70=0,0,
IF(OR(AJ70="",COUNTIF(AJ70,"*保育無し*")),"",
IF(MOD(AJ71-AJ70,1)*24&gt;=8,1,
IF(MOD(AJ71-AJ70,1)*24&gt;=6,0.75,0))))</f>
        <v>0</v>
      </c>
      <c r="AL71" s="21">
        <f t="array" aca="1" ref="AL71" ca="1">IFERROR(IF(AK70&lt;&gt;0,INDEX(
INDIRECT("'シフト一覧（転載）'!"&amp;AK70&amp;":AK100"),1+1,
MATCH(1,INDEX((LEN(INDIRECT("'シフト一覧（転載）'!"&amp;AK70&amp;":AK100"))&gt;0)
*(INDIRECT("'シフト一覧（転載）'!"&amp;AK70&amp;":AK100")&lt;&gt;"休み"),1,0),0)),0),"")</f>
        <v>0</v>
      </c>
      <c r="AM71" s="21">
        <f ca="1">IF(AL70=0,0,
IF(OR(AL70="",COUNTIF(AL70,"*保育無し*")),"",
IF(MOD(AL71-AL70,1)*24&gt;=8,1,
IF(MOD(AL71-AL70,1)*24&gt;=6,0.75,0))))</f>
        <v>0</v>
      </c>
      <c r="AN71" s="21">
        <f t="array" aca="1" ref="AN71" ca="1">IFERROR(IF(AM70&lt;&gt;0,INDEX(
INDIRECT("'シフト一覧（転載）'!"&amp;AM70&amp;":AK100"),1+1,
MATCH(1,INDEX((LEN(INDIRECT("'シフト一覧（転載）'!"&amp;AM70&amp;":AK100"))&gt;0)
*(INDIRECT("'シフト一覧（転載）'!"&amp;AM70&amp;":AK100")&lt;&gt;"休み"),1,0),0)),0),"")</f>
        <v>0</v>
      </c>
      <c r="AO71" s="21">
        <f ca="1">IF(AN70=0,0,
IF(OR(AN70="",COUNTIF(AN70,"*保育無し*")),"",
IF(MOD(AN71-AN70,1)*24&gt;=8,1,
IF(MOD(AN71-AN70,1)*24&gt;=6,0.75,0))))</f>
        <v>0</v>
      </c>
      <c r="AP71" s="21">
        <f t="array" aca="1" ref="AP71" ca="1">IFERROR(IF(AO70&lt;&gt;0,INDEX(
INDIRECT("'シフト一覧（転載）'!"&amp;AO70&amp;":AK100"),1+1,
MATCH(1,INDEX((LEN(INDIRECT("'シフト一覧（転載）'!"&amp;AO70&amp;":AK100"))&gt;0)
*(INDIRECT("'シフト一覧（転載）'!"&amp;AO70&amp;":AK100")&lt;&gt;"休み"),1,0),0)),0),"")</f>
        <v>0</v>
      </c>
      <c r="AQ71" s="21">
        <f ca="1">IF(AP70=0,0,
IF(OR(AP70="",COUNTIF(AP70,"*保育無し*")),"",
IF(MOD(AP71-AP70,1)*24&gt;=8,1,
IF(MOD(AP71-AP70,1)*24&gt;=6,0.75,0))))</f>
        <v>0</v>
      </c>
      <c r="AR71" s="21">
        <f t="array" aca="1" ref="AR71" ca="1">IFERROR(IF(AQ70&lt;&gt;0,INDEX(
INDIRECT("'シフト一覧（転載）'!"&amp;AQ70&amp;":AK100"),1+1,
MATCH(1,INDEX((LEN(INDIRECT("'シフト一覧（転載）'!"&amp;AQ70&amp;":AK100"))&gt;0)
*(INDIRECT("'シフト一覧（転載）'!"&amp;AQ70&amp;":AK100")&lt;&gt;"休み"),1,0),0)),0),"")</f>
        <v>0</v>
      </c>
      <c r="AS71" s="21">
        <f ca="1">IF(AR70=0,0,
IF(OR(AR70="",COUNTIF(AR70,"*保育無し*")),"",
IF(MOD(AR71-AR70,1)*24&gt;=8,1,
IF(MOD(AR71-AR70,1)*24&gt;=6,0.75,0))))</f>
        <v>0</v>
      </c>
      <c r="AT71" s="21">
        <f t="array" aca="1" ref="AT71" ca="1">IFERROR(IF(AS70&lt;&gt;0,INDEX(
INDIRECT("'シフト一覧（転載）'!"&amp;AS70&amp;":AK100"),1+1,
MATCH(1,INDEX((LEN(INDIRECT("'シフト一覧（転載）'!"&amp;AS70&amp;":AK100"))&gt;0)
*(INDIRECT("'シフト一覧（転載）'!"&amp;AS70&amp;":AK100")&lt;&gt;"休み"),1,0),0)),0),"")</f>
        <v>0</v>
      </c>
      <c r="AU71" s="21">
        <f ca="1">IF(AT70=0,0,
IF(OR(AT70="",COUNTIF(AT70,"*保育無し*")),"",
IF(MOD(AT71-AT70,1)*24&gt;=8,1,
IF(MOD(AT71-AT70,1)*24&gt;=6,0.75,0))))</f>
        <v>0</v>
      </c>
      <c r="AV71" s="21">
        <f t="array" aca="1" ref="AV71" ca="1">IFERROR(IF(AU70&lt;&gt;0,INDEX(
INDIRECT("'シフト一覧（転載）'!"&amp;AU70&amp;":AK100"),1+1,
MATCH(1,INDEX((LEN(INDIRECT("'シフト一覧（転載）'!"&amp;AU70&amp;":AK100"))&gt;0)
*(INDIRECT("'シフト一覧（転載）'!"&amp;AU70&amp;":AK100")&lt;&gt;"休み"),1,0),0)),0),"")</f>
        <v>0</v>
      </c>
      <c r="AW71" s="21">
        <f ca="1">IF(AV70=0,0,
IF(OR(AV70="",COUNTIF(AV70,"*保育無し*")),"",
IF(MOD(AV71-AV70,1)*24&gt;=8,1,
IF(MOD(AV71-AV70,1)*24&gt;=6,0.75,0))))</f>
        <v>0</v>
      </c>
      <c r="AX71" s="21">
        <f t="array" aca="1" ref="AX71" ca="1">IFERROR(IF(AW70&lt;&gt;0,INDEX(
INDIRECT("'シフト一覧（転載）'!"&amp;AW70&amp;":AK100"),1+1,
MATCH(1,INDEX((LEN(INDIRECT("'シフト一覧（転載）'!"&amp;AW70&amp;":AK100"))&gt;0)
*(INDIRECT("'シフト一覧（転載）'!"&amp;AW70&amp;":AK100")&lt;&gt;"休み"),1,0),0)),0),"")</f>
        <v>0</v>
      </c>
      <c r="AY71" s="21">
        <f ca="1">IF(AX70=0,0,
IF(OR(AX70="",COUNTIF(AX70,"*保育無し*")),"",
IF(MOD(AX71-AX70,1)*24&gt;=8,1,
IF(MOD(AX71-AX70,1)*24&gt;=6,0.75,0))))</f>
        <v>0</v>
      </c>
      <c r="AZ71" s="21">
        <f t="array" aca="1" ref="AZ71" ca="1">IFERROR(IF(AY70&lt;&gt;0,INDEX(
INDIRECT("'シフト一覧（転載）'!"&amp;AY70&amp;":AK100"),1+1,
MATCH(1,INDEX((LEN(INDIRECT("'シフト一覧（転載）'!"&amp;AY70&amp;":AK100"))&gt;0)
*(INDIRECT("'シフト一覧（転載）'!"&amp;AY70&amp;":AK100")&lt;&gt;"休み"),1,0),0)),0),"")</f>
        <v>0</v>
      </c>
      <c r="BA71" s="21">
        <f ca="1">IF(AZ70=0,0,
IF(OR(AZ70="",COUNTIF(AZ70,"*保育無し*")),"",
IF(MOD(AZ71-AZ70,1)*24&gt;=8,1,
IF(MOD(AZ71-AZ70,1)*24&gt;=6,0.75,0))))</f>
        <v>0</v>
      </c>
      <c r="BB71" s="21">
        <f t="array" aca="1" ref="BB71" ca="1">IFERROR(IF(BA70&lt;&gt;0,INDEX(
INDIRECT("'シフト一覧（転載）'!"&amp;BA70&amp;":AK100"),1+1,
MATCH(1,INDEX((LEN(INDIRECT("'シフト一覧（転載）'!"&amp;BA70&amp;":AK100"))&gt;0)
*(INDIRECT("'シフト一覧（転載）'!"&amp;BA70&amp;":AK100")&lt;&gt;"休み"),1,0),0)),0),"")</f>
        <v>0</v>
      </c>
      <c r="BC71" s="21">
        <f ca="1">IF(BB70=0,0,
IF(OR(BB70="",COUNTIF(BB70,"*保育無し*")),"",
IF(MOD(BB71-BB70,1)*24&gt;=8,1,
IF(MOD(BB71-BB70,1)*24&gt;=6,0.75,0))))</f>
        <v>0</v>
      </c>
      <c r="BD71" s="21">
        <f t="array" aca="1" ref="BD71" ca="1">IFERROR(IF(BC70&lt;&gt;0,INDEX(
INDIRECT("'シフト一覧（転載）'!"&amp;BC70&amp;":AK100"),1+1,
MATCH(1,INDEX((LEN(INDIRECT("'シフト一覧（転載）'!"&amp;BC70&amp;":AK100"))&gt;0)
*(INDIRECT("'シフト一覧（転載）'!"&amp;BC70&amp;":AK100")&lt;&gt;"休み"),1,0),0)),0),"")</f>
        <v>0</v>
      </c>
      <c r="BE71" s="21">
        <f ca="1">IF(BD70=0,0,
IF(OR(BD70="",COUNTIF(BD70,"*保育無し*")),"",
IF(MOD(BD71-BD70,1)*24&gt;=8,1,
IF(MOD(BD71-BD70,1)*24&gt;=6,0.75,0))))</f>
        <v>0</v>
      </c>
      <c r="BF71" s="21">
        <f t="array" aca="1" ref="BF71" ca="1">IFERROR(IF(BE70&lt;&gt;0,INDEX(
INDIRECT("'シフト一覧（転載）'!"&amp;BE70&amp;":AK100"),1+1,
MATCH(1,INDEX((LEN(INDIRECT("'シフト一覧（転載）'!"&amp;BE70&amp;":AK100"))&gt;0)
*(INDIRECT("'シフト一覧（転載）'!"&amp;BE70&amp;":AK100")&lt;&gt;"休み"),1,0),0)),0),"")</f>
        <v>0</v>
      </c>
      <c r="BG71" s="21">
        <f ca="1">IF(BF70=0,0,
IF(OR(BF70="",COUNTIF(BF70,"*保育無し*")),"",
IF(MOD(BF71-BF70,1)*24&gt;=8,1,
IF(MOD(BF71-BF70,1)*24&gt;=6,0.75,0))))</f>
        <v>0</v>
      </c>
      <c r="BH71" s="21">
        <f t="array" aca="1" ref="BH71" ca="1">IFERROR(IF(BG70&lt;&gt;0,INDEX(
INDIRECT("'シフト一覧（転載）'!"&amp;BG70&amp;":AK100"),1+1,
MATCH(1,INDEX((LEN(INDIRECT("'シフト一覧（転載）'!"&amp;BG70&amp;":AK100"))&gt;0)
*(INDIRECT("'シフト一覧（転載）'!"&amp;BG70&amp;":AK100")&lt;&gt;"休み"),1,0),0)),0),"")</f>
        <v>0</v>
      </c>
      <c r="BI71" s="21">
        <f ca="1">IF(BH70=0,0,
IF(OR(BH70="",COUNTIF(BH70,"*保育無し*")),"",
IF(MOD(BH71-BH70,1)*24&gt;=8,1,
IF(MOD(BH71-BH70,1)*24&gt;=6,0.75,0))))</f>
        <v>0</v>
      </c>
      <c r="BJ71" s="21">
        <f t="array" aca="1" ref="BJ71" ca="1">IFERROR(IF(BI70&lt;&gt;0,INDEX(
INDIRECT("'シフト一覧（転載）'!"&amp;BI70&amp;":AK100"),1+1,
MATCH(1,INDEX((LEN(INDIRECT("'シフト一覧（転載）'!"&amp;BI70&amp;":AK100"))&gt;0)
*(INDIRECT("'シフト一覧（転載）'!"&amp;BI70&amp;":AK100")&lt;&gt;"休み"),1,0),0)),0),"")</f>
        <v>0</v>
      </c>
      <c r="BK71" s="21">
        <f ca="1">IF(BJ70=0,0,
IF(OR(BJ70="",COUNTIF(BJ70,"*保育無し*")),"",
IF(MOD(BJ71-BJ70,1)*24&gt;=8,1,
IF(MOD(BJ71-BJ70,1)*24&gt;=6,0.75,0))))</f>
        <v>0</v>
      </c>
      <c r="BL71" s="21">
        <f t="array" aca="1" ref="BL71" ca="1">IFERROR(IF(BK70&lt;&gt;0,INDEX(
INDIRECT("'シフト一覧（転載）'!"&amp;BK70&amp;":AK100"),1+1,
MATCH(1,INDEX((LEN(INDIRECT("'シフト一覧（転載）'!"&amp;BK70&amp;":AK100"))&gt;0)
*(INDIRECT("'シフト一覧（転載）'!"&amp;BK70&amp;":AK100")&lt;&gt;"休み"),1,0),0)),0),"")</f>
        <v>0</v>
      </c>
      <c r="BM71" s="21">
        <f ca="1">IF(BL70=0,0,
IF(OR(BL70="",COUNTIF(BL70,"*保育無し*")),"",
IF(MOD(BL71-BL70,1)*24&gt;=8,1,
IF(MOD(BL71-BL70,1)*24&gt;=6,0.75,0))))</f>
        <v>0</v>
      </c>
      <c r="BN71" s="21">
        <f t="array" aca="1" ref="BN71" ca="1">IFERROR(IF(BM70&lt;&gt;0,INDEX(
INDIRECT("'シフト一覧（転載）'!"&amp;BM70&amp;":AK100"),1+1,
MATCH(1,INDEX((LEN(INDIRECT("'シフト一覧（転載）'!"&amp;BM70&amp;":AK100"))&gt;0)
*(INDIRECT("'シフト一覧（転載）'!"&amp;BM70&amp;":AK100")&lt;&gt;"休み"),1,0),0)),0),"")</f>
        <v>0</v>
      </c>
      <c r="BO71" s="21">
        <f ca="1">IF(BN70=0,0,
IF(OR(BN70="",COUNTIF(BN70,"*保育無し*")),"",
IF(MOD(BN71-BN70,1)*24&gt;=8,1,
IF(MOD(BN71-BN70,1)*24&gt;=6,0.75,0))))</f>
        <v>0</v>
      </c>
      <c r="BP71" s="21">
        <f t="array" aca="1" ref="BP71" ca="1">IFERROR(IF(BO70&lt;&gt;0,INDEX(
INDIRECT("'シフト一覧（転載）'!"&amp;BO70&amp;":AK100"),1+1,
MATCH(1,INDEX((LEN(INDIRECT("'シフト一覧（転載）'!"&amp;BO70&amp;":AK100"))&gt;0)
*(INDIRECT("'シフト一覧（転載）'!"&amp;BO70&amp;":AK100")&lt;&gt;"休み"),1,0),0)),0),"")</f>
        <v>0</v>
      </c>
      <c r="BQ71" s="21">
        <f ca="1">IF(BP70=0,0,
IF(OR(BP70="",COUNTIF(BP70,"*保育無し*")),"",
IF(MOD(BP71-BP70,1)*24&gt;=8,1,
IF(MOD(BP71-BP70,1)*24&gt;=6,0.75,0))))</f>
        <v>0</v>
      </c>
      <c r="BR71" s="21">
        <f t="array" aca="1" ref="BR71" ca="1">IFERROR(IF(BQ70&lt;&gt;0,INDEX(
INDIRECT("'シフト一覧（転載）'!"&amp;BQ70&amp;":AK100"),1+1,
MATCH(1,INDEX((LEN(INDIRECT("'シフト一覧（転載）'!"&amp;BQ70&amp;":AK100"))&gt;0)
*(INDIRECT("'シフト一覧（転載）'!"&amp;BQ70&amp;":AK100")&lt;&gt;"休み"),1,0),0)),0),"")</f>
        <v>0</v>
      </c>
      <c r="BS71" s="21">
        <f ca="1">IF(BR70=0,0,
IF(OR(BR70="",COUNTIF(BR70,"*保育無し*")),"",
IF(MOD(BR71-BR70,1)*24&gt;=8,1,
IF(MOD(BR71-BR70,1)*24&gt;=6,0.75,0))))</f>
        <v>0</v>
      </c>
      <c r="BT71" s="21">
        <f t="array" aca="1" ref="BT71" ca="1">IFERROR(IF(BS70&lt;&gt;0,INDEX(
INDIRECT("'シフト一覧（転載）'!"&amp;BS70&amp;":AK100"),1+1,
MATCH(1,INDEX((LEN(INDIRECT("'シフト一覧（転載）'!"&amp;BS70&amp;":AK100"))&gt;0)
*(INDIRECT("'シフト一覧（転載）'!"&amp;BS70&amp;":AK100")&lt;&gt;"休み"),1,0),0)),0),"")</f>
        <v>0</v>
      </c>
      <c r="BU71" s="21">
        <f ca="1">IF(BT70=0,0,
IF(OR(BT70="",COUNTIF(BT70,"*保育無し*")),"",
IF(MOD(BT71-BT70,1)*24&gt;=8,1,
IF(MOD(BT71-BT70,1)*24&gt;=6,0.75,0))))</f>
        <v>0</v>
      </c>
      <c r="BV71" s="21">
        <f t="array" aca="1" ref="BV71" ca="1">IFERROR(IF(BU70&lt;&gt;0,INDEX(
INDIRECT("'シフト一覧（転載）'!"&amp;BU70&amp;":AK100"),1+1,
MATCH(1,INDEX((LEN(INDIRECT("'シフト一覧（転載）'!"&amp;BU70&amp;":AK100"))&gt;0)
*(INDIRECT("'シフト一覧（転載）'!"&amp;BU70&amp;":AK100")&lt;&gt;"休み"),1,0),0)),0),"")</f>
        <v>0</v>
      </c>
      <c r="BW71" s="21">
        <f ca="1">IF(BV70=0,0,
IF(OR(BV70="",COUNTIF(BV70,"*保育無し*")),"",
IF(MOD(BV71-BV70,1)*24&gt;=8,1,
IF(MOD(BV71-BV70,1)*24&gt;=6,0.75,0))))</f>
        <v>0</v>
      </c>
      <c r="BX71" s="21">
        <f t="array" aca="1" ref="BX71" ca="1">IFERROR(IF(BW70&lt;&gt;0,INDEX(
INDIRECT("'シフト一覧（転載）'!"&amp;BW70&amp;":AK100"),1+1,
MATCH(1,INDEX((LEN(INDIRECT("'シフト一覧（転載）'!"&amp;BW70&amp;":AK100"))&gt;0)
*(INDIRECT("'シフト一覧（転載）'!"&amp;BW70&amp;":AK100")&lt;&gt;"休み"),1,0),0)),0),"")</f>
        <v>0</v>
      </c>
      <c r="BY71" s="21">
        <f ca="1">IF(BX70=0,0,
IF(OR(BX70="",COUNTIF(BX70,"*保育無し*")),"",
IF(MOD(BX71-BX70,1)*24&gt;=8,1,
IF(MOD(BX71-BX70,1)*24&gt;=6,0.75,0))))</f>
        <v>0</v>
      </c>
    </row>
    <row r="72" spans="12:77" x14ac:dyDescent="0.2">
      <c r="L72" s="108"/>
      <c r="M72" s="108"/>
      <c r="N72" s="108"/>
      <c r="O72" s="115"/>
      <c r="P72" s="113"/>
      <c r="Q72" s="113"/>
      <c r="R72" s="113"/>
    </row>
    <row r="73" spans="12:77" x14ac:dyDescent="0.2">
      <c r="L73" s="108"/>
      <c r="M73" s="114"/>
      <c r="N73" s="114"/>
      <c r="O73" s="114"/>
      <c r="P73" s="113"/>
      <c r="Q73" s="113"/>
      <c r="R73" s="113"/>
    </row>
    <row r="74" spans="12:77" x14ac:dyDescent="0.2">
      <c r="L74" s="108"/>
      <c r="M74" s="108"/>
      <c r="N74" s="108"/>
      <c r="O74" s="115"/>
      <c r="P74" s="113"/>
      <c r="Q74" s="113"/>
      <c r="R74" s="113"/>
    </row>
    <row r="75" spans="12:77" x14ac:dyDescent="0.2">
      <c r="L75" s="108"/>
      <c r="M75" s="114"/>
      <c r="N75" s="114"/>
      <c r="O75" s="114"/>
      <c r="P75" s="113"/>
      <c r="Q75" s="113"/>
      <c r="R75" s="113"/>
    </row>
    <row r="76" spans="12:77" x14ac:dyDescent="0.2">
      <c r="L76" s="108"/>
      <c r="M76" s="108"/>
      <c r="N76" s="108"/>
      <c r="O76" s="115"/>
      <c r="P76" s="113"/>
      <c r="Q76" s="113"/>
      <c r="R76" s="113"/>
    </row>
    <row r="77" spans="12:77" x14ac:dyDescent="0.2">
      <c r="L77" s="108"/>
      <c r="M77" s="114"/>
      <c r="N77" s="114"/>
      <c r="O77" s="114"/>
      <c r="P77" s="113"/>
      <c r="Q77" s="113"/>
      <c r="R77" s="113"/>
    </row>
    <row r="78" spans="12:77" x14ac:dyDescent="0.2">
      <c r="L78" s="108"/>
      <c r="M78" s="108"/>
      <c r="N78" s="108"/>
      <c r="O78" s="115"/>
      <c r="P78" s="113"/>
      <c r="Q78" s="113"/>
      <c r="R78" s="113"/>
    </row>
    <row r="79" spans="12:77" x14ac:dyDescent="0.2">
      <c r="L79" s="108"/>
      <c r="M79" s="114"/>
      <c r="N79" s="114"/>
      <c r="O79" s="114"/>
      <c r="P79" s="113"/>
      <c r="Q79" s="113"/>
      <c r="R79" s="113"/>
    </row>
    <row r="80" spans="12:77" x14ac:dyDescent="0.2">
      <c r="L80" s="108"/>
      <c r="M80" s="108"/>
      <c r="N80" s="108"/>
      <c r="O80" s="115"/>
      <c r="P80" s="113"/>
      <c r="Q80" s="113"/>
      <c r="R80" s="113"/>
    </row>
    <row r="81" spans="12:18" x14ac:dyDescent="0.2">
      <c r="L81" s="108"/>
      <c r="M81" s="114"/>
      <c r="N81" s="114"/>
      <c r="O81" s="114"/>
      <c r="P81" s="113"/>
      <c r="Q81" s="113"/>
      <c r="R81" s="113"/>
    </row>
    <row r="82" spans="12:18" x14ac:dyDescent="0.2">
      <c r="L82" s="108"/>
      <c r="M82" s="108"/>
      <c r="N82" s="108"/>
      <c r="O82" s="115"/>
      <c r="P82" s="113"/>
      <c r="Q82" s="113"/>
      <c r="R82" s="113"/>
    </row>
    <row r="83" spans="12:18" x14ac:dyDescent="0.2">
      <c r="L83" s="108"/>
      <c r="M83" s="114"/>
      <c r="N83" s="114"/>
      <c r="O83" s="114"/>
      <c r="P83" s="113"/>
      <c r="Q83" s="113"/>
      <c r="R83" s="113"/>
    </row>
    <row r="84" spans="12:18" x14ac:dyDescent="0.2">
      <c r="L84" s="108"/>
      <c r="M84" s="108"/>
      <c r="N84" s="108"/>
      <c r="O84" s="115"/>
      <c r="P84" s="113"/>
      <c r="Q84" s="113"/>
      <c r="R84" s="113"/>
    </row>
    <row r="85" spans="12:18" x14ac:dyDescent="0.2">
      <c r="L85" s="108"/>
      <c r="M85" s="114"/>
      <c r="N85" s="114"/>
      <c r="O85" s="114"/>
      <c r="P85" s="113"/>
      <c r="Q85" s="113"/>
      <c r="R85" s="113"/>
    </row>
    <row r="86" spans="12:18" x14ac:dyDescent="0.2">
      <c r="L86" s="108"/>
      <c r="M86" s="108"/>
      <c r="N86" s="108"/>
      <c r="O86" s="115"/>
      <c r="P86" s="113"/>
      <c r="Q86" s="113"/>
      <c r="R86" s="113"/>
    </row>
    <row r="87" spans="12:18" x14ac:dyDescent="0.2">
      <c r="L87" s="108"/>
      <c r="M87" s="114"/>
      <c r="N87" s="114"/>
      <c r="O87" s="114"/>
      <c r="P87" s="113"/>
      <c r="Q87" s="113"/>
      <c r="R87" s="113"/>
    </row>
    <row r="88" spans="12:18" x14ac:dyDescent="0.2">
      <c r="L88" s="108"/>
      <c r="M88" s="108"/>
      <c r="N88" s="108"/>
      <c r="O88" s="115"/>
      <c r="P88" s="113"/>
      <c r="Q88" s="113"/>
      <c r="R88" s="113"/>
    </row>
    <row r="89" spans="12:18" x14ac:dyDescent="0.2">
      <c r="L89" s="108"/>
      <c r="M89" s="114"/>
      <c r="N89" s="114"/>
      <c r="O89" s="114"/>
      <c r="P89" s="113"/>
      <c r="Q89" s="113"/>
      <c r="R89" s="113"/>
    </row>
    <row r="90" spans="12:18" x14ac:dyDescent="0.2">
      <c r="L90" s="108"/>
      <c r="M90" s="108"/>
      <c r="N90" s="108"/>
      <c r="O90" s="115"/>
      <c r="P90" s="113"/>
      <c r="Q90" s="113"/>
      <c r="R90" s="113"/>
    </row>
    <row r="91" spans="12:18" x14ac:dyDescent="0.2">
      <c r="L91" s="108"/>
      <c r="M91" s="114"/>
      <c r="N91" s="114"/>
      <c r="O91" s="114"/>
      <c r="P91" s="113"/>
      <c r="Q91" s="113"/>
      <c r="R91" s="113"/>
    </row>
    <row r="92" spans="12:18" x14ac:dyDescent="0.2">
      <c r="L92" s="108"/>
      <c r="M92" s="108"/>
      <c r="N92" s="108"/>
      <c r="O92" s="115"/>
      <c r="P92" s="113"/>
      <c r="Q92" s="113"/>
      <c r="R92" s="113"/>
    </row>
    <row r="93" spans="12:18" x14ac:dyDescent="0.2">
      <c r="L93" s="108"/>
      <c r="M93" s="114"/>
      <c r="N93" s="114"/>
      <c r="O93" s="114"/>
      <c r="P93" s="113"/>
      <c r="Q93" s="113"/>
      <c r="R93" s="113"/>
    </row>
    <row r="94" spans="12:18" x14ac:dyDescent="0.2">
      <c r="L94" s="108"/>
      <c r="M94" s="108"/>
      <c r="N94" s="108"/>
      <c r="O94" s="115"/>
      <c r="P94" s="113"/>
      <c r="Q94" s="113"/>
      <c r="R94" s="113"/>
    </row>
    <row r="95" spans="12:18" x14ac:dyDescent="0.2">
      <c r="L95" s="108"/>
      <c r="M95" s="114"/>
      <c r="N95" s="114"/>
      <c r="O95" s="114"/>
      <c r="P95" s="113"/>
      <c r="Q95" s="113"/>
      <c r="R95" s="113"/>
    </row>
    <row r="96" spans="12:18" x14ac:dyDescent="0.2">
      <c r="L96" s="108"/>
      <c r="M96" s="108"/>
      <c r="N96" s="108"/>
      <c r="O96" s="115"/>
      <c r="P96" s="113"/>
      <c r="Q96" s="113"/>
      <c r="R96" s="113"/>
    </row>
    <row r="97" spans="12:18" x14ac:dyDescent="0.2">
      <c r="L97" s="108"/>
      <c r="M97" s="114"/>
      <c r="N97" s="114"/>
      <c r="O97" s="114"/>
      <c r="P97" s="113"/>
      <c r="Q97" s="113"/>
      <c r="R97" s="113"/>
    </row>
    <row r="98" spans="12:18" x14ac:dyDescent="0.2">
      <c r="L98" s="108"/>
      <c r="M98" s="108"/>
      <c r="N98" s="108"/>
      <c r="O98" s="115"/>
      <c r="P98" s="113"/>
      <c r="Q98" s="113"/>
      <c r="R98" s="113"/>
    </row>
    <row r="99" spans="12:18" x14ac:dyDescent="0.2">
      <c r="L99" s="108"/>
      <c r="M99" s="114"/>
      <c r="N99" s="114"/>
      <c r="O99" s="114"/>
      <c r="P99" s="113"/>
      <c r="Q99" s="113"/>
      <c r="R99" s="113"/>
    </row>
    <row r="100" spans="12:18" x14ac:dyDescent="0.2">
      <c r="L100" s="108"/>
      <c r="M100" s="108"/>
      <c r="N100" s="108"/>
      <c r="O100" s="115"/>
      <c r="P100" s="113"/>
      <c r="Q100" s="113"/>
      <c r="R100" s="113"/>
    </row>
    <row r="101" spans="12:18" x14ac:dyDescent="0.2">
      <c r="L101" s="108"/>
      <c r="M101" s="114"/>
      <c r="N101" s="114"/>
      <c r="O101" s="114"/>
      <c r="P101" s="113"/>
      <c r="Q101" s="113"/>
      <c r="R101" s="113"/>
    </row>
    <row r="102" spans="12:18" x14ac:dyDescent="0.2">
      <c r="L102" s="108"/>
      <c r="M102" s="108"/>
      <c r="N102" s="108"/>
      <c r="O102" s="115"/>
      <c r="P102" s="113"/>
      <c r="Q102" s="113"/>
      <c r="R102" s="113"/>
    </row>
    <row r="103" spans="12:18" x14ac:dyDescent="0.2">
      <c r="L103" s="108"/>
      <c r="M103" s="114"/>
      <c r="N103" s="114"/>
      <c r="O103" s="114"/>
      <c r="P103" s="113"/>
      <c r="Q103" s="113"/>
      <c r="R103" s="113"/>
    </row>
    <row r="104" spans="12:18" x14ac:dyDescent="0.2">
      <c r="L104" s="108"/>
      <c r="M104" s="108"/>
      <c r="N104" s="108"/>
      <c r="O104" s="115"/>
      <c r="P104" s="113"/>
      <c r="Q104" s="113"/>
      <c r="R104" s="113"/>
    </row>
    <row r="105" spans="12:18" x14ac:dyDescent="0.2">
      <c r="L105" s="108"/>
      <c r="M105" s="114"/>
      <c r="N105" s="114"/>
      <c r="O105" s="114"/>
      <c r="P105" s="113"/>
      <c r="Q105" s="113"/>
      <c r="R105" s="113"/>
    </row>
    <row r="106" spans="12:18" x14ac:dyDescent="0.2">
      <c r="L106" s="108"/>
      <c r="M106" s="108"/>
      <c r="N106" s="108"/>
      <c r="O106" s="115"/>
      <c r="P106" s="113"/>
      <c r="Q106" s="113"/>
      <c r="R106" s="113"/>
    </row>
    <row r="107" spans="12:18" x14ac:dyDescent="0.2">
      <c r="L107" s="108"/>
      <c r="M107" s="114"/>
      <c r="N107" s="114"/>
      <c r="O107" s="114"/>
      <c r="P107" s="113"/>
      <c r="Q107" s="113"/>
      <c r="R107" s="113"/>
    </row>
    <row r="108" spans="12:18" x14ac:dyDescent="0.2">
      <c r="L108" s="108"/>
      <c r="M108" s="108"/>
      <c r="N108" s="108"/>
      <c r="O108" s="115"/>
      <c r="P108" s="113"/>
      <c r="Q108" s="113"/>
      <c r="R108" s="113"/>
    </row>
    <row r="109" spans="12:18" x14ac:dyDescent="0.2">
      <c r="L109" s="108"/>
      <c r="M109" s="114"/>
      <c r="N109" s="114"/>
      <c r="O109" s="114"/>
      <c r="P109" s="113"/>
      <c r="Q109" s="113"/>
      <c r="R109" s="113"/>
    </row>
    <row r="110" spans="12:18" x14ac:dyDescent="0.2">
      <c r="L110" s="108"/>
      <c r="M110" s="108"/>
      <c r="N110" s="108"/>
      <c r="O110" s="115"/>
      <c r="P110" s="113"/>
      <c r="Q110" s="113"/>
      <c r="R110" s="113"/>
    </row>
    <row r="111" spans="12:18" x14ac:dyDescent="0.2">
      <c r="L111" s="108"/>
      <c r="M111" s="114"/>
      <c r="N111" s="114"/>
      <c r="O111" s="114"/>
      <c r="P111" s="113"/>
      <c r="Q111" s="113"/>
      <c r="R111" s="113"/>
    </row>
    <row r="112" spans="12:18" x14ac:dyDescent="0.2">
      <c r="L112" s="108"/>
      <c r="M112" s="108"/>
      <c r="N112" s="108"/>
      <c r="O112" s="115"/>
      <c r="P112" s="113"/>
      <c r="Q112" s="113"/>
      <c r="R112" s="113"/>
    </row>
    <row r="113" spans="12:18" x14ac:dyDescent="0.2">
      <c r="L113" s="108"/>
      <c r="M113" s="114"/>
      <c r="N113" s="114"/>
      <c r="O113" s="114"/>
      <c r="P113" s="113"/>
      <c r="Q113" s="113"/>
      <c r="R113" s="113"/>
    </row>
    <row r="114" spans="12:18" x14ac:dyDescent="0.2">
      <c r="L114" s="108"/>
      <c r="M114" s="108"/>
      <c r="N114" s="108"/>
      <c r="O114" s="115"/>
      <c r="P114" s="113"/>
      <c r="Q114" s="113"/>
      <c r="R114" s="113"/>
    </row>
    <row r="115" spans="12:18" x14ac:dyDescent="0.2">
      <c r="L115" s="108"/>
      <c r="M115" s="114"/>
      <c r="N115" s="114"/>
      <c r="O115" s="114"/>
      <c r="P115" s="113"/>
      <c r="Q115" s="113"/>
      <c r="R115" s="113"/>
    </row>
    <row r="116" spans="12:18" x14ac:dyDescent="0.2">
      <c r="L116" s="108"/>
      <c r="M116" s="108"/>
      <c r="N116" s="108"/>
      <c r="O116" s="115"/>
      <c r="P116" s="113"/>
      <c r="Q116" s="113"/>
      <c r="R116" s="113"/>
    </row>
    <row r="117" spans="12:18" x14ac:dyDescent="0.2">
      <c r="L117" s="108"/>
      <c r="M117" s="114"/>
      <c r="N117" s="114"/>
      <c r="O117" s="114"/>
      <c r="P117" s="113"/>
      <c r="Q117" s="113"/>
      <c r="R117" s="113"/>
    </row>
    <row r="118" spans="12:18" x14ac:dyDescent="0.2">
      <c r="L118" s="108"/>
      <c r="M118" s="108"/>
      <c r="N118" s="108"/>
      <c r="O118" s="115"/>
      <c r="P118" s="113"/>
      <c r="Q118" s="113"/>
      <c r="R118" s="113"/>
    </row>
    <row r="119" spans="12:18" x14ac:dyDescent="0.2">
      <c r="L119" s="108"/>
      <c r="M119" s="114"/>
      <c r="N119" s="114"/>
      <c r="O119" s="114"/>
      <c r="P119" s="113"/>
      <c r="Q119" s="113"/>
      <c r="R119" s="113"/>
    </row>
    <row r="120" spans="12:18" x14ac:dyDescent="0.2">
      <c r="L120" s="108"/>
      <c r="M120" s="108"/>
      <c r="N120" s="108"/>
      <c r="O120" s="115"/>
      <c r="P120" s="113"/>
      <c r="Q120" s="113"/>
      <c r="R120" s="113"/>
    </row>
    <row r="121" spans="12:18" x14ac:dyDescent="0.2">
      <c r="L121" s="108"/>
      <c r="M121" s="114"/>
      <c r="N121" s="114"/>
      <c r="O121" s="114"/>
      <c r="P121" s="113"/>
      <c r="Q121" s="113"/>
      <c r="R121" s="113"/>
    </row>
    <row r="122" spans="12:18" x14ac:dyDescent="0.2">
      <c r="L122" s="108"/>
      <c r="M122" s="108"/>
      <c r="N122" s="108"/>
      <c r="O122" s="115"/>
      <c r="P122" s="113"/>
      <c r="Q122" s="113"/>
      <c r="R122" s="113"/>
    </row>
    <row r="123" spans="12:18" x14ac:dyDescent="0.2">
      <c r="L123" s="108"/>
      <c r="M123" s="114"/>
      <c r="N123" s="114"/>
      <c r="O123" s="114"/>
      <c r="P123" s="113"/>
      <c r="Q123" s="113"/>
      <c r="R123" s="113"/>
    </row>
    <row r="124" spans="12:18" x14ac:dyDescent="0.2">
      <c r="L124" s="108"/>
      <c r="M124" s="108"/>
      <c r="N124" s="108"/>
      <c r="O124" s="115"/>
      <c r="P124" s="113"/>
      <c r="Q124" s="113"/>
      <c r="R124" s="113"/>
    </row>
    <row r="125" spans="12:18" x14ac:dyDescent="0.2">
      <c r="L125" s="108"/>
      <c r="M125" s="114"/>
      <c r="N125" s="114"/>
      <c r="O125" s="114"/>
      <c r="P125" s="113"/>
      <c r="Q125" s="113"/>
      <c r="R125" s="113"/>
    </row>
    <row r="126" spans="12:18" x14ac:dyDescent="0.2">
      <c r="L126" s="108"/>
      <c r="M126" s="108"/>
      <c r="N126" s="108"/>
      <c r="O126" s="115"/>
      <c r="P126" s="113"/>
      <c r="Q126" s="113"/>
      <c r="R126" s="113"/>
    </row>
    <row r="127" spans="12:18" x14ac:dyDescent="0.2">
      <c r="L127" s="108"/>
      <c r="M127" s="114"/>
      <c r="N127" s="114"/>
      <c r="O127" s="114"/>
      <c r="P127" s="113"/>
      <c r="Q127" s="113"/>
      <c r="R127" s="113"/>
    </row>
    <row r="128" spans="12:18" x14ac:dyDescent="0.2">
      <c r="L128" s="108"/>
      <c r="M128" s="108"/>
      <c r="N128" s="108"/>
      <c r="O128" s="115"/>
      <c r="P128" s="113"/>
      <c r="Q128" s="113"/>
      <c r="R128" s="113"/>
    </row>
    <row r="129" spans="12:18" x14ac:dyDescent="0.2">
      <c r="L129" s="108"/>
      <c r="M129" s="114"/>
      <c r="N129" s="114"/>
      <c r="O129" s="114"/>
      <c r="P129" s="113"/>
      <c r="Q129" s="113"/>
      <c r="R129" s="113"/>
    </row>
    <row r="130" spans="12:18" x14ac:dyDescent="0.2">
      <c r="L130" s="108"/>
      <c r="M130" s="108"/>
      <c r="N130" s="108"/>
      <c r="O130" s="115"/>
      <c r="P130" s="113"/>
      <c r="Q130" s="113"/>
      <c r="R130" s="113"/>
    </row>
    <row r="131" spans="12:18" x14ac:dyDescent="0.2">
      <c r="L131" s="108"/>
      <c r="M131" s="114"/>
      <c r="N131" s="114"/>
      <c r="O131" s="114"/>
      <c r="P131" s="113"/>
      <c r="Q131" s="113"/>
      <c r="R131" s="113"/>
    </row>
    <row r="132" spans="12:18" x14ac:dyDescent="0.2">
      <c r="L132" s="108"/>
      <c r="M132" s="108"/>
      <c r="N132" s="108"/>
      <c r="O132" s="115"/>
      <c r="P132" s="113"/>
      <c r="Q132" s="113"/>
      <c r="R132" s="113"/>
    </row>
    <row r="133" spans="12:18" x14ac:dyDescent="0.2">
      <c r="L133" s="108"/>
      <c r="M133" s="114"/>
      <c r="N133" s="114"/>
      <c r="O133" s="114"/>
      <c r="P133" s="113"/>
      <c r="Q133" s="113"/>
      <c r="R133" s="113"/>
    </row>
    <row r="134" spans="12:18" x14ac:dyDescent="0.2">
      <c r="L134" s="108"/>
      <c r="M134" s="108"/>
      <c r="N134" s="108"/>
      <c r="O134" s="115"/>
      <c r="P134" s="113"/>
      <c r="Q134" s="113"/>
      <c r="R134" s="113"/>
    </row>
    <row r="135" spans="12:18" x14ac:dyDescent="0.2">
      <c r="L135" s="108"/>
      <c r="M135" s="114"/>
      <c r="N135" s="114"/>
      <c r="O135" s="114"/>
      <c r="P135" s="113"/>
      <c r="Q135" s="113"/>
      <c r="R135" s="113"/>
    </row>
    <row r="136" spans="12:18" x14ac:dyDescent="0.2">
      <c r="L136" s="108"/>
      <c r="M136" s="108"/>
      <c r="N136" s="108"/>
      <c r="O136" s="115"/>
      <c r="P136" s="113"/>
      <c r="Q136" s="113"/>
      <c r="R136" s="113"/>
    </row>
    <row r="137" spans="12:18" x14ac:dyDescent="0.2">
      <c r="L137" s="108"/>
      <c r="M137" s="114"/>
      <c r="N137" s="114"/>
      <c r="O137" s="114"/>
      <c r="P137" s="113"/>
      <c r="Q137" s="113"/>
      <c r="R137" s="113"/>
    </row>
    <row r="138" spans="12:18" x14ac:dyDescent="0.2">
      <c r="L138" s="108"/>
      <c r="M138" s="108"/>
      <c r="N138" s="108"/>
      <c r="O138" s="115"/>
      <c r="P138" s="113"/>
      <c r="Q138" s="113"/>
      <c r="R138" s="113"/>
    </row>
    <row r="139" spans="12:18" x14ac:dyDescent="0.2">
      <c r="L139" s="108"/>
      <c r="M139" s="114"/>
      <c r="N139" s="114"/>
      <c r="O139" s="114"/>
      <c r="P139" s="113"/>
      <c r="Q139" s="113"/>
      <c r="R139" s="113"/>
    </row>
    <row r="140" spans="12:18" x14ac:dyDescent="0.2">
      <c r="L140" s="108"/>
      <c r="M140" s="108"/>
      <c r="N140" s="108"/>
      <c r="O140" s="115"/>
      <c r="P140" s="113"/>
      <c r="Q140" s="113"/>
      <c r="R140" s="113"/>
    </row>
    <row r="141" spans="12:18" x14ac:dyDescent="0.2">
      <c r="L141" s="108"/>
      <c r="M141" s="114"/>
      <c r="N141" s="114"/>
      <c r="O141" s="114"/>
      <c r="P141" s="113"/>
      <c r="Q141" s="113"/>
      <c r="R141" s="113"/>
    </row>
    <row r="142" spans="12:18" x14ac:dyDescent="0.2">
      <c r="L142" s="108"/>
      <c r="M142" s="108"/>
      <c r="N142" s="108"/>
      <c r="O142" s="115"/>
      <c r="P142" s="113"/>
      <c r="Q142" s="113"/>
      <c r="R142" s="113"/>
    </row>
    <row r="143" spans="12:18" x14ac:dyDescent="0.2">
      <c r="L143" s="108"/>
      <c r="M143" s="114"/>
      <c r="N143" s="114"/>
      <c r="O143" s="114"/>
      <c r="P143" s="113"/>
      <c r="Q143" s="113"/>
      <c r="R143" s="113"/>
    </row>
    <row r="144" spans="12:18" x14ac:dyDescent="0.2">
      <c r="L144" s="108"/>
      <c r="M144" s="108"/>
      <c r="N144" s="108"/>
      <c r="O144" s="115"/>
      <c r="P144" s="113"/>
      <c r="Q144" s="113"/>
      <c r="R144" s="113"/>
    </row>
    <row r="145" spans="12:18" x14ac:dyDescent="0.2">
      <c r="L145" s="108"/>
      <c r="M145" s="114"/>
      <c r="N145" s="114"/>
      <c r="O145" s="114"/>
      <c r="P145" s="113"/>
      <c r="Q145" s="113"/>
      <c r="R145" s="113"/>
    </row>
    <row r="146" spans="12:18" x14ac:dyDescent="0.2">
      <c r="L146" s="108"/>
      <c r="M146" s="108"/>
      <c r="N146" s="108"/>
      <c r="O146" s="115"/>
      <c r="P146" s="113"/>
      <c r="Q146" s="113"/>
      <c r="R146" s="113"/>
    </row>
    <row r="147" spans="12:18" x14ac:dyDescent="0.2">
      <c r="L147" s="108"/>
      <c r="M147" s="114"/>
      <c r="N147" s="114"/>
      <c r="O147" s="114"/>
      <c r="P147" s="113"/>
      <c r="Q147" s="113"/>
      <c r="R147" s="113"/>
    </row>
    <row r="148" spans="12:18" x14ac:dyDescent="0.2">
      <c r="L148" s="108"/>
      <c r="M148" s="108"/>
      <c r="N148" s="108"/>
      <c r="O148" s="115"/>
      <c r="P148" s="113"/>
      <c r="Q148" s="113"/>
      <c r="R148" s="113"/>
    </row>
    <row r="149" spans="12:18" x14ac:dyDescent="0.2">
      <c r="L149" s="108"/>
      <c r="M149" s="114"/>
      <c r="N149" s="114"/>
      <c r="O149" s="114"/>
      <c r="P149" s="113"/>
      <c r="Q149" s="113"/>
      <c r="R149" s="113"/>
    </row>
    <row r="150" spans="12:18" x14ac:dyDescent="0.2">
      <c r="L150" s="108"/>
      <c r="M150" s="108"/>
      <c r="N150" s="108"/>
      <c r="O150" s="115"/>
      <c r="P150" s="113"/>
      <c r="Q150" s="113"/>
      <c r="R150" s="113"/>
    </row>
    <row r="151" spans="12:18" x14ac:dyDescent="0.2">
      <c r="L151" s="108"/>
      <c r="M151" s="114"/>
      <c r="N151" s="114"/>
      <c r="O151" s="114"/>
      <c r="P151" s="113"/>
      <c r="Q151" s="113"/>
      <c r="R151" s="113"/>
    </row>
    <row r="152" spans="12:18" x14ac:dyDescent="0.2">
      <c r="L152" s="108"/>
      <c r="M152" s="108"/>
      <c r="N152" s="108"/>
      <c r="O152" s="115"/>
      <c r="P152" s="113"/>
      <c r="Q152" s="113"/>
      <c r="R152" s="113"/>
    </row>
    <row r="153" spans="12:18" x14ac:dyDescent="0.2">
      <c r="L153" s="108"/>
      <c r="M153" s="114"/>
      <c r="N153" s="114"/>
      <c r="O153" s="114"/>
      <c r="P153" s="113"/>
      <c r="Q153" s="113"/>
      <c r="R153" s="113"/>
    </row>
    <row r="154" spans="12:18" x14ac:dyDescent="0.2">
      <c r="L154" s="108"/>
      <c r="M154" s="108"/>
      <c r="N154" s="108"/>
      <c r="O154" s="115"/>
      <c r="P154" s="113"/>
      <c r="Q154" s="113"/>
      <c r="R154" s="113"/>
    </row>
    <row r="155" spans="12:18" x14ac:dyDescent="0.2">
      <c r="L155" s="108"/>
      <c r="M155" s="114"/>
      <c r="N155" s="114"/>
      <c r="O155" s="114"/>
      <c r="P155" s="113"/>
      <c r="Q155" s="113"/>
      <c r="R155" s="113"/>
    </row>
    <row r="156" spans="12:18" x14ac:dyDescent="0.2">
      <c r="L156" s="108"/>
      <c r="M156" s="108"/>
      <c r="N156" s="108"/>
      <c r="O156" s="115"/>
      <c r="P156" s="113"/>
      <c r="Q156" s="113"/>
      <c r="R156" s="113"/>
    </row>
    <row r="157" spans="12:18" x14ac:dyDescent="0.2">
      <c r="L157" s="108"/>
      <c r="M157" s="114"/>
      <c r="N157" s="114"/>
      <c r="O157" s="114"/>
      <c r="P157" s="113"/>
      <c r="Q157" s="113"/>
      <c r="R157" s="113"/>
    </row>
    <row r="158" spans="12:18" x14ac:dyDescent="0.2">
      <c r="L158" s="108"/>
      <c r="M158" s="108"/>
      <c r="N158" s="108"/>
      <c r="O158" s="115"/>
      <c r="P158" s="113"/>
      <c r="Q158" s="113"/>
      <c r="R158" s="113"/>
    </row>
    <row r="159" spans="12:18" x14ac:dyDescent="0.2">
      <c r="L159" s="108"/>
      <c r="M159" s="114"/>
      <c r="N159" s="114"/>
      <c r="O159" s="114"/>
      <c r="P159" s="113"/>
      <c r="Q159" s="113"/>
      <c r="R159" s="113"/>
    </row>
    <row r="160" spans="12:18" x14ac:dyDescent="0.2">
      <c r="L160" s="108"/>
      <c r="M160" s="108"/>
      <c r="N160" s="108"/>
      <c r="O160" s="115"/>
      <c r="P160" s="113"/>
      <c r="Q160" s="113"/>
      <c r="R160" s="113"/>
    </row>
    <row r="161" spans="12:18" x14ac:dyDescent="0.2">
      <c r="L161" s="108"/>
      <c r="M161" s="114"/>
      <c r="N161" s="114"/>
      <c r="O161" s="114"/>
      <c r="P161" s="113"/>
      <c r="Q161" s="113"/>
      <c r="R161" s="113"/>
    </row>
    <row r="162" spans="12:18" x14ac:dyDescent="0.2">
      <c r="L162" s="108"/>
      <c r="M162" s="108"/>
      <c r="N162" s="108"/>
      <c r="O162" s="115"/>
      <c r="P162" s="113"/>
      <c r="Q162" s="113"/>
      <c r="R162" s="113"/>
    </row>
    <row r="163" spans="12:18" x14ac:dyDescent="0.2">
      <c r="L163" s="108"/>
      <c r="M163" s="114"/>
      <c r="N163" s="114"/>
      <c r="O163" s="114"/>
      <c r="P163" s="113"/>
      <c r="Q163" s="113"/>
      <c r="R163" s="113"/>
    </row>
    <row r="164" spans="12:18" x14ac:dyDescent="0.2">
      <c r="L164" s="108"/>
      <c r="M164" s="108"/>
      <c r="N164" s="108"/>
      <c r="O164" s="115"/>
      <c r="P164" s="113"/>
      <c r="Q164" s="113"/>
      <c r="R164" s="113"/>
    </row>
    <row r="165" spans="12:18" x14ac:dyDescent="0.2">
      <c r="L165" s="108"/>
      <c r="M165" s="114"/>
      <c r="N165" s="114"/>
      <c r="O165" s="114"/>
      <c r="P165" s="113"/>
      <c r="Q165" s="113"/>
      <c r="R165" s="113"/>
    </row>
    <row r="166" spans="12:18" x14ac:dyDescent="0.2">
      <c r="L166" s="108"/>
      <c r="M166" s="108"/>
      <c r="N166" s="108"/>
      <c r="O166" s="115"/>
      <c r="P166" s="113"/>
      <c r="Q166" s="113"/>
      <c r="R166" s="113"/>
    </row>
    <row r="167" spans="12:18" x14ac:dyDescent="0.2">
      <c r="L167" s="108"/>
      <c r="M167" s="114"/>
      <c r="N167" s="114"/>
      <c r="O167" s="114"/>
      <c r="P167" s="113"/>
      <c r="Q167" s="113"/>
      <c r="R167" s="113"/>
    </row>
    <row r="168" spans="12:18" x14ac:dyDescent="0.2">
      <c r="L168" s="108"/>
      <c r="M168" s="108"/>
      <c r="N168" s="108"/>
      <c r="O168" s="115"/>
      <c r="P168" s="113"/>
      <c r="Q168" s="113"/>
      <c r="R168" s="113"/>
    </row>
    <row r="169" spans="12:18" x14ac:dyDescent="0.2">
      <c r="L169" s="108"/>
      <c r="M169" s="114"/>
      <c r="N169" s="114"/>
      <c r="O169" s="114"/>
      <c r="P169" s="113"/>
      <c r="Q169" s="113"/>
      <c r="R169" s="113"/>
    </row>
    <row r="170" spans="12:18" x14ac:dyDescent="0.2">
      <c r="L170" s="108"/>
      <c r="M170" s="108"/>
      <c r="N170" s="108"/>
      <c r="O170" s="115"/>
      <c r="P170" s="113"/>
      <c r="Q170" s="113"/>
      <c r="R170" s="113"/>
    </row>
    <row r="171" spans="12:18" x14ac:dyDescent="0.2">
      <c r="L171" s="108"/>
      <c r="M171" s="114"/>
      <c r="N171" s="114"/>
      <c r="O171" s="114"/>
      <c r="P171" s="113"/>
      <c r="Q171" s="113"/>
      <c r="R171" s="113"/>
    </row>
    <row r="172" spans="12:18" x14ac:dyDescent="0.2">
      <c r="L172" s="108"/>
      <c r="M172" s="108"/>
      <c r="N172" s="108"/>
      <c r="O172" s="115"/>
      <c r="P172" s="113"/>
      <c r="Q172" s="113"/>
      <c r="R172" s="113"/>
    </row>
    <row r="173" spans="12:18" x14ac:dyDescent="0.2">
      <c r="L173" s="108"/>
      <c r="M173" s="114"/>
      <c r="N173" s="114"/>
      <c r="O173" s="114"/>
      <c r="P173" s="113"/>
      <c r="Q173" s="113"/>
      <c r="R173" s="113"/>
    </row>
    <row r="174" spans="12:18" x14ac:dyDescent="0.2">
      <c r="L174" s="108"/>
      <c r="M174" s="108"/>
      <c r="N174" s="108"/>
      <c r="O174" s="115"/>
      <c r="P174" s="113"/>
      <c r="Q174" s="113"/>
      <c r="R174" s="113"/>
    </row>
    <row r="175" spans="12:18" x14ac:dyDescent="0.2">
      <c r="L175" s="108"/>
      <c r="M175" s="114"/>
      <c r="N175" s="114"/>
      <c r="O175" s="114"/>
      <c r="P175" s="113"/>
      <c r="Q175" s="113"/>
      <c r="R175" s="113"/>
    </row>
    <row r="176" spans="12:18" x14ac:dyDescent="0.2">
      <c r="L176" s="108"/>
      <c r="M176" s="108"/>
      <c r="N176" s="108"/>
      <c r="O176" s="115"/>
      <c r="P176" s="113"/>
      <c r="Q176" s="113"/>
      <c r="R176" s="113"/>
    </row>
    <row r="177" spans="12:18" x14ac:dyDescent="0.2">
      <c r="L177" s="108"/>
      <c r="M177" s="114"/>
      <c r="N177" s="114"/>
      <c r="O177" s="114"/>
      <c r="P177" s="113"/>
      <c r="Q177" s="113"/>
      <c r="R177" s="113"/>
    </row>
    <row r="178" spans="12:18" x14ac:dyDescent="0.2">
      <c r="L178" s="108"/>
      <c r="M178" s="108"/>
      <c r="N178" s="108"/>
      <c r="O178" s="115"/>
      <c r="P178" s="113"/>
      <c r="Q178" s="113"/>
      <c r="R178" s="113"/>
    </row>
    <row r="179" spans="12:18" x14ac:dyDescent="0.2">
      <c r="L179" s="108"/>
      <c r="M179" s="114"/>
      <c r="N179" s="114"/>
      <c r="O179" s="114"/>
      <c r="P179" s="113"/>
      <c r="Q179" s="113"/>
      <c r="R179" s="113"/>
    </row>
    <row r="180" spans="12:18" x14ac:dyDescent="0.2">
      <c r="L180" s="108"/>
      <c r="M180" s="108"/>
      <c r="N180" s="108"/>
      <c r="O180" s="115"/>
      <c r="P180" s="113"/>
      <c r="Q180" s="113"/>
      <c r="R180" s="113"/>
    </row>
    <row r="181" spans="12:18" x14ac:dyDescent="0.2">
      <c r="L181" s="108"/>
      <c r="M181" s="114"/>
      <c r="N181" s="114"/>
      <c r="O181" s="114"/>
      <c r="P181" s="113"/>
      <c r="Q181" s="113"/>
      <c r="R181" s="113"/>
    </row>
    <row r="182" spans="12:18" x14ac:dyDescent="0.2">
      <c r="L182" s="108"/>
      <c r="M182" s="108"/>
      <c r="N182" s="108"/>
      <c r="O182" s="115"/>
      <c r="P182" s="113"/>
      <c r="Q182" s="113"/>
      <c r="R182" s="113"/>
    </row>
    <row r="183" spans="12:18" x14ac:dyDescent="0.2">
      <c r="L183" s="108"/>
      <c r="M183" s="114"/>
      <c r="N183" s="114"/>
      <c r="O183" s="114"/>
      <c r="P183" s="113"/>
      <c r="Q183" s="113"/>
      <c r="R183" s="113"/>
    </row>
    <row r="184" spans="12:18" x14ac:dyDescent="0.2">
      <c r="L184" s="108"/>
      <c r="M184" s="108"/>
      <c r="N184" s="108"/>
      <c r="O184" s="115"/>
      <c r="P184" s="113"/>
      <c r="Q184" s="113"/>
      <c r="R184" s="113"/>
    </row>
    <row r="185" spans="12:18" x14ac:dyDescent="0.2">
      <c r="L185" s="108"/>
      <c r="M185" s="114"/>
      <c r="N185" s="114"/>
      <c r="O185" s="114"/>
      <c r="P185" s="113"/>
      <c r="Q185" s="113"/>
      <c r="R185" s="113"/>
    </row>
    <row r="186" spans="12:18" x14ac:dyDescent="0.2">
      <c r="L186" s="108"/>
      <c r="M186" s="108"/>
      <c r="N186" s="108"/>
      <c r="O186" s="115"/>
      <c r="P186" s="113"/>
      <c r="Q186" s="113"/>
      <c r="R186" s="113"/>
    </row>
    <row r="187" spans="12:18" x14ac:dyDescent="0.2">
      <c r="L187" s="108"/>
      <c r="M187" s="114"/>
      <c r="N187" s="114"/>
      <c r="O187" s="114"/>
      <c r="P187" s="113"/>
      <c r="Q187" s="113"/>
      <c r="R187" s="113"/>
    </row>
    <row r="188" spans="12:18" x14ac:dyDescent="0.2">
      <c r="L188" s="108"/>
      <c r="M188" s="108"/>
      <c r="N188" s="108"/>
      <c r="O188" s="115"/>
      <c r="P188" s="113"/>
      <c r="Q188" s="113"/>
      <c r="R188" s="113"/>
    </row>
    <row r="189" spans="12:18" x14ac:dyDescent="0.2">
      <c r="L189" s="108"/>
      <c r="M189" s="114"/>
      <c r="N189" s="114"/>
      <c r="O189" s="114"/>
      <c r="P189" s="113"/>
      <c r="Q189" s="113"/>
      <c r="R189" s="113"/>
    </row>
    <row r="190" spans="12:18" x14ac:dyDescent="0.2">
      <c r="L190" s="108"/>
      <c r="M190" s="108"/>
      <c r="N190" s="108"/>
      <c r="O190" s="115"/>
      <c r="P190" s="113"/>
      <c r="Q190" s="113"/>
      <c r="R190" s="113"/>
    </row>
    <row r="191" spans="12:18" x14ac:dyDescent="0.2">
      <c r="L191" s="108"/>
      <c r="M191" s="114"/>
      <c r="N191" s="114"/>
      <c r="O191" s="114"/>
      <c r="P191" s="113"/>
      <c r="Q191" s="113"/>
      <c r="R191" s="113"/>
    </row>
    <row r="192" spans="12:18" x14ac:dyDescent="0.2">
      <c r="L192" s="108"/>
      <c r="M192" s="108"/>
      <c r="N192" s="108"/>
      <c r="O192" s="115"/>
      <c r="P192" s="113"/>
      <c r="Q192" s="113"/>
      <c r="R192" s="113"/>
    </row>
    <row r="193" spans="12:18" x14ac:dyDescent="0.2">
      <c r="L193" s="108"/>
      <c r="M193" s="114"/>
      <c r="N193" s="114"/>
      <c r="O193" s="114"/>
      <c r="P193" s="113"/>
      <c r="Q193" s="113"/>
      <c r="R193" s="113"/>
    </row>
    <row r="194" spans="12:18" x14ac:dyDescent="0.2">
      <c r="L194" s="108"/>
      <c r="M194" s="108"/>
      <c r="N194" s="108"/>
      <c r="O194" s="115"/>
      <c r="P194" s="113"/>
      <c r="Q194" s="113"/>
      <c r="R194" s="113"/>
    </row>
    <row r="195" spans="12:18" x14ac:dyDescent="0.2">
      <c r="L195" s="108"/>
      <c r="M195" s="114"/>
      <c r="N195" s="114"/>
      <c r="O195" s="114"/>
      <c r="P195" s="113"/>
      <c r="Q195" s="113"/>
      <c r="R195" s="113"/>
    </row>
    <row r="196" spans="12:18" x14ac:dyDescent="0.2">
      <c r="L196" s="108"/>
      <c r="M196" s="108"/>
      <c r="N196" s="108"/>
      <c r="O196" s="115"/>
      <c r="P196" s="113"/>
      <c r="Q196" s="113"/>
      <c r="R196" s="113"/>
    </row>
    <row r="197" spans="12:18" x14ac:dyDescent="0.2">
      <c r="L197" s="108"/>
      <c r="M197" s="114"/>
      <c r="N197" s="114"/>
      <c r="O197" s="114"/>
      <c r="P197" s="113"/>
      <c r="Q197" s="113"/>
      <c r="R197" s="113"/>
    </row>
    <row r="198" spans="12:18" x14ac:dyDescent="0.2">
      <c r="L198" s="108"/>
      <c r="M198" s="108"/>
      <c r="N198" s="108"/>
      <c r="O198" s="115"/>
      <c r="P198" s="113"/>
      <c r="Q198" s="113"/>
      <c r="R198" s="113"/>
    </row>
    <row r="199" spans="12:18" x14ac:dyDescent="0.2">
      <c r="L199" s="108"/>
      <c r="M199" s="114"/>
      <c r="N199" s="114"/>
      <c r="O199" s="114"/>
      <c r="P199" s="113"/>
      <c r="Q199" s="113"/>
      <c r="R199" s="113"/>
    </row>
    <row r="200" spans="12:18" x14ac:dyDescent="0.2">
      <c r="L200" s="108"/>
      <c r="M200" s="108"/>
      <c r="N200" s="108"/>
      <c r="O200" s="115"/>
      <c r="P200" s="113"/>
      <c r="Q200" s="113"/>
      <c r="R200" s="113"/>
    </row>
    <row r="201" spans="12:18" x14ac:dyDescent="0.2">
      <c r="L201" s="108"/>
      <c r="M201" s="114"/>
      <c r="N201" s="114"/>
      <c r="O201" s="114"/>
      <c r="P201" s="113"/>
      <c r="Q201" s="113"/>
      <c r="R201" s="113"/>
    </row>
    <row r="202" spans="12:18" x14ac:dyDescent="0.2">
      <c r="L202" s="108"/>
      <c r="M202" s="108"/>
      <c r="N202" s="108"/>
      <c r="O202" s="115"/>
      <c r="P202" s="113"/>
      <c r="Q202" s="113"/>
      <c r="R202" s="113"/>
    </row>
    <row r="203" spans="12:18" x14ac:dyDescent="0.2">
      <c r="L203" s="108"/>
      <c r="M203" s="114"/>
      <c r="N203" s="114"/>
      <c r="O203" s="114"/>
      <c r="P203" s="113"/>
      <c r="Q203" s="113"/>
      <c r="R203" s="113"/>
    </row>
    <row r="204" spans="12:18" x14ac:dyDescent="0.2">
      <c r="L204" s="108"/>
      <c r="M204" s="108"/>
      <c r="N204" s="108"/>
      <c r="O204" s="115"/>
      <c r="P204" s="113"/>
      <c r="Q204" s="113"/>
      <c r="R204" s="113"/>
    </row>
    <row r="205" spans="12:18" x14ac:dyDescent="0.2">
      <c r="L205" s="108"/>
      <c r="M205" s="114"/>
      <c r="N205" s="114"/>
      <c r="O205" s="114"/>
      <c r="P205" s="113"/>
      <c r="Q205" s="113"/>
      <c r="R205" s="113"/>
    </row>
    <row r="206" spans="12:18" x14ac:dyDescent="0.2">
      <c r="L206" s="108"/>
      <c r="M206" s="108"/>
      <c r="N206" s="108"/>
      <c r="O206" s="115"/>
      <c r="P206" s="113"/>
      <c r="Q206" s="113"/>
      <c r="R206" s="113"/>
    </row>
    <row r="207" spans="12:18" x14ac:dyDescent="0.2">
      <c r="L207" s="108"/>
      <c r="M207" s="114"/>
      <c r="N207" s="114"/>
      <c r="O207" s="114"/>
      <c r="P207" s="113"/>
      <c r="Q207" s="113"/>
      <c r="R207" s="113"/>
    </row>
    <row r="208" spans="12:18" x14ac:dyDescent="0.2">
      <c r="L208" s="108"/>
      <c r="M208" s="108"/>
      <c r="N208" s="108"/>
      <c r="O208" s="115"/>
      <c r="P208" s="113"/>
      <c r="Q208" s="113"/>
      <c r="R208" s="113"/>
    </row>
    <row r="209" spans="12:18" x14ac:dyDescent="0.2">
      <c r="L209" s="108"/>
      <c r="M209" s="114"/>
      <c r="N209" s="114"/>
      <c r="O209" s="114"/>
      <c r="P209" s="113"/>
      <c r="Q209" s="113"/>
      <c r="R209" s="113"/>
    </row>
    <row r="210" spans="12:18" x14ac:dyDescent="0.2">
      <c r="L210" s="108"/>
      <c r="M210" s="108"/>
      <c r="N210" s="108"/>
      <c r="O210" s="115"/>
      <c r="P210" s="113"/>
      <c r="Q210" s="113"/>
      <c r="R210" s="113"/>
    </row>
    <row r="211" spans="12:18" x14ac:dyDescent="0.2">
      <c r="L211" s="108"/>
      <c r="M211" s="114"/>
      <c r="N211" s="114"/>
      <c r="O211" s="114"/>
      <c r="P211" s="113"/>
      <c r="Q211" s="113"/>
      <c r="R211" s="113"/>
    </row>
    <row r="212" spans="12:18" x14ac:dyDescent="0.2">
      <c r="L212" s="108"/>
      <c r="M212" s="108"/>
      <c r="N212" s="108"/>
      <c r="O212" s="115"/>
      <c r="P212" s="113"/>
      <c r="Q212" s="113"/>
      <c r="R212" s="113"/>
    </row>
    <row r="213" spans="12:18" x14ac:dyDescent="0.2">
      <c r="L213" s="108"/>
      <c r="M213" s="114"/>
      <c r="N213" s="114"/>
      <c r="O213" s="114"/>
      <c r="P213" s="113"/>
      <c r="Q213" s="113"/>
      <c r="R213" s="113"/>
    </row>
    <row r="214" spans="12:18" x14ac:dyDescent="0.2">
      <c r="L214" s="108"/>
      <c r="M214" s="108"/>
      <c r="N214" s="108"/>
      <c r="O214" s="115"/>
      <c r="P214" s="113"/>
      <c r="Q214" s="113"/>
      <c r="R214" s="113"/>
    </row>
    <row r="215" spans="12:18" x14ac:dyDescent="0.2">
      <c r="L215" s="108"/>
      <c r="M215" s="114"/>
      <c r="N215" s="114"/>
      <c r="O215" s="114"/>
      <c r="P215" s="113"/>
      <c r="Q215" s="113"/>
      <c r="R215" s="113"/>
    </row>
    <row r="216" spans="12:18" x14ac:dyDescent="0.2">
      <c r="L216" s="108"/>
      <c r="M216" s="108"/>
      <c r="N216" s="108"/>
      <c r="O216" s="115"/>
      <c r="P216" s="113"/>
      <c r="Q216" s="113"/>
      <c r="R216" s="113"/>
    </row>
    <row r="217" spans="12:18" x14ac:dyDescent="0.2">
      <c r="L217" s="108"/>
      <c r="M217" s="114"/>
      <c r="N217" s="114"/>
      <c r="O217" s="114"/>
      <c r="P217" s="113"/>
      <c r="Q217" s="113"/>
      <c r="R217" s="113"/>
    </row>
    <row r="218" spans="12:18" x14ac:dyDescent="0.2">
      <c r="L218" s="108"/>
      <c r="M218" s="108"/>
      <c r="N218" s="108"/>
      <c r="O218" s="115"/>
      <c r="P218" s="113"/>
      <c r="Q218" s="113"/>
      <c r="R218" s="113"/>
    </row>
    <row r="219" spans="12:18" x14ac:dyDescent="0.2">
      <c r="L219" s="108"/>
      <c r="M219" s="114"/>
      <c r="N219" s="114"/>
      <c r="O219" s="114"/>
      <c r="P219" s="113"/>
      <c r="Q219" s="113"/>
      <c r="R219" s="113"/>
    </row>
    <row r="220" spans="12:18" x14ac:dyDescent="0.2">
      <c r="L220" s="108"/>
      <c r="M220" s="108"/>
      <c r="N220" s="108"/>
      <c r="O220" s="115"/>
      <c r="P220" s="113"/>
      <c r="Q220" s="113"/>
      <c r="R220" s="113"/>
    </row>
    <row r="221" spans="12:18" x14ac:dyDescent="0.2">
      <c r="L221" s="108"/>
      <c r="M221" s="114"/>
      <c r="N221" s="114"/>
      <c r="O221" s="114"/>
      <c r="P221" s="113"/>
      <c r="Q221" s="113"/>
      <c r="R221" s="113"/>
    </row>
    <row r="222" spans="12:18" x14ac:dyDescent="0.2">
      <c r="L222" s="108"/>
      <c r="M222" s="108"/>
      <c r="N222" s="108"/>
      <c r="O222" s="115"/>
      <c r="P222" s="113"/>
      <c r="Q222" s="113"/>
      <c r="R222" s="113"/>
    </row>
    <row r="223" spans="12:18" x14ac:dyDescent="0.2">
      <c r="L223" s="108"/>
      <c r="M223" s="114"/>
      <c r="N223" s="114"/>
      <c r="O223" s="114"/>
      <c r="P223" s="113"/>
      <c r="Q223" s="113"/>
      <c r="R223" s="113"/>
    </row>
    <row r="224" spans="12:18" x14ac:dyDescent="0.2">
      <c r="L224" s="108"/>
      <c r="M224" s="108"/>
      <c r="N224" s="108"/>
      <c r="O224" s="115"/>
      <c r="P224" s="113"/>
      <c r="Q224" s="113"/>
      <c r="R224" s="113"/>
    </row>
    <row r="225" spans="12:18" x14ac:dyDescent="0.2">
      <c r="L225" s="108"/>
      <c r="M225" s="114"/>
      <c r="N225" s="114"/>
      <c r="O225" s="114"/>
      <c r="P225" s="113"/>
      <c r="Q225" s="113"/>
      <c r="R225" s="113"/>
    </row>
    <row r="226" spans="12:18" x14ac:dyDescent="0.2">
      <c r="L226" s="108"/>
      <c r="M226" s="108"/>
      <c r="N226" s="108"/>
      <c r="O226" s="115"/>
      <c r="P226" s="113"/>
      <c r="Q226" s="113"/>
      <c r="R226" s="113"/>
    </row>
    <row r="227" spans="12:18" x14ac:dyDescent="0.2">
      <c r="L227" s="108"/>
      <c r="M227" s="114"/>
      <c r="N227" s="114"/>
      <c r="O227" s="114"/>
      <c r="P227" s="113"/>
      <c r="Q227" s="113"/>
      <c r="R227" s="113"/>
    </row>
    <row r="228" spans="12:18" x14ac:dyDescent="0.2">
      <c r="L228" s="108"/>
      <c r="M228" s="108"/>
      <c r="N228" s="108"/>
      <c r="O228" s="108"/>
      <c r="P228" s="113"/>
      <c r="Q228" s="113"/>
      <c r="R228" s="113"/>
    </row>
    <row r="229" spans="12:18" x14ac:dyDescent="0.2">
      <c r="L229" s="108"/>
      <c r="M229" s="108"/>
      <c r="N229" s="108"/>
      <c r="O229" s="108"/>
      <c r="P229" s="113"/>
      <c r="Q229" s="113"/>
      <c r="R229" s="113"/>
    </row>
    <row r="230" spans="12:18" x14ac:dyDescent="0.2">
      <c r="L230" s="108"/>
      <c r="M230" s="108"/>
      <c r="N230" s="108"/>
      <c r="O230" s="108"/>
      <c r="P230" s="113"/>
      <c r="Q230" s="113"/>
      <c r="R230" s="113"/>
    </row>
    <row r="231" spans="12:18" x14ac:dyDescent="0.2">
      <c r="L231" s="108"/>
      <c r="M231" s="108"/>
      <c r="N231" s="108"/>
      <c r="O231" s="108"/>
      <c r="P231" s="113"/>
      <c r="Q231" s="113"/>
      <c r="R231" s="113"/>
    </row>
    <row r="232" spans="12:18" x14ac:dyDescent="0.2">
      <c r="L232" s="108"/>
      <c r="M232" s="108"/>
      <c r="N232" s="108"/>
      <c r="O232" s="108"/>
      <c r="P232" s="113"/>
      <c r="Q232" s="113"/>
      <c r="R232" s="113"/>
    </row>
    <row r="233" spans="12:18" x14ac:dyDescent="0.2">
      <c r="L233" s="108"/>
      <c r="M233" s="108"/>
      <c r="N233" s="108"/>
      <c r="O233" s="108"/>
      <c r="P233" s="113"/>
      <c r="Q233" s="113"/>
      <c r="R233" s="113"/>
    </row>
    <row r="234" spans="12:18" x14ac:dyDescent="0.2">
      <c r="L234" s="108"/>
      <c r="M234" s="108"/>
      <c r="N234" s="108"/>
      <c r="O234" s="108"/>
      <c r="P234" s="113"/>
      <c r="Q234" s="113"/>
      <c r="R234" s="113"/>
    </row>
    <row r="235" spans="12:18" x14ac:dyDescent="0.2">
      <c r="L235" s="108"/>
      <c r="M235" s="108"/>
      <c r="N235" s="108"/>
      <c r="O235" s="108"/>
      <c r="P235" s="113"/>
      <c r="Q235" s="113"/>
      <c r="R235" s="113"/>
    </row>
    <row r="236" spans="12:18" x14ac:dyDescent="0.2">
      <c r="L236" s="108"/>
      <c r="M236" s="108"/>
      <c r="N236" s="108"/>
      <c r="O236" s="108"/>
      <c r="P236" s="113"/>
      <c r="Q236" s="113"/>
      <c r="R236" s="113"/>
    </row>
    <row r="237" spans="12:18" x14ac:dyDescent="0.2">
      <c r="L237" s="108"/>
      <c r="M237" s="108"/>
      <c r="N237" s="108"/>
      <c r="O237" s="108"/>
      <c r="P237" s="113"/>
      <c r="Q237" s="113"/>
      <c r="R237" s="113"/>
    </row>
    <row r="238" spans="12:18" x14ac:dyDescent="0.2">
      <c r="L238" s="108"/>
      <c r="M238" s="108"/>
      <c r="N238" s="108"/>
      <c r="O238" s="108"/>
      <c r="P238" s="113"/>
      <c r="Q238" s="113"/>
      <c r="R238" s="113"/>
    </row>
    <row r="239" spans="12:18" x14ac:dyDescent="0.2">
      <c r="L239" s="108"/>
      <c r="M239" s="108"/>
      <c r="N239" s="108"/>
      <c r="O239" s="108"/>
      <c r="P239" s="113"/>
      <c r="Q239" s="113"/>
      <c r="R239" s="113"/>
    </row>
    <row r="240" spans="12:18" x14ac:dyDescent="0.2">
      <c r="L240" s="108"/>
      <c r="M240" s="108"/>
      <c r="N240" s="108"/>
      <c r="O240" s="108"/>
      <c r="P240" s="113"/>
      <c r="Q240" s="113"/>
      <c r="R240" s="113"/>
    </row>
    <row r="241" spans="12:18" x14ac:dyDescent="0.2">
      <c r="L241" s="108"/>
      <c r="M241" s="108"/>
      <c r="N241" s="108"/>
      <c r="O241" s="108"/>
      <c r="P241" s="113"/>
      <c r="Q241" s="113"/>
      <c r="R241" s="113"/>
    </row>
    <row r="242" spans="12:18" x14ac:dyDescent="0.2">
      <c r="L242" s="108"/>
      <c r="M242" s="108"/>
      <c r="N242" s="108"/>
      <c r="O242" s="108"/>
      <c r="P242" s="113"/>
      <c r="Q242" s="113"/>
      <c r="R242" s="113"/>
    </row>
    <row r="243" spans="12:18" x14ac:dyDescent="0.2">
      <c r="L243" s="108"/>
      <c r="M243" s="108"/>
      <c r="N243" s="108"/>
      <c r="O243" s="108"/>
      <c r="P243" s="113"/>
      <c r="Q243" s="113"/>
      <c r="R243" s="113"/>
    </row>
    <row r="244" spans="12:18" x14ac:dyDescent="0.2">
      <c r="L244" s="108"/>
      <c r="M244" s="108"/>
      <c r="N244" s="108"/>
      <c r="O244" s="108"/>
      <c r="P244" s="113"/>
      <c r="Q244" s="113"/>
      <c r="R244" s="113"/>
    </row>
    <row r="245" spans="12:18" x14ac:dyDescent="0.2">
      <c r="L245" s="108"/>
      <c r="M245" s="108"/>
      <c r="N245" s="108"/>
      <c r="O245" s="108"/>
      <c r="P245" s="113"/>
      <c r="Q245" s="113"/>
      <c r="R245" s="113"/>
    </row>
    <row r="246" spans="12:18" x14ac:dyDescent="0.2">
      <c r="L246" s="108"/>
      <c r="M246" s="108"/>
      <c r="N246" s="108"/>
      <c r="O246" s="108"/>
      <c r="P246" s="113"/>
      <c r="Q246" s="113"/>
      <c r="R246" s="113"/>
    </row>
    <row r="247" spans="12:18" x14ac:dyDescent="0.2">
      <c r="L247" s="108"/>
      <c r="M247" s="108"/>
      <c r="N247" s="108"/>
      <c r="O247" s="108"/>
      <c r="P247" s="113"/>
      <c r="Q247" s="113"/>
      <c r="R247" s="113"/>
    </row>
    <row r="248" spans="12:18" x14ac:dyDescent="0.2">
      <c r="L248" s="108"/>
      <c r="M248" s="108"/>
      <c r="N248" s="108"/>
      <c r="O248" s="108"/>
      <c r="P248" s="113"/>
      <c r="Q248" s="113"/>
      <c r="R248" s="113"/>
    </row>
    <row r="249" spans="12:18" x14ac:dyDescent="0.2">
      <c r="L249" s="108"/>
      <c r="M249" s="108"/>
      <c r="N249" s="108"/>
      <c r="O249" s="108"/>
      <c r="P249" s="113"/>
      <c r="Q249" s="113"/>
      <c r="R249" s="113"/>
    </row>
    <row r="250" spans="12:18" x14ac:dyDescent="0.2">
      <c r="L250" s="108"/>
      <c r="M250" s="108"/>
      <c r="N250" s="108"/>
      <c r="O250" s="108"/>
      <c r="P250" s="113"/>
      <c r="Q250" s="113"/>
      <c r="R250" s="113"/>
    </row>
    <row r="251" spans="12:18" x14ac:dyDescent="0.2">
      <c r="L251" s="108"/>
      <c r="M251" s="108"/>
      <c r="N251" s="108"/>
      <c r="O251" s="108"/>
      <c r="P251" s="113"/>
      <c r="Q251" s="113"/>
      <c r="R251" s="113"/>
    </row>
    <row r="252" spans="12:18" x14ac:dyDescent="0.2">
      <c r="L252" s="108"/>
      <c r="M252" s="108"/>
      <c r="N252" s="108"/>
      <c r="O252" s="108"/>
      <c r="P252" s="113"/>
      <c r="Q252" s="113"/>
      <c r="R252" s="113"/>
    </row>
  </sheetData>
  <mergeCells count="101">
    <mergeCell ref="H6:I6"/>
    <mergeCell ref="B8:C8"/>
    <mergeCell ref="B9:C9"/>
    <mergeCell ref="B1:C1"/>
    <mergeCell ref="B3:C3"/>
    <mergeCell ref="B4:C4"/>
    <mergeCell ref="B11:C11"/>
    <mergeCell ref="M9:N9"/>
    <mergeCell ref="M70:M71"/>
    <mergeCell ref="N70:N71"/>
    <mergeCell ref="O70:O71"/>
    <mergeCell ref="M66:M67"/>
    <mergeCell ref="N66:N67"/>
    <mergeCell ref="O66:O67"/>
    <mergeCell ref="M68:M69"/>
    <mergeCell ref="N68:N69"/>
    <mergeCell ref="O68:O69"/>
    <mergeCell ref="M62:M63"/>
    <mergeCell ref="N62:N63"/>
    <mergeCell ref="O62:O63"/>
    <mergeCell ref="M64:M65"/>
    <mergeCell ref="N64:N65"/>
    <mergeCell ref="O64:O65"/>
    <mergeCell ref="M58:M59"/>
    <mergeCell ref="N58:N59"/>
    <mergeCell ref="O58:O59"/>
    <mergeCell ref="M60:M61"/>
    <mergeCell ref="N60:N61"/>
    <mergeCell ref="O60:O61"/>
    <mergeCell ref="M54:M55"/>
    <mergeCell ref="N54:N55"/>
    <mergeCell ref="O54:O55"/>
    <mergeCell ref="M56:M57"/>
    <mergeCell ref="N56:N57"/>
    <mergeCell ref="O56:O57"/>
    <mergeCell ref="M50:M51"/>
    <mergeCell ref="N50:N51"/>
    <mergeCell ref="O50:O51"/>
    <mergeCell ref="M52:M53"/>
    <mergeCell ref="N52:N53"/>
    <mergeCell ref="O52:O53"/>
    <mergeCell ref="M46:M47"/>
    <mergeCell ref="N46:N47"/>
    <mergeCell ref="O46:O47"/>
    <mergeCell ref="M48:M49"/>
    <mergeCell ref="N48:N49"/>
    <mergeCell ref="O48:O49"/>
    <mergeCell ref="M42:M43"/>
    <mergeCell ref="N42:N43"/>
    <mergeCell ref="O42:O43"/>
    <mergeCell ref="M44:M45"/>
    <mergeCell ref="N44:N45"/>
    <mergeCell ref="O44:O45"/>
    <mergeCell ref="M18:M19"/>
    <mergeCell ref="N24:N25"/>
    <mergeCell ref="O14:O15"/>
    <mergeCell ref="M26:M27"/>
    <mergeCell ref="N40:N41"/>
    <mergeCell ref="N30:N31"/>
    <mergeCell ref="M38:M39"/>
    <mergeCell ref="O38:O39"/>
    <mergeCell ref="N20:N21"/>
    <mergeCell ref="O34:O35"/>
    <mergeCell ref="O28:O29"/>
    <mergeCell ref="N16:N17"/>
    <mergeCell ref="N36:N37"/>
    <mergeCell ref="M40:M41"/>
    <mergeCell ref="O22:O23"/>
    <mergeCell ref="O40:O41"/>
    <mergeCell ref="M24:M25"/>
    <mergeCell ref="M36:M37"/>
    <mergeCell ref="M30:M31"/>
    <mergeCell ref="M32:M33"/>
    <mergeCell ref="N38:N39"/>
    <mergeCell ref="N34:N35"/>
    <mergeCell ref="N28:N29"/>
    <mergeCell ref="D11:E11"/>
    <mergeCell ref="M11:N11"/>
    <mergeCell ref="M16:M17"/>
    <mergeCell ref="M12:M13"/>
    <mergeCell ref="M14:M15"/>
    <mergeCell ref="O36:O37"/>
    <mergeCell ref="O16:O17"/>
    <mergeCell ref="O30:O31"/>
    <mergeCell ref="O32:O33"/>
    <mergeCell ref="O26:O27"/>
    <mergeCell ref="N32:N33"/>
    <mergeCell ref="M20:M21"/>
    <mergeCell ref="M34:M35"/>
    <mergeCell ref="H11:I11"/>
    <mergeCell ref="O18:O19"/>
    <mergeCell ref="N22:N23"/>
    <mergeCell ref="N26:N27"/>
    <mergeCell ref="N18:N19"/>
    <mergeCell ref="O24:O25"/>
    <mergeCell ref="N12:N13"/>
    <mergeCell ref="O20:O21"/>
    <mergeCell ref="N14:N15"/>
    <mergeCell ref="M22:M23"/>
    <mergeCell ref="O12:O13"/>
    <mergeCell ref="M28:M29"/>
  </mergeCells>
  <phoneticPr fontId="2"/>
  <dataValidations count="1">
    <dataValidation type="list" showInputMessage="1" showErrorMessage="1" sqref="F9" xr:uid="{00000000-0002-0000-0200-000000000000}">
      <formula1>"病児,一時"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111"/>
  <sheetViews>
    <sheetView workbookViewId="0">
      <selection activeCell="B8" sqref="B8"/>
    </sheetView>
  </sheetViews>
  <sheetFormatPr defaultRowHeight="13.2" x14ac:dyDescent="0.2"/>
  <cols>
    <col min="1" max="1" width="3.6640625" customWidth="1"/>
    <col min="2" max="3" width="7.88671875" customWidth="1"/>
    <col min="4" max="4" width="18.44140625" customWidth="1"/>
    <col min="5" max="5" width="15.109375" customWidth="1"/>
    <col min="6" max="7" width="10.21875" customWidth="1"/>
    <col min="8" max="9" width="8.109375" customWidth="1"/>
    <col min="10" max="11" width="10.109375" customWidth="1"/>
    <col min="12" max="12" width="37" customWidth="1"/>
  </cols>
  <sheetData>
    <row r="1" spans="1:12" ht="27.6" customHeight="1" x14ac:dyDescent="0.25">
      <c r="B1" s="22" t="s">
        <v>301</v>
      </c>
    </row>
    <row r="2" spans="1:12" ht="14.4" customHeight="1" thickBot="1" x14ac:dyDescent="0.25">
      <c r="B2" t="str">
        <f>"・"&amp;まとめ!B1</f>
        <v>・0</v>
      </c>
    </row>
    <row r="3" spans="1:12" ht="10.199999999999999" customHeight="1" x14ac:dyDescent="0.2">
      <c r="E3" s="133" t="s">
        <v>302</v>
      </c>
      <c r="F3" s="134"/>
      <c r="G3" s="135"/>
    </row>
    <row r="4" spans="1:12" ht="18.600000000000001" customHeight="1" thickBot="1" x14ac:dyDescent="0.25">
      <c r="A4" s="1"/>
      <c r="B4" s="139" t="s">
        <v>639</v>
      </c>
      <c r="C4" s="139"/>
      <c r="D4" s="18" t="s">
        <v>295</v>
      </c>
      <c r="E4" s="136"/>
      <c r="F4" s="137"/>
      <c r="G4" s="138"/>
      <c r="J4" s="8"/>
      <c r="K4" s="9"/>
      <c r="L4" s="1"/>
    </row>
    <row r="5" spans="1:12" ht="28.2" customHeight="1" thickBot="1" x14ac:dyDescent="0.25">
      <c r="A5" s="1"/>
      <c r="B5" s="140">
        <f>まとめ!D9</f>
        <v>1.9</v>
      </c>
      <c r="C5" s="141"/>
      <c r="D5" s="23">
        <f>まとめ!E9</f>
        <v>168</v>
      </c>
      <c r="E5" s="130">
        <f ca="1">SUM(K8:K23)</f>
        <v>7.5</v>
      </c>
      <c r="F5" s="131"/>
      <c r="G5" s="132"/>
      <c r="J5" s="8"/>
      <c r="K5" s="9"/>
      <c r="L5" s="1"/>
    </row>
    <row r="6" spans="1:12" ht="15" customHeight="1" x14ac:dyDescent="0.2">
      <c r="A6" s="1"/>
      <c r="B6" s="1"/>
      <c r="C6" s="1"/>
      <c r="D6" s="3"/>
      <c r="E6" s="3"/>
      <c r="F6" s="3"/>
      <c r="G6" s="3"/>
      <c r="H6" s="3"/>
      <c r="I6" s="3"/>
      <c r="J6" s="8"/>
      <c r="K6" s="9"/>
      <c r="L6" s="1"/>
    </row>
    <row r="7" spans="1:12" ht="15" customHeight="1" x14ac:dyDescent="0.2">
      <c r="A7" s="14"/>
      <c r="B7" s="105" t="s">
        <v>300</v>
      </c>
      <c r="C7" s="92"/>
      <c r="D7" s="16" t="s">
        <v>3</v>
      </c>
      <c r="E7" s="15" t="s">
        <v>303</v>
      </c>
      <c r="F7" s="15" t="s">
        <v>297</v>
      </c>
      <c r="G7" s="15" t="s">
        <v>304</v>
      </c>
      <c r="H7" s="105" t="s">
        <v>296</v>
      </c>
      <c r="I7" s="92"/>
      <c r="J7" s="15" t="s">
        <v>299</v>
      </c>
      <c r="K7" s="17" t="s">
        <v>305</v>
      </c>
      <c r="L7" s="15" t="s">
        <v>286</v>
      </c>
    </row>
    <row r="8" spans="1:12" ht="19.8" customHeight="1" x14ac:dyDescent="0.2">
      <c r="A8" s="42">
        <f ca="1">IF(AND(B8&lt;&gt;0,B8&lt;&gt;""),1,"")</f>
        <v>1</v>
      </c>
      <c r="B8" s="46" t="str" cm="1">
        <f t="array" aca="1" ref="B8:B33" ca="1">IF(_xlfn._xlws.FILTER(まとめ!$B$12:$B$41, まとめ!$E$12:$E$41=0,"")=0,"",_xlfn._xlws.FILTER(まとめ!$B$12:$B$41, まとめ!$E$12:$E$41=0,""))</f>
        <v>北山</v>
      </c>
      <c r="C8" s="47" t="str">
        <f ca="1">IF(B8&lt;&gt;"",VLOOKUP(B8,まとめ!$B$12:$C$41,2,FALSE),"")</f>
        <v>真美子</v>
      </c>
      <c r="D8" s="42" t="str">
        <f ca="1">IF(B8&lt;&gt;"",IF(B8&lt;&gt;0,
IF(COUNTIF(INDEX(まとめ!$D$12:$D$41, MATCH(B8,まとめ!$B$12:$B$41, 0)),"*正社員*"),"保育士（正社員）","保育士（パート）"), 0),"")</f>
        <v>保育士（正社員）</v>
      </c>
      <c r="E8" s="27" t="str">
        <f ca="1">IF(B8="","",IF(B8=0,0,IF(K8&gt;=1,"常勤","非常勤")))</f>
        <v>常勤</v>
      </c>
      <c r="F8" s="27">
        <f ca="1">IF(B8&lt;&gt;"",IF(B8&lt;&gt;0,
IFERROR(INDEX(まとめ!$F$12:$F$41,MATCH(B8,まとめ!$B$12:$B$41,0)),""), 0),"")</f>
        <v>191.5</v>
      </c>
      <c r="G8" s="24">
        <f ca="1">IF(B8&lt;&gt;"",
IFERROR(VALUE(INDEX(まとめ!$G$12:$G$41,MATCH(B8,まとめ!$B$12:$B$41,0)))-SUM(I8:J8),""),"")</f>
        <v>168</v>
      </c>
      <c r="H8" s="24" t="str">
        <f ca="1">IF(B8&lt;&gt;"",IF(B8&lt;&gt;0,
IF(IFERROR(INDEX(まとめ!$H$12:$H$41,MATCH(B8,まとめ!$B$12:$B$41,0)),"")&lt;&gt;"",まとめ!$F$9,""), 0),"")</f>
        <v/>
      </c>
      <c r="I8" s="34" t="str">
        <f ca="1">IF(H8&lt;&gt;"",IFERROR(VALUE(INDEX(まとめ!$I$12:$I$41,MATCH(B8,まとめ!$B$12:$B$41,0))),0),"")</f>
        <v/>
      </c>
      <c r="J8" s="34">
        <f ca="1">IF(B8&lt;&gt;"",IF(B8&lt;&gt;0,
IFERROR(VALUE(INDEX(まとめ!$J$12:$J$41,MATCH(B8,まとめ!$B$12:$B$41,0))),""), 0),"")</f>
        <v>0</v>
      </c>
      <c r="K8" s="24">
        <f ca="1">IF(B8&lt;&gt;"",IF(G8&gt;$D$5,1,ROUND(G8/$D$5,1)),"")</f>
        <v>1</v>
      </c>
      <c r="L8" s="27" t="str">
        <f ca="1">IF(B8&lt;&gt;"",IF(B8&lt;&gt;0,
IFERROR(VALUE(INDEX(まとめ!$K$12:$K$41,MATCH(B8,まとめ!#REF!,0))),""), 0),"")</f>
        <v/>
      </c>
    </row>
    <row r="9" spans="1:12" ht="19.8" customHeight="1" x14ac:dyDescent="0.2">
      <c r="A9" s="43">
        <f ca="1">IF(AND(B9&lt;&gt;0,B9&lt;&gt;""),A8+1,"")</f>
        <v>2</v>
      </c>
      <c r="B9" s="48" t="str">
        <f ca="1"/>
        <v>髙坂</v>
      </c>
      <c r="C9" s="49" t="str">
        <f ca="1">IF(B9&lt;&gt;"",VLOOKUP(B9,まとめ!$B$12:$C$41,2,FALSE),"")</f>
        <v>千佳子</v>
      </c>
      <c r="D9" s="43" t="str">
        <f ca="1">IF(B9&lt;&gt;"",IF(B9&lt;&gt;0,
IF(COUNTIF(INDEX(まとめ!$D$12:$D$41, MATCH(B9,まとめ!$B$12:$B$41, 0)),"*正社員*"),"保育士（正社員）","保育士（パート）"), 0),"")</f>
        <v>保育士（パート）</v>
      </c>
      <c r="E9" s="28" t="str">
        <f ca="1">IF(B9="","",IF(B9=0,0,IF(K9&gt;=1,"常勤","非常勤")))</f>
        <v>非常勤</v>
      </c>
      <c r="F9" s="28">
        <f ca="1">IF(B9&lt;&gt;"",IF(B9&lt;&gt;0,
IFERROR(INDEX(まとめ!$F$12:$F$41,MATCH(B9,まとめ!$B$12:$B$41,0)),""), 0),"")</f>
        <v>128.25</v>
      </c>
      <c r="G9" s="25">
        <f ca="1">IF(B9&lt;&gt;"",
IFERROR(VALUE(INDEX(まとめ!$G$12:$G$41,MATCH(B9,まとめ!$B$12:$B$41,0)))-SUM(I9:J9),""),"")</f>
        <v>112.25</v>
      </c>
      <c r="H9" s="25" t="str">
        <f ca="1">IF(B9&lt;&gt;"",IF(B9&lt;&gt;0,
IF(IFERROR(INDEX(まとめ!$H$12:$H$41,MATCH(B9,まとめ!$B$12:$B$41,0)),"")&lt;&gt;"",まとめ!$F$9,""), 0),"")</f>
        <v/>
      </c>
      <c r="I9" s="35" t="str">
        <f ca="1">IF(H9&lt;&gt;"",IFERROR(VALUE(INDEX(まとめ!$I$12:$I$41,MATCH(B9,まとめ!$B$12:$B$41,0))),0),"")</f>
        <v/>
      </c>
      <c r="J9" s="35">
        <f ca="1">IF(B9&lt;&gt;"",IF(B9&lt;&gt;0,
IFERROR(VALUE(INDEX(まとめ!$J$12:$J$41,MATCH(B9,まとめ!$B$12:$B$41,0))),""), 0),"")</f>
        <v>16</v>
      </c>
      <c r="K9" s="25">
        <f ca="1">IF(B9&lt;&gt;"",IF(G9&gt;$D$5,1,ROUND(G9/$D$5,1)),"")</f>
        <v>0.7</v>
      </c>
      <c r="L9" s="28" t="str">
        <f ca="1">IF(B9&lt;&gt;"",IF(B9&lt;&gt;0,
IFERROR(VALUE(INDEX(まとめ!$K$12:$K$41,MATCH(B9,まとめ!#REF!,0))),""), 0),"")</f>
        <v/>
      </c>
    </row>
    <row r="10" spans="1:12" ht="19.8" customHeight="1" x14ac:dyDescent="0.2">
      <c r="A10" s="43">
        <f ca="1">IF(AND(B10&lt;&gt;0,B10&lt;&gt;""),A9+1,"")</f>
        <v>3</v>
      </c>
      <c r="B10" s="48" t="str">
        <f ca="1"/>
        <v>中原</v>
      </c>
      <c r="C10" s="49" t="str">
        <f ca="1">IF(B10&lt;&gt;"",VLOOKUP(B10,まとめ!$B$12:$C$41,2,FALSE),"")</f>
        <v>郁子</v>
      </c>
      <c r="D10" s="43" t="str">
        <f ca="1">IF(B10&lt;&gt;"",IF(B10&lt;&gt;0,
IF(COUNTIF(INDEX(まとめ!$D$12:$D$41, MATCH(B10,まとめ!$B$12:$B$41, 0)),"*正社員*"),"保育士（正社員）","保育士（パート）"), 0),"")</f>
        <v>保育士（パート）</v>
      </c>
      <c r="E10" s="28" t="str">
        <f ca="1">IF(B10="","",IF(B10=0,0,IF(K10&gt;=1,"常勤","非常勤")))</f>
        <v>非常勤</v>
      </c>
      <c r="F10" s="28">
        <f ca="1">IF(B10&lt;&gt;"",IF(B10&lt;&gt;0,
IFERROR(INDEX(まとめ!$F$12:$F$41,MATCH(B10,まとめ!$B$12:$B$41,0)),""), 0),"")</f>
        <v>79.75</v>
      </c>
      <c r="G10" s="25">
        <f ca="1">IF(B10&lt;&gt;"",
IFERROR(VALUE(INDEX(まとめ!$G$12:$G$41,MATCH(B10,まとめ!$B$12:$B$41,0)))-SUM(I10:J10),""),"")</f>
        <v>79.75</v>
      </c>
      <c r="H10" s="25" t="str">
        <f ca="1">IF(B10&lt;&gt;"",IF(B10&lt;&gt;0,
IF(IFERROR(INDEX(まとめ!$H$12:$H$41,MATCH(B10,まとめ!$B$12:$B$41,0)),"")&lt;&gt;"",まとめ!$F$9,""), 0),"")</f>
        <v/>
      </c>
      <c r="I10" s="35" t="str">
        <f ca="1">IF(H10&lt;&gt;"",IFERROR(VALUE(INDEX(まとめ!$I$12:$I$41,MATCH(B10,まとめ!$B$12:$B$41,0))),0),"")</f>
        <v/>
      </c>
      <c r="J10" s="35">
        <f ca="1">IF(B10&lt;&gt;"",IF(B10&lt;&gt;0,
IFERROR(VALUE(INDEX(まとめ!$J$12:$J$41,MATCH(B10,まとめ!$B$12:$B$41,0))),""), 0),"")</f>
        <v>0</v>
      </c>
      <c r="K10" s="25">
        <f ca="1">IF(B10&lt;&gt;"",IF(G10&gt;$D$5,1,ROUND(G10/$D$5,1)),"")</f>
        <v>0.5</v>
      </c>
      <c r="L10" s="28" t="str">
        <f ca="1">IF(B10&lt;&gt;"",IF(B10&lt;&gt;0,
IFERROR(VALUE(INDEX(まとめ!$K$12:$K$41,MATCH(B10,まとめ!#REF!,0))),""), 0),"")</f>
        <v/>
      </c>
    </row>
    <row r="11" spans="1:12" ht="19.8" customHeight="1" x14ac:dyDescent="0.2">
      <c r="A11" s="43">
        <f ca="1">IF(AND(B11&lt;&gt;0,B11&lt;&gt;""),A10+1,"")</f>
        <v>4</v>
      </c>
      <c r="B11" s="48" t="str">
        <f ca="1"/>
        <v>大中</v>
      </c>
      <c r="C11" s="49" t="str">
        <f ca="1">IF(B11&lt;&gt;"",VLOOKUP(B11,まとめ!$B$12:$C$41,2,FALSE),"")</f>
        <v>章子</v>
      </c>
      <c r="D11" s="43" t="str">
        <f ca="1">IF(B11&lt;&gt;"",IF(B11&lt;&gt;0,
IF(COUNTIF(INDEX(まとめ!$D$12:$D$41, MATCH(B11,まとめ!$B$12:$B$41, 0)),"*正社員*"),"保育士（正社員）","保育士（パート）"), 0),"")</f>
        <v>保育士（パート）</v>
      </c>
      <c r="E11" s="28" t="str">
        <f ca="1">IF(B11="","",IF(B11=0,0,IF(K11&gt;=1,"常勤","非常勤")))</f>
        <v>非常勤</v>
      </c>
      <c r="F11" s="28">
        <f ca="1">IF(B11&lt;&gt;"",IF(B11&lt;&gt;0,
IFERROR(INDEX(まとめ!$F$12:$F$41,MATCH(B11,まとめ!$B$12:$B$41,0)),""), 0),"")</f>
        <v>81.25</v>
      </c>
      <c r="G11" s="25">
        <f ca="1">IF(B11&lt;&gt;"",
IFERROR(VALUE(INDEX(まとめ!$G$12:$G$41,MATCH(B11,まとめ!$B$12:$B$41,0)))-SUM(I11:J11),""),"")</f>
        <v>81.25</v>
      </c>
      <c r="H11" s="25" t="str">
        <f ca="1">IF(B11&lt;&gt;"",IF(B11&lt;&gt;0,
IF(IFERROR(INDEX(まとめ!$H$12:$H$41,MATCH(B11,まとめ!$B$12:$B$41,0)),"")&lt;&gt;"",まとめ!$F$9,""), 0),"")</f>
        <v/>
      </c>
      <c r="I11" s="35" t="str">
        <f ca="1">IF(H11&lt;&gt;"",IFERROR(VALUE(INDEX(まとめ!$I$12:$I$41,MATCH(B11,まとめ!$B$12:$B$41,0))),0),"")</f>
        <v/>
      </c>
      <c r="J11" s="35">
        <f ca="1">IF(B11&lt;&gt;"",IF(B11&lt;&gt;0,
IFERROR(VALUE(INDEX(まとめ!$J$12:$J$41,MATCH(B11,まとめ!$B$12:$B$41,0))),""), 0),"")</f>
        <v>0</v>
      </c>
      <c r="K11" s="25">
        <f ca="1">IF(B11&lt;&gt;"",IF(G11&gt;$D$5,1,ROUND(G11/$D$5,1)),"")</f>
        <v>0.5</v>
      </c>
      <c r="L11" s="28" t="str">
        <f ca="1">IF(B11&lt;&gt;"",IF(B11&lt;&gt;0,
IFERROR(VALUE(INDEX(まとめ!$K$12:$K$41,MATCH(B11,まとめ!#REF!,0))),""), 0),"")</f>
        <v/>
      </c>
    </row>
    <row r="12" spans="1:12" ht="19.8" customHeight="1" x14ac:dyDescent="0.2">
      <c r="A12" s="43">
        <f ca="1">IF(AND(B12&lt;&gt;0,B12&lt;&gt;""),A11+1,"")</f>
        <v>5</v>
      </c>
      <c r="B12" s="48" t="str">
        <f ca="1"/>
        <v>長利</v>
      </c>
      <c r="C12" s="49" t="str">
        <f ca="1">IF(B12&lt;&gt;"",VLOOKUP(B12,まとめ!$B$12:$C$41,2,FALSE),"")</f>
        <v>奈々</v>
      </c>
      <c r="D12" s="43" t="str">
        <f ca="1">IF(B12&lt;&gt;"",IF(B12&lt;&gt;0,
IF(COUNTIF(INDEX(まとめ!$D$12:$D$41, MATCH(B12,まとめ!$B$12:$B$41, 0)),"*正社員*"),"保育士（正社員）","保育士（パート）"), 0),"")</f>
        <v>保育士（パート）</v>
      </c>
      <c r="E12" s="28" t="str">
        <f ca="1">IF(B12="","",IF(B12=0,0,IF(K12&gt;=1,"常勤","非常勤")))</f>
        <v>非常勤</v>
      </c>
      <c r="F12" s="28">
        <f ca="1">IF(B12&lt;&gt;"",IF(B12&lt;&gt;0,
IFERROR(INDEX(まとめ!$F$12:$F$41,MATCH(B12,まとめ!$B$12:$B$41,0)),""), 0),"")</f>
        <v>163.5</v>
      </c>
      <c r="G12" s="25">
        <f ca="1">IF(B12&lt;&gt;"",
IFERROR(VALUE(INDEX(まとめ!$G$12:$G$41,MATCH(B12,まとめ!$B$12:$B$41,0)))-SUM(I12:J12),""),"")</f>
        <v>155.5</v>
      </c>
      <c r="H12" s="25" t="str">
        <f ca="1">IF(B12&lt;&gt;"",IF(B12&lt;&gt;0,
IF(IFERROR(INDEX(まとめ!$H$12:$H$41,MATCH(B12,まとめ!$B$12:$B$41,0)),"")&lt;&gt;"",まとめ!$F$9,""), 0),"")</f>
        <v/>
      </c>
      <c r="I12" s="35" t="str">
        <f ca="1">IF(H12&lt;&gt;"",IFERROR(VALUE(INDEX(まとめ!$I$12:$I$41,MATCH(B12,まとめ!$B$12:$B$41,0))),0),"")</f>
        <v/>
      </c>
      <c r="J12" s="35">
        <f ca="1">IF(B12&lt;&gt;"",IF(B12&lt;&gt;0,
IFERROR(VALUE(INDEX(まとめ!$J$12:$J$41,MATCH(B12,まとめ!$B$12:$B$41,0))),""), 0),"")</f>
        <v>8</v>
      </c>
      <c r="K12" s="25">
        <f ca="1">IF(B12&lt;&gt;"",IF(G12&gt;$D$5,1,ROUND(G12/$D$5,1)),"")</f>
        <v>0.9</v>
      </c>
      <c r="L12" s="28" t="str">
        <f ca="1">IF(B12&lt;&gt;"",IF(B12&lt;&gt;0,
IFERROR(VALUE(INDEX(まとめ!$K$12:$K$41,MATCH(B12,まとめ!#REF!,0))),""), 0),"")</f>
        <v/>
      </c>
    </row>
    <row r="13" spans="1:12" ht="19.8" customHeight="1" x14ac:dyDescent="0.2">
      <c r="A13" s="43">
        <f ca="1">IF(AND(B13&lt;&gt;0,B13&lt;&gt;""),A12+1,"")</f>
        <v>6</v>
      </c>
      <c r="B13" s="48" t="str">
        <f ca="1"/>
        <v>袴田</v>
      </c>
      <c r="C13" s="49" t="str">
        <f ca="1">IF(B13&lt;&gt;"",VLOOKUP(B13,まとめ!$B$12:$C$41,2,FALSE),"")</f>
        <v>香寿美</v>
      </c>
      <c r="D13" s="43" t="str">
        <f ca="1">IF(B13&lt;&gt;"",IF(B13&lt;&gt;0,
IF(COUNTIF(INDEX(まとめ!$D$12:$D$41, MATCH(B13,まとめ!$B$12:$B$41, 0)),"*正社員*"),"保育士（正社員）","保育士（パート）"), 0),"")</f>
        <v>保育士（パート）</v>
      </c>
      <c r="E13" s="28" t="str">
        <f ca="1">IF(B13="","",IF(B13=0,0,IF(K13&gt;=1,"常勤","非常勤")))</f>
        <v>非常勤</v>
      </c>
      <c r="F13" s="28">
        <f ca="1">IF(B13&lt;&gt;"",IF(B13&lt;&gt;0,
IFERROR(INDEX(まとめ!$F$12:$F$41,MATCH(B13,まとめ!$B$12:$B$41,0)),""), 0),"")</f>
        <v>80.5</v>
      </c>
      <c r="G13" s="25">
        <f ca="1">IF(B13&lt;&gt;"",
IFERROR(VALUE(INDEX(まとめ!$G$12:$G$41,MATCH(B13,まとめ!$B$12:$B$41,0)))-SUM(I13:J13),""),"")</f>
        <v>80.5</v>
      </c>
      <c r="H13" s="25" t="str">
        <f ca="1">IF(B13&lt;&gt;"",IF(B13&lt;&gt;0,
IF(IFERROR(INDEX(まとめ!$H$12:$H$41,MATCH(B13,まとめ!$B$12:$B$41,0)),"")&lt;&gt;"",まとめ!$F$9,""), 0),"")</f>
        <v/>
      </c>
      <c r="I13" s="35" t="str">
        <f ca="1">IF(H13&lt;&gt;"",IFERROR(VALUE(INDEX(まとめ!$I$12:$I$41,MATCH(B13,まとめ!$B$12:$B$41,0))),0),"")</f>
        <v/>
      </c>
      <c r="J13" s="35">
        <f ca="1">IF(B13&lt;&gt;"",IF(B13&lt;&gt;0,
IFERROR(VALUE(INDEX(まとめ!$J$12:$J$41,MATCH(B13,まとめ!$B$12:$B$41,0))),""), 0),"")</f>
        <v>0</v>
      </c>
      <c r="K13" s="25">
        <f ca="1">IF(B13&lt;&gt;"",IF(G13&gt;$D$5,1,ROUND(G13/$D$5,1)),"")</f>
        <v>0.5</v>
      </c>
      <c r="L13" s="28" t="str">
        <f ca="1">IF(B13&lt;&gt;"",IF(B13&lt;&gt;0,
IFERROR(VALUE(INDEX(まとめ!$K$12:$K$41,MATCH(B13,まとめ!#REF!,0))),""), 0),"")</f>
        <v/>
      </c>
    </row>
    <row r="14" spans="1:12" ht="19.8" customHeight="1" x14ac:dyDescent="0.2">
      <c r="A14" s="43">
        <f ca="1">IF(AND(B14&lt;&gt;0,B14&lt;&gt;""),A13+1,"")</f>
        <v>7</v>
      </c>
      <c r="B14" s="48" t="str">
        <f ca="1"/>
        <v>庄司</v>
      </c>
      <c r="C14" s="49" t="str">
        <f ca="1">IF(B14&lt;&gt;"",VLOOKUP(B14,まとめ!$B$12:$C$41,2,FALSE),"")</f>
        <v>愛未</v>
      </c>
      <c r="D14" s="43" t="str">
        <f ca="1">IF(B14&lt;&gt;"",IF(B14&lt;&gt;0,
IF(COUNTIF(INDEX(まとめ!$D$12:$D$41, MATCH(B14,まとめ!$B$12:$B$41, 0)),"*正社員*"),"保育士（正社員）","保育士（パート）"), 0),"")</f>
        <v>保育士（正社員）</v>
      </c>
      <c r="E14" s="28" t="str">
        <f ca="1">IF(B14="","",IF(B14=0,0,IF(K14&gt;=1,"常勤","非常勤")))</f>
        <v>常勤</v>
      </c>
      <c r="F14" s="28">
        <f ca="1">IF(B14&lt;&gt;"",IF(B14&lt;&gt;0,
IFERROR(INDEX(まとめ!$F$12:$F$41,MATCH(B14,まとめ!$B$12:$B$41,0)),""), 0),"")</f>
        <v>177.75</v>
      </c>
      <c r="G14" s="25">
        <f ca="1">IF(B14&lt;&gt;"",
IFERROR(VALUE(INDEX(まとめ!$G$12:$G$41,MATCH(B14,まとめ!$B$12:$B$41,0)))-SUM(I14:J14),""),"")</f>
        <v>160</v>
      </c>
      <c r="H14" s="25" t="str">
        <f ca="1">IF(B14&lt;&gt;"",IF(B14&lt;&gt;0,
IF(IFERROR(INDEX(まとめ!$H$12:$H$41,MATCH(B14,まとめ!$B$12:$B$41,0)),"")&lt;&gt;"",まとめ!$F$9,""), 0),"")</f>
        <v/>
      </c>
      <c r="I14" s="35" t="str">
        <f ca="1">IF(H14&lt;&gt;"",IFERROR(VALUE(INDEX(まとめ!$I$12:$I$41,MATCH(B14,まとめ!$B$12:$B$41,0))),0),"")</f>
        <v/>
      </c>
      <c r="J14" s="35">
        <f ca="1">IF(B14&lt;&gt;"",IF(B14&lt;&gt;0,
IFERROR(VALUE(INDEX(まとめ!$J$12:$J$41,MATCH(B14,まとめ!$B$12:$B$41,0))),""), 0),"")</f>
        <v>8</v>
      </c>
      <c r="K14" s="25">
        <f ca="1">IF(B14&lt;&gt;"",IF(G14&gt;$D$5,1,ROUND(G14/$D$5,1)),"")</f>
        <v>1</v>
      </c>
      <c r="L14" s="28" t="str">
        <f ca="1">IF(B14&lt;&gt;"",IF(B14&lt;&gt;0,
IFERROR(VALUE(INDEX(まとめ!$K$12:$K$41,MATCH(B14,まとめ!#REF!,0))),""), 0),"")</f>
        <v/>
      </c>
    </row>
    <row r="15" spans="1:12" ht="19.8" customHeight="1" x14ac:dyDescent="0.2">
      <c r="A15" s="43">
        <f ca="1">IF(AND(B15&lt;&gt;0,B15&lt;&gt;""),A14+1,"")</f>
        <v>8</v>
      </c>
      <c r="B15" s="48" t="str">
        <f ca="1"/>
        <v>吉川</v>
      </c>
      <c r="C15" s="49" t="str">
        <f ca="1">IF(B15&lt;&gt;"",VLOOKUP(B15,まとめ!$B$12:$C$41,2,FALSE),"")</f>
        <v>乃恵子</v>
      </c>
      <c r="D15" s="43" t="str">
        <f ca="1">IF(B15&lt;&gt;"",IF(B15&lt;&gt;0,
IF(COUNTIF(INDEX(まとめ!$D$12:$D$41, MATCH(B15,まとめ!$B$12:$B$41, 0)),"*正社員*"),"保育士（正社員）","保育士（パート）"), 0),"")</f>
        <v>保育士（パート）</v>
      </c>
      <c r="E15" s="28" t="str">
        <f ca="1">IF(B15="","",IF(B15=0,0,IF(K15&gt;=1,"常勤","非常勤")))</f>
        <v>非常勤</v>
      </c>
      <c r="F15" s="28">
        <f ca="1">IF(B15&lt;&gt;"",IF(B15&lt;&gt;0,
IFERROR(INDEX(まとめ!$F$12:$F$41,MATCH(B15,まとめ!$B$12:$B$41,0)),""), 0),"")</f>
        <v>89.5</v>
      </c>
      <c r="G15" s="25">
        <f ca="1">IF(B15&lt;&gt;"",
IFERROR(VALUE(INDEX(まとめ!$G$12:$G$41,MATCH(B15,まとめ!$B$12:$B$41,0)))-SUM(I15:J15),""),"")</f>
        <v>65.5</v>
      </c>
      <c r="H15" s="25" t="str">
        <f ca="1">IF(B15&lt;&gt;"",IF(B15&lt;&gt;0,
IF(IFERROR(INDEX(まとめ!$H$12:$H$41,MATCH(B15,まとめ!$B$12:$B$41,0)),"")&lt;&gt;"",まとめ!$F$9,""), 0),"")</f>
        <v/>
      </c>
      <c r="I15" s="35" t="str">
        <f ca="1">IF(H15&lt;&gt;"",IFERROR(VALUE(INDEX(まとめ!$I$12:$I$41,MATCH(B15,まとめ!$B$12:$B$41,0))),0),"")</f>
        <v/>
      </c>
      <c r="J15" s="35">
        <f ca="1">IF(B15&lt;&gt;"",IF(B15&lt;&gt;0,
IFERROR(VALUE(INDEX(まとめ!$J$12:$J$41,MATCH(B15,まとめ!$B$12:$B$41,0))),""), 0),"")</f>
        <v>24</v>
      </c>
      <c r="K15" s="25">
        <f ca="1">IF(B15&lt;&gt;"",IF(G15&gt;$D$5,1,ROUND(G15/$D$5,1)),"")</f>
        <v>0.4</v>
      </c>
      <c r="L15" s="28" t="str">
        <f ca="1">IF(B15&lt;&gt;"",IF(B15&lt;&gt;0,
IFERROR(VALUE(INDEX(まとめ!$K$12:$K$41,MATCH(B15,まとめ!#REF!,0))),""), 0),"")</f>
        <v/>
      </c>
    </row>
    <row r="16" spans="1:12" ht="19.8" customHeight="1" x14ac:dyDescent="0.2">
      <c r="A16" s="43">
        <f ca="1">IF(AND(B16&lt;&gt;0,B16&lt;&gt;""),A15+1,"")</f>
        <v>9</v>
      </c>
      <c r="B16" s="48" t="str">
        <f ca="1"/>
        <v>奥崎</v>
      </c>
      <c r="C16" s="49" t="str">
        <f ca="1">IF(B16&lt;&gt;"",VLOOKUP(B16,まとめ!$B$12:$C$41,2,FALSE),"")</f>
        <v>智史</v>
      </c>
      <c r="D16" s="43" t="str">
        <f ca="1">IF(B16&lt;&gt;"",IF(B16&lt;&gt;0,
IF(COUNTIF(INDEX(まとめ!$D$12:$D$41, MATCH(B16,まとめ!$B$12:$B$41, 0)),"*正社員*"),"保育士（正社員）","保育士（パート）"), 0),"")</f>
        <v>保育士（パート）</v>
      </c>
      <c r="E16" s="28" t="str">
        <f ca="1">IF(B16="","",IF(B16=0,0,IF(K16&gt;=1,"常勤","非常勤")))</f>
        <v>常勤</v>
      </c>
      <c r="F16" s="28">
        <f ca="1">IF(B16&lt;&gt;"",IF(B16&lt;&gt;0,
IFERROR(INDEX(まとめ!$F$12:$F$41,MATCH(B16,まとめ!$B$12:$B$41,0)),""), 0),"")</f>
        <v>167</v>
      </c>
      <c r="G16" s="25">
        <f ca="1">IF(B16&lt;&gt;"",
IFERROR(VALUE(INDEX(まとめ!$G$12:$G$41,MATCH(B16,まとめ!$B$12:$B$41,0)))-SUM(I16:J16),""),"")</f>
        <v>167</v>
      </c>
      <c r="H16" s="25" t="str">
        <f ca="1">IF(B16&lt;&gt;"",IF(B16&lt;&gt;0,
IF(IFERROR(INDEX(まとめ!$H$12:$H$41,MATCH(B16,まとめ!$B$12:$B$41,0)),"")&lt;&gt;"",まとめ!$F$9,""), 0),"")</f>
        <v/>
      </c>
      <c r="I16" s="35" t="str">
        <f ca="1">IF(H16&lt;&gt;"",IFERROR(VALUE(INDEX(まとめ!$I$12:$I$41,MATCH(B16,まとめ!$B$12:$B$41,0))),0),"")</f>
        <v/>
      </c>
      <c r="J16" s="35">
        <f ca="1">IF(B16&lt;&gt;"",IF(B16&lt;&gt;0,
IFERROR(VALUE(INDEX(まとめ!$J$12:$J$41,MATCH(B16,まとめ!$B$12:$B$41,0))),""), 0),"")</f>
        <v>0</v>
      </c>
      <c r="K16" s="25">
        <f ca="1">IF(B16&lt;&gt;"",IF(G16&gt;$D$5,1,ROUND(G16/$D$5,1)),"")</f>
        <v>1</v>
      </c>
      <c r="L16" s="28" t="str">
        <f ca="1">IF(B16&lt;&gt;"",IF(B16&lt;&gt;0,
IFERROR(VALUE(INDEX(まとめ!$K$12:$K$41,MATCH(B16,まとめ!#REF!,0))),""), 0),"")</f>
        <v/>
      </c>
    </row>
    <row r="17" spans="1:12" ht="19.8" customHeight="1" x14ac:dyDescent="0.2">
      <c r="A17" s="43">
        <f ca="1">IF(AND(B17&lt;&gt;0,B17&lt;&gt;""),A16+1,"")</f>
        <v>10</v>
      </c>
      <c r="B17" s="48" t="str">
        <f ca="1"/>
        <v>福士</v>
      </c>
      <c r="C17" s="49" t="str">
        <f ca="1">IF(B17&lt;&gt;"",VLOOKUP(B17,まとめ!$B$12:$C$41,2,FALSE),"")</f>
        <v>静子</v>
      </c>
      <c r="D17" s="43" t="str">
        <f ca="1">IF(B17&lt;&gt;"",IF(B17&lt;&gt;0,
IF(COUNTIF(INDEX(まとめ!$D$12:$D$41, MATCH(B17,まとめ!$B$12:$B$41, 0)),"*正社員*"),"保育士（正社員）","保育士（パート）"), 0),"")</f>
        <v>保育士（パート）</v>
      </c>
      <c r="E17" s="28" t="str">
        <f ca="1">IF(B17="","",IF(B17=0,0,IF(K17&gt;=1,"常勤","非常勤")))</f>
        <v>常勤</v>
      </c>
      <c r="F17" s="28">
        <f ca="1">IF(B17&lt;&gt;"",IF(B17&lt;&gt;0,
IFERROR(INDEX(まとめ!$F$12:$F$41,MATCH(B17,まとめ!$B$12:$B$41,0)),""), 0),"")</f>
        <v>170.75</v>
      </c>
      <c r="G17" s="25">
        <f ca="1">IF(B17&lt;&gt;"",
IFERROR(VALUE(INDEX(まとめ!$G$12:$G$41,MATCH(B17,まとめ!$B$12:$B$41,0)))-SUM(I17:J17),""),"")</f>
        <v>168</v>
      </c>
      <c r="H17" s="25" t="str">
        <f ca="1">IF(B17&lt;&gt;"",IF(B17&lt;&gt;0,
IF(IFERROR(INDEX(まとめ!$H$12:$H$41,MATCH(B17,まとめ!$B$12:$B$41,0)),"")&lt;&gt;"",まとめ!$F$9,""), 0),"")</f>
        <v/>
      </c>
      <c r="I17" s="35" t="str">
        <f ca="1">IF(H17&lt;&gt;"",IFERROR(VALUE(INDEX(まとめ!$I$12:$I$41,MATCH(B17,まとめ!$B$12:$B$41,0))),0),"")</f>
        <v/>
      </c>
      <c r="J17" s="35">
        <f ca="1">IF(B17&lt;&gt;"",IF(B17&lt;&gt;0,
IFERROR(VALUE(INDEX(まとめ!$J$12:$J$41,MATCH(B17,まとめ!$B$12:$B$41,0))),""), 0),"")</f>
        <v>0</v>
      </c>
      <c r="K17" s="25">
        <f ca="1">IF(B17&lt;&gt;"",IF(G17&gt;$D$5,1,ROUND(G17/$D$5,1)),"")</f>
        <v>1</v>
      </c>
      <c r="L17" s="28" t="str">
        <f ca="1">IF(B17&lt;&gt;"",IF(B17&lt;&gt;0,
IFERROR(VALUE(INDEX(まとめ!$K$12:$K$41,MATCH(B17,まとめ!#REF!,0))),""), 0),"")</f>
        <v/>
      </c>
    </row>
    <row r="18" spans="1:12" ht="19.8" customHeight="1" x14ac:dyDescent="0.2">
      <c r="A18" s="43" t="str">
        <f ca="1">IF(AND(B18&lt;&gt;0,B18&lt;&gt;""),A17+1,"")</f>
        <v/>
      </c>
      <c r="B18" s="48" t="str">
        <f ca="1"/>
        <v/>
      </c>
      <c r="C18" s="49" t="str">
        <f ca="1">IF(B18&lt;&gt;"",VLOOKUP(B18,まとめ!$B$12:$C$41,2,FALSE),"")</f>
        <v/>
      </c>
      <c r="D18" s="43" t="str">
        <f ca="1">IF(B18&lt;&gt;"",IF(B18&lt;&gt;0,
IF(COUNTIF(INDEX(まとめ!$D$12:$D$41, MATCH(B18,まとめ!$B$12:$B$41, 0)),"*正社員*"),"保育士（正社員）","保育士（パート）"), 0),"")</f>
        <v/>
      </c>
      <c r="E18" s="28" t="str">
        <f ca="1">IF(B18="","",IF(B18=0,0,IF(K18&gt;=1,"常勤","非常勤")))</f>
        <v/>
      </c>
      <c r="F18" s="28" t="str">
        <f ca="1">IF(B18&lt;&gt;"",IF(B18&lt;&gt;0,
IFERROR(INDEX(まとめ!$F$12:$F$41,MATCH(B18,まとめ!$B$12:$B$41,0)),""), 0),"")</f>
        <v/>
      </c>
      <c r="G18" s="25" t="str">
        <f ca="1">IF(B18&lt;&gt;"",
IFERROR(VALUE(INDEX(まとめ!$G$12:$G$41,MATCH(B18,まとめ!$B$12:$B$41,0)))-SUM(I18:J18),""),"")</f>
        <v/>
      </c>
      <c r="H18" s="25" t="str">
        <f ca="1">IF(B18&lt;&gt;"",IF(B18&lt;&gt;0,
IF(IFERROR(INDEX(まとめ!$H$12:$H$41,MATCH(B18,まとめ!$B$12:$B$41,0)),"")&lt;&gt;"",まとめ!$F$9,""), 0),"")</f>
        <v/>
      </c>
      <c r="I18" s="35" t="str">
        <f ca="1">IF(H18&lt;&gt;"",IFERROR(VALUE(INDEX(まとめ!$I$12:$I$41,MATCH(B18,まとめ!$B$12:$B$41,0))),0),"")</f>
        <v/>
      </c>
      <c r="J18" s="35" t="str">
        <f ca="1">IF(B18&lt;&gt;"",IF(B18&lt;&gt;0,
IFERROR(VALUE(INDEX(まとめ!$J$12:$J$41,MATCH(B18,まとめ!$B$12:$B$41,0))),""), 0),"")</f>
        <v/>
      </c>
      <c r="K18" s="25" t="str">
        <f ca="1">IF(B18&lt;&gt;"",IF(G18&gt;$D$5,1,ROUND(G18/$D$5,1)),"")</f>
        <v/>
      </c>
      <c r="L18" s="28" t="str">
        <f ca="1">IF(B18&lt;&gt;"",IF(B18&lt;&gt;0,
IFERROR(VALUE(INDEX(まとめ!$K$12:$K$41,MATCH(B18,まとめ!#REF!,0))),""), 0),"")</f>
        <v/>
      </c>
    </row>
    <row r="19" spans="1:12" ht="19.8" customHeight="1" x14ac:dyDescent="0.2">
      <c r="A19" s="43" t="str">
        <f ca="1">IF(AND(B19&lt;&gt;0,B19&lt;&gt;""),A18+1,"")</f>
        <v/>
      </c>
      <c r="B19" s="48" t="str">
        <f ca="1"/>
        <v/>
      </c>
      <c r="C19" s="49" t="str">
        <f ca="1">IF(B19&lt;&gt;"",VLOOKUP(B19,まとめ!$B$12:$C$41,2,FALSE),"")</f>
        <v/>
      </c>
      <c r="D19" s="43" t="str">
        <f ca="1">IF(B19&lt;&gt;"",IF(B19&lt;&gt;0,
IF(COUNTIF(INDEX(まとめ!$D$12:$D$41, MATCH(B19,まとめ!$B$12:$B$41, 0)),"*正社員*"),"保育士（正社員）","保育士（パート）"), 0),"")</f>
        <v/>
      </c>
      <c r="E19" s="28" t="str">
        <f ca="1">IF(B19="","",IF(B19=0,0,IF(K19&gt;=1,"常勤","非常勤")))</f>
        <v/>
      </c>
      <c r="F19" s="28" t="str">
        <f ca="1">IF(B19&lt;&gt;"",IF(B19&lt;&gt;0,
IFERROR(INDEX(まとめ!$F$12:$F$41,MATCH(B19,まとめ!$B$12:$B$41,0)),""), 0),"")</f>
        <v/>
      </c>
      <c r="G19" s="25" t="str">
        <f ca="1">IF(B19&lt;&gt;"",
IFERROR(VALUE(INDEX(まとめ!$G$12:$G$41,MATCH(B19,まとめ!$B$12:$B$41,0)))-SUM(I19:J19),""),"")</f>
        <v/>
      </c>
      <c r="H19" s="25" t="str">
        <f ca="1">IF(B19&lt;&gt;"",IF(B19&lt;&gt;0,
IF(IFERROR(INDEX(まとめ!$H$12:$H$41,MATCH(B19,まとめ!$B$12:$B$41,0)),"")&lt;&gt;"",まとめ!$F$9,""), 0),"")</f>
        <v/>
      </c>
      <c r="I19" s="35" t="str">
        <f ca="1">IF(H19&lt;&gt;"",IFERROR(VALUE(INDEX(まとめ!$I$12:$I$41,MATCH(B19,まとめ!$B$12:$B$41,0))),0),"")</f>
        <v/>
      </c>
      <c r="J19" s="35" t="str">
        <f ca="1">IF(B19&lt;&gt;"",IF(B19&lt;&gt;0,
IFERROR(VALUE(INDEX(まとめ!$J$12:$J$41,MATCH(B19,まとめ!$B$12:$B$41,0))),""), 0),"")</f>
        <v/>
      </c>
      <c r="K19" s="25" t="str">
        <f ca="1">IF(B19&lt;&gt;"",IF(G19&gt;$D$5,1,ROUND(G19/$D$5,1)),"")</f>
        <v/>
      </c>
      <c r="L19" s="28" t="str">
        <f ca="1">IF(B19&lt;&gt;"",IF(B19&lt;&gt;0,
IFERROR(VALUE(INDEX(まとめ!$K$12:$K$41,MATCH(B19,まとめ!#REF!,0))),""), 0),"")</f>
        <v/>
      </c>
    </row>
    <row r="20" spans="1:12" ht="19.8" customHeight="1" x14ac:dyDescent="0.2">
      <c r="A20" s="43" t="str">
        <f ca="1">IF(AND(B20&lt;&gt;0,B20&lt;&gt;""),A19+1,"")</f>
        <v/>
      </c>
      <c r="B20" s="48" t="str">
        <f ca="1"/>
        <v/>
      </c>
      <c r="C20" s="49" t="str">
        <f ca="1">IF(B20&lt;&gt;"",VLOOKUP(B20,まとめ!$B$12:$C$41,2,FALSE),"")</f>
        <v/>
      </c>
      <c r="D20" s="43" t="str">
        <f ca="1">IF(B20&lt;&gt;"",IF(B20&lt;&gt;0,
IF(COUNTIF(INDEX(まとめ!$D$12:$D$41, MATCH(B20,まとめ!$B$12:$B$41, 0)),"*正社員*"),"保育士（正社員）","保育士（パート）"), 0),"")</f>
        <v/>
      </c>
      <c r="E20" s="28" t="str">
        <f ca="1">IF(B20="","",IF(B20=0,0,IF(K20&gt;=1,"常勤","非常勤")))</f>
        <v/>
      </c>
      <c r="F20" s="28" t="str">
        <f ca="1">IF(B20&lt;&gt;"",IF(B20&lt;&gt;0,
IFERROR(INDEX(まとめ!$F$12:$F$41,MATCH(B20,まとめ!$B$12:$B$41,0)),""), 0),"")</f>
        <v/>
      </c>
      <c r="G20" s="25" t="str">
        <f ca="1">IF(B20&lt;&gt;"",
IFERROR(VALUE(INDEX(まとめ!$G$12:$G$41,MATCH(B20,まとめ!$B$12:$B$41,0)))-SUM(I20:J20),""),"")</f>
        <v/>
      </c>
      <c r="H20" s="25" t="str">
        <f ca="1">IF(B20&lt;&gt;"",IF(B20&lt;&gt;0,
IF(IFERROR(INDEX(まとめ!$H$12:$H$41,MATCH(B20,まとめ!$B$12:$B$41,0)),"")&lt;&gt;"",まとめ!$F$9,""), 0),"")</f>
        <v/>
      </c>
      <c r="I20" s="35" t="str">
        <f ca="1">IF(H20&lt;&gt;"",IFERROR(VALUE(INDEX(まとめ!$I$12:$I$41,MATCH(B20,まとめ!$B$12:$B$41,0))),0),"")</f>
        <v/>
      </c>
      <c r="J20" s="35" t="str">
        <f ca="1">IF(B20&lt;&gt;"",IF(B20&lt;&gt;0,
IFERROR(VALUE(INDEX(まとめ!$J$12:$J$41,MATCH(B20,まとめ!$B$12:$B$41,0))),""), 0),"")</f>
        <v/>
      </c>
      <c r="K20" s="25" t="str">
        <f ca="1">IF(B20&lt;&gt;"",IF(G20&gt;$D$5,1,ROUND(G20/$D$5,1)),"")</f>
        <v/>
      </c>
      <c r="L20" s="28" t="str">
        <f ca="1">IF(B20&lt;&gt;"",IF(B20&lt;&gt;0,
IFERROR(VALUE(INDEX(まとめ!$K$12:$K$41,MATCH(B20,まとめ!#REF!,0))),""), 0),"")</f>
        <v/>
      </c>
    </row>
    <row r="21" spans="1:12" ht="19.8" customHeight="1" x14ac:dyDescent="0.2">
      <c r="A21" s="43" t="str">
        <f ca="1">IF(AND(B21&lt;&gt;0,B21&lt;&gt;""),A20+1,"")</f>
        <v/>
      </c>
      <c r="B21" s="48" t="str">
        <f ca="1"/>
        <v/>
      </c>
      <c r="C21" s="49" t="str">
        <f ca="1">IF(B21&lt;&gt;"",VLOOKUP(B21,まとめ!$B$12:$C$41,2,FALSE),"")</f>
        <v/>
      </c>
      <c r="D21" s="43" t="str">
        <f ca="1">IF(B21&lt;&gt;"",IF(B21&lt;&gt;0,
IF(COUNTIF(INDEX(まとめ!$D$12:$D$41, MATCH(B21,まとめ!$B$12:$B$41, 0)),"*正社員*"),"保育士（正社員）","保育士（パート）"), 0),"")</f>
        <v/>
      </c>
      <c r="E21" s="28" t="str">
        <f ca="1">IF(B21="","",IF(B21=0,0,IF(K21&gt;=1,"常勤","非常勤")))</f>
        <v/>
      </c>
      <c r="F21" s="28" t="str">
        <f ca="1">IF(B21&lt;&gt;"",IF(B21&lt;&gt;0,
IFERROR(INDEX(まとめ!$F$12:$F$41,MATCH(B21,まとめ!$B$12:$B$41,0)),""), 0),"")</f>
        <v/>
      </c>
      <c r="G21" s="25" t="str">
        <f ca="1">IF(B21&lt;&gt;"",
IFERROR(VALUE(INDEX(まとめ!$G$12:$G$41,MATCH(B21,まとめ!$B$12:$B$41,0)))-SUM(I21:J21),""),"")</f>
        <v/>
      </c>
      <c r="H21" s="25" t="str">
        <f ca="1">IF(B21&lt;&gt;"",IF(B21&lt;&gt;0,
IF(IFERROR(INDEX(まとめ!$H$12:$H$41,MATCH(B21,まとめ!$B$12:$B$41,0)),"")&lt;&gt;"",まとめ!$F$9,""), 0),"")</f>
        <v/>
      </c>
      <c r="I21" s="35" t="str">
        <f ca="1">IF(H21&lt;&gt;"",IFERROR(VALUE(INDEX(まとめ!$I$12:$I$41,MATCH(B21,まとめ!$B$12:$B$41,0))),0),"")</f>
        <v/>
      </c>
      <c r="J21" s="35" t="str">
        <f ca="1">IF(B21&lt;&gt;"",IF(B21&lt;&gt;0,
IFERROR(VALUE(INDEX(まとめ!$J$12:$J$41,MATCH(B21,まとめ!$B$12:$B$41,0))),""), 0),"")</f>
        <v/>
      </c>
      <c r="K21" s="25" t="str">
        <f ca="1">IF(B21&lt;&gt;"",IF(G21&gt;$D$5,1,ROUND(G21/$D$5,1)),"")</f>
        <v/>
      </c>
      <c r="L21" s="28" t="str">
        <f ca="1">IF(B21&lt;&gt;"",IF(B21&lt;&gt;0,
IFERROR(VALUE(INDEX(まとめ!$K$12:$K$41,MATCH(B21,まとめ!#REF!,0))),""), 0),"")</f>
        <v/>
      </c>
    </row>
    <row r="22" spans="1:12" ht="19.8" customHeight="1" x14ac:dyDescent="0.2">
      <c r="A22" s="43" t="str">
        <f ca="1">IF(AND(B22&lt;&gt;0,B22&lt;&gt;""),A21+1,"")</f>
        <v/>
      </c>
      <c r="B22" s="48" t="str">
        <f ca="1"/>
        <v/>
      </c>
      <c r="C22" s="49" t="str">
        <f ca="1">IF(B22&lt;&gt;"",VLOOKUP(B22,まとめ!$B$12:$C$41,2,FALSE),"")</f>
        <v/>
      </c>
      <c r="D22" s="43" t="str">
        <f ca="1">IF(B22&lt;&gt;"",IF(B22&lt;&gt;0,
IF(COUNTIF(INDEX(まとめ!$D$12:$D$41, MATCH(B22,まとめ!$B$12:$B$41, 0)),"*正社員*"),"保育士（正社員）","保育士（パート）"), 0),"")</f>
        <v/>
      </c>
      <c r="E22" s="28" t="str">
        <f ca="1">IF(B22="","",IF(B22=0,0,IF(K22&gt;=1,"常勤","非常勤")))</f>
        <v/>
      </c>
      <c r="F22" s="28" t="str">
        <f ca="1">IF(B22&lt;&gt;"",IF(B22&lt;&gt;0,
IFERROR(INDEX(まとめ!$F$12:$F$41,MATCH(B22,まとめ!$B$12:$B$41,0)),""), 0),"")</f>
        <v/>
      </c>
      <c r="G22" s="25" t="str">
        <f ca="1">IF(B22&lt;&gt;"",
IFERROR(VALUE(INDEX(まとめ!$G$12:$G$41,MATCH(B22,まとめ!$B$12:$B$41,0)))-SUM(I22:J22),""),"")</f>
        <v/>
      </c>
      <c r="H22" s="25" t="str">
        <f ca="1">IF(B22&lt;&gt;"",IF(B22&lt;&gt;0,
IF(IFERROR(INDEX(まとめ!$H$12:$H$41,MATCH(B22,まとめ!$B$12:$B$41,0)),"")&lt;&gt;"",まとめ!$F$9,""), 0),"")</f>
        <v/>
      </c>
      <c r="I22" s="35" t="str">
        <f ca="1">IF(H22&lt;&gt;"",IFERROR(VALUE(INDEX(まとめ!$I$12:$I$41,MATCH(B22,まとめ!$B$12:$B$41,0))),0),"")</f>
        <v/>
      </c>
      <c r="J22" s="35" t="str">
        <f ca="1">IF(B22&lt;&gt;"",IF(B22&lt;&gt;0,
IFERROR(VALUE(INDEX(まとめ!$J$12:$J$41,MATCH(B22,まとめ!$B$12:$B$41,0))),""), 0),"")</f>
        <v/>
      </c>
      <c r="K22" s="25" t="str">
        <f ca="1">IF(B22&lt;&gt;"",IF(G22&gt;$D$5,1,ROUND(G22/$D$5,1)),"")</f>
        <v/>
      </c>
      <c r="L22" s="28" t="str">
        <f ca="1">IF(B22&lt;&gt;"",IF(B22&lt;&gt;0,
IFERROR(VALUE(INDEX(まとめ!$K$12:$K$41,MATCH(B22,まとめ!#REF!,0))),""), 0),"")</f>
        <v/>
      </c>
    </row>
    <row r="23" spans="1:12" ht="19.8" customHeight="1" x14ac:dyDescent="0.2">
      <c r="A23" s="43" t="str">
        <f ca="1">IF(AND(B23&lt;&gt;0,B23&lt;&gt;""),A22+1,"")</f>
        <v/>
      </c>
      <c r="B23" s="48" t="str">
        <f ca="1"/>
        <v/>
      </c>
      <c r="C23" s="49" t="str">
        <f ca="1">IF(B23&lt;&gt;"",VLOOKUP(B23,まとめ!$B$12:$C$41,2,FALSE),"")</f>
        <v/>
      </c>
      <c r="D23" s="43" t="str">
        <f ca="1">IF(B23&lt;&gt;"",IF(B23&lt;&gt;0,
IF(COUNTIF(INDEX(まとめ!$D$12:$D$41, MATCH(B23,まとめ!$B$12:$B$41, 0)),"*正社員*"),"保育士（正社員）","保育士（パート）"), 0),"")</f>
        <v/>
      </c>
      <c r="E23" s="28" t="str">
        <f ca="1">IF(B23="","",IF(B23=0,0,IF(K23&gt;=1,"常勤","非常勤")))</f>
        <v/>
      </c>
      <c r="F23" s="28" t="str">
        <f ca="1">IF(B23&lt;&gt;"",IF(B23&lt;&gt;0,
IFERROR(INDEX(まとめ!$F$12:$F$41,MATCH(B23,まとめ!$B$12:$B$41,0)),""), 0),"")</f>
        <v/>
      </c>
      <c r="G23" s="25" t="str">
        <f ca="1">IF(B23&lt;&gt;"",
IFERROR(VALUE(INDEX(まとめ!$G$12:$G$41,MATCH(B23,まとめ!$B$12:$B$41,0)))-SUM(I23:J23),""),"")</f>
        <v/>
      </c>
      <c r="H23" s="25" t="str">
        <f ca="1">IF(B23&lt;&gt;"",IF(B23&lt;&gt;0,
IF(IFERROR(INDEX(まとめ!$H$12:$H$41,MATCH(B23,まとめ!$B$12:$B$41,0)),"")&lt;&gt;"",まとめ!$F$9,""), 0),"")</f>
        <v/>
      </c>
      <c r="I23" s="35" t="str">
        <f ca="1">IF(H23&lt;&gt;"",IFERROR(VALUE(INDEX(まとめ!$I$12:$I$41,MATCH(B23,まとめ!$B$12:$B$41,0))),0),"")</f>
        <v/>
      </c>
      <c r="J23" s="35" t="str">
        <f ca="1">IF(B23&lt;&gt;"",IF(B23&lt;&gt;0,
IFERROR(VALUE(INDEX(まとめ!$J$12:$J$41,MATCH(B23,まとめ!$B$12:$B$41,0))),""), 0),"")</f>
        <v/>
      </c>
      <c r="K23" s="25" t="str">
        <f ca="1">IF(B23&lt;&gt;"",IF(G23&gt;$D$5,1,ROUND(G23/$D$5,1)),"")</f>
        <v/>
      </c>
      <c r="L23" s="28" t="str">
        <f ca="1">IF(B23&lt;&gt;"",IF(B23&lt;&gt;0,
IFERROR(VALUE(INDEX(まとめ!$K$12:$K$41,MATCH(B23,まとめ!#REF!,0))),""), 0),"")</f>
        <v/>
      </c>
    </row>
    <row r="24" spans="1:12" ht="19.8" customHeight="1" x14ac:dyDescent="0.2">
      <c r="A24" s="43" t="str">
        <f ca="1">IF(AND(B24&lt;&gt;0,B24&lt;&gt;""),A23+1,"")</f>
        <v/>
      </c>
      <c r="B24" s="48" t="str">
        <f ca="1"/>
        <v/>
      </c>
      <c r="C24" s="49" t="str">
        <f ca="1">IF(B24&lt;&gt;"",VLOOKUP(B24,まとめ!$B$12:$C$41,2,FALSE),"")</f>
        <v/>
      </c>
      <c r="D24" s="43" t="str">
        <f ca="1">IF(B24&lt;&gt;"",IF(B24&lt;&gt;0,
IF(COUNTIF(INDEX(まとめ!$D$12:$D$41, MATCH(B24,まとめ!$B$12:$B$41, 0)),"*正社員*"),"保育士（正社員）","保育士（パート）"), 0),"")</f>
        <v/>
      </c>
      <c r="E24" s="28" t="str">
        <f ca="1">IF(B24="","",IF(B24=0,0,IF(K24&gt;=1,"常勤","非常勤")))</f>
        <v/>
      </c>
      <c r="F24" s="28" t="str">
        <f ca="1">IF(B24&lt;&gt;"",IF(B24&lt;&gt;0,
IFERROR(INDEX(まとめ!$F$12:$F$41,MATCH(B24,まとめ!$B$12:$B$41,0)),""), 0),"")</f>
        <v/>
      </c>
      <c r="G24" s="25" t="str">
        <f ca="1">IF(B24&lt;&gt;"",
IFERROR(VALUE(INDEX(まとめ!$G$12:$G$41,MATCH(B24,まとめ!$B$12:$B$41,0)))-SUM(I24:J24),""),"")</f>
        <v/>
      </c>
      <c r="H24" s="25" t="str">
        <f ca="1">IF(B24&lt;&gt;"",IF(B24&lt;&gt;0,
IF(IFERROR(INDEX(まとめ!$H$12:$H$41,MATCH(B24,まとめ!$B$12:$B$41,0)),"")&lt;&gt;"",まとめ!$F$9,""), 0),"")</f>
        <v/>
      </c>
      <c r="I24" s="35" t="str">
        <f ca="1">IF(H24&lt;&gt;"",IFERROR(VALUE(INDEX(まとめ!$I$12:$I$41,MATCH(B24,まとめ!$B$12:$B$41,0))),0),"")</f>
        <v/>
      </c>
      <c r="J24" s="35" t="str">
        <f ca="1">IF(B24&lt;&gt;"",IF(B24&lt;&gt;0,
IFERROR(VALUE(INDEX(まとめ!$J$12:$J$41,MATCH(B24,まとめ!$B$12:$B$41,0))),""), 0),"")</f>
        <v/>
      </c>
      <c r="K24" s="25" t="str">
        <f ca="1">IF(B24&lt;&gt;"",IF(G24&gt;$D$5,1,ROUND(G24/$D$5,1)),"")</f>
        <v/>
      </c>
      <c r="L24" s="28" t="str">
        <f ca="1">IF(B24&lt;&gt;"",IF(B24&lt;&gt;0,
IFERROR(VALUE(INDEX(まとめ!$K$12:$K$41,MATCH(B24,まとめ!#REF!,0))),""), 0),"")</f>
        <v/>
      </c>
    </row>
    <row r="25" spans="1:12" ht="19.8" customHeight="1" x14ac:dyDescent="0.2">
      <c r="A25" s="43" t="str">
        <f ca="1">IF(AND(B25&lt;&gt;0,B25&lt;&gt;""),A24+1,"")</f>
        <v/>
      </c>
      <c r="B25" s="48" t="str">
        <f ca="1"/>
        <v/>
      </c>
      <c r="C25" s="49" t="str">
        <f ca="1">IF(B25&lt;&gt;"",VLOOKUP(B25,まとめ!$B$12:$C$41,2,FALSE),"")</f>
        <v/>
      </c>
      <c r="D25" s="43" t="str">
        <f ca="1">IF(B25&lt;&gt;"",IF(B25&lt;&gt;0,
IF(COUNTIF(INDEX(まとめ!$D$12:$D$41, MATCH(B25,まとめ!$B$12:$B$41, 0)),"*正社員*"),"保育士（正社員）","保育士（パート）"), 0),"")</f>
        <v/>
      </c>
      <c r="E25" s="28" t="str">
        <f ca="1">IF(B25="","",IF(B25=0,0,IF(K25&gt;=1,"常勤","非常勤")))</f>
        <v/>
      </c>
      <c r="F25" s="28" t="str">
        <f ca="1">IF(B25&lt;&gt;"",IF(B25&lt;&gt;0,
IFERROR(INDEX(まとめ!$F$12:$F$41,MATCH(B25,まとめ!$B$12:$B$41,0)),""), 0),"")</f>
        <v/>
      </c>
      <c r="G25" s="25" t="str">
        <f ca="1">IF(B25&lt;&gt;"",
IFERROR(VALUE(INDEX(まとめ!$G$12:$G$41,MATCH(B25,まとめ!$B$12:$B$41,0)))-SUM(I25:J25),""),"")</f>
        <v/>
      </c>
      <c r="H25" s="25" t="str">
        <f ca="1">IF(B25&lt;&gt;"",IF(B25&lt;&gt;0,
IF(IFERROR(INDEX(まとめ!$H$12:$H$41,MATCH(B25,まとめ!$B$12:$B$41,0)),"")&lt;&gt;"",まとめ!$F$9,""), 0),"")</f>
        <v/>
      </c>
      <c r="I25" s="35" t="str">
        <f ca="1">IF(H25&lt;&gt;"",IFERROR(VALUE(INDEX(まとめ!$I$12:$I$41,MATCH(B25,まとめ!$B$12:$B$41,0))),0),"")</f>
        <v/>
      </c>
      <c r="J25" s="35" t="str">
        <f ca="1">IF(B25&lt;&gt;"",IF(B25&lt;&gt;0,
IFERROR(VALUE(INDEX(まとめ!$J$12:$J$41,MATCH(B25,まとめ!$B$12:$B$41,0))),""), 0),"")</f>
        <v/>
      </c>
      <c r="K25" s="25" t="str">
        <f ca="1">IF(B25&lt;&gt;"",IF(G25&gt;$D$5,1,ROUND(G25/$D$5,1)),"")</f>
        <v/>
      </c>
      <c r="L25" s="28" t="str">
        <f ca="1">IF(B25&lt;&gt;"",IF(B25&lt;&gt;0,
IFERROR(VALUE(INDEX(まとめ!$K$12:$K$41,MATCH(B25,まとめ!#REF!,0))),""), 0),"")</f>
        <v/>
      </c>
    </row>
    <row r="26" spans="1:12" ht="19.8" customHeight="1" x14ac:dyDescent="0.2">
      <c r="A26" s="43" t="str">
        <f ca="1">IF(AND(B26&lt;&gt;0,B26&lt;&gt;""),A25+1,"")</f>
        <v/>
      </c>
      <c r="B26" s="48" t="str">
        <f ca="1"/>
        <v/>
      </c>
      <c r="C26" s="49" t="str">
        <f ca="1">IF(B26&lt;&gt;"",VLOOKUP(B26,まとめ!$B$12:$C$41,2,FALSE),"")</f>
        <v/>
      </c>
      <c r="D26" s="43" t="str">
        <f ca="1">IF(B26&lt;&gt;"",IF(B26&lt;&gt;0,
IF(COUNTIF(INDEX(まとめ!$D$12:$D$41, MATCH(B26,まとめ!$B$12:$B$41, 0)),"*正社員*"),"保育士（正社員）","保育士（パート）"), 0),"")</f>
        <v/>
      </c>
      <c r="E26" s="28" t="str">
        <f ca="1">IF(B26="","",IF(B26=0,0,IF(K26&gt;=1,"常勤","非常勤")))</f>
        <v/>
      </c>
      <c r="F26" s="28" t="str">
        <f ca="1">IF(B26&lt;&gt;"",IF(B26&lt;&gt;0,
IFERROR(INDEX(まとめ!$F$12:$F$41,MATCH(B26,まとめ!$B$12:$B$41,0)),""), 0),"")</f>
        <v/>
      </c>
      <c r="G26" s="25" t="str">
        <f ca="1">IF(B26&lt;&gt;"",
IFERROR(VALUE(INDEX(まとめ!$G$12:$G$41,MATCH(B26,まとめ!$B$12:$B$41,0)))-SUM(I26:J26),""),"")</f>
        <v/>
      </c>
      <c r="H26" s="25" t="str">
        <f ca="1">IF(B26&lt;&gt;"",IF(B26&lt;&gt;0,
IF(IFERROR(INDEX(まとめ!$H$12:$H$41,MATCH(B26,まとめ!$B$12:$B$41,0)),"")&lt;&gt;"",まとめ!$F$9,""), 0),"")</f>
        <v/>
      </c>
      <c r="I26" s="35" t="str">
        <f ca="1">IF(H26&lt;&gt;"",IFERROR(VALUE(INDEX(まとめ!$I$12:$I$41,MATCH(B26,まとめ!$B$12:$B$41,0))),0),"")</f>
        <v/>
      </c>
      <c r="J26" s="35" t="str">
        <f ca="1">IF(B26&lt;&gt;"",IF(B26&lt;&gt;0,
IFERROR(VALUE(INDEX(まとめ!$J$12:$J$41,MATCH(B26,まとめ!$B$12:$B$41,0))),""), 0),"")</f>
        <v/>
      </c>
      <c r="K26" s="25" t="str">
        <f ca="1">IF(B26&lt;&gt;"",IF(G26&gt;$D$5,1,ROUND(G26/$D$5,1)),"")</f>
        <v/>
      </c>
      <c r="L26" s="28" t="str">
        <f ca="1">IF(B26&lt;&gt;"",IF(B26&lt;&gt;0,
IFERROR(VALUE(INDEX(まとめ!$K$12:$K$41,MATCH(B26,まとめ!#REF!,0))),""), 0),"")</f>
        <v/>
      </c>
    </row>
    <row r="27" spans="1:12" ht="19.8" customHeight="1" x14ac:dyDescent="0.2">
      <c r="A27" s="43" t="str">
        <f ca="1">IF(AND(B27&lt;&gt;0,B27&lt;&gt;""),A26+1,"")</f>
        <v/>
      </c>
      <c r="B27" s="48" t="str">
        <f ca="1"/>
        <v/>
      </c>
      <c r="C27" s="49" t="str">
        <f ca="1">IF(B27&lt;&gt;"",VLOOKUP(B27,まとめ!$B$12:$C$41,2,FALSE),"")</f>
        <v/>
      </c>
      <c r="D27" s="43" t="str">
        <f ca="1">IF(B27&lt;&gt;"",IF(B27&lt;&gt;0,
IF(COUNTIF(INDEX(まとめ!$D$12:$D$41, MATCH(B27,まとめ!$B$12:$B$41, 0)),"*正社員*"),"保育士（正社員）","保育士（パート）"), 0),"")</f>
        <v/>
      </c>
      <c r="E27" s="28" t="str">
        <f ca="1">IF(B27="","",IF(B27=0,0,IF(K27&gt;=1,"常勤","非常勤")))</f>
        <v/>
      </c>
      <c r="F27" s="28" t="str">
        <f ca="1">IF(B27&lt;&gt;"",IF(B27&lt;&gt;0,
IFERROR(INDEX(まとめ!$F$12:$F$41,MATCH(B27,まとめ!$B$12:$B$41,0)),""), 0),"")</f>
        <v/>
      </c>
      <c r="G27" s="25" t="str">
        <f ca="1">IF(B27&lt;&gt;"",
IFERROR(VALUE(INDEX(まとめ!$G$12:$G$41,MATCH(B27,まとめ!$B$12:$B$41,0)))-SUM(I27:J27),""),"")</f>
        <v/>
      </c>
      <c r="H27" s="25" t="str">
        <f ca="1">IF(B27&lt;&gt;"",IF(B27&lt;&gt;0,
IF(IFERROR(INDEX(まとめ!$H$12:$H$41,MATCH(B27,まとめ!$B$12:$B$41,0)),"")&lt;&gt;"",まとめ!$F$9,""), 0),"")</f>
        <v/>
      </c>
      <c r="I27" s="35" t="str">
        <f ca="1">IF(H27&lt;&gt;"",IFERROR(VALUE(INDEX(まとめ!$I$12:$I$41,MATCH(B27,まとめ!$B$12:$B$41,0))),0),"")</f>
        <v/>
      </c>
      <c r="J27" s="35" t="str">
        <f ca="1">IF(B27&lt;&gt;"",IF(B27&lt;&gt;0,
IFERROR(VALUE(INDEX(まとめ!$J$12:$J$41,MATCH(B27,まとめ!$B$12:$B$41,0))),""), 0),"")</f>
        <v/>
      </c>
      <c r="K27" s="25" t="str">
        <f ca="1">IF(B27&lt;&gt;"",IF(G27&gt;$D$5,1,ROUND(G27/$D$5,1)),"")</f>
        <v/>
      </c>
      <c r="L27" s="28" t="str">
        <f ca="1">IF(B27&lt;&gt;"",IF(B27&lt;&gt;0,
IFERROR(VALUE(INDEX(まとめ!$K$12:$K$41,MATCH(B27,まとめ!#REF!,0))),""), 0),"")</f>
        <v/>
      </c>
    </row>
    <row r="28" spans="1:12" ht="19.8" customHeight="1" x14ac:dyDescent="0.2">
      <c r="A28" s="43" t="str">
        <f ca="1">IF(AND(B28&lt;&gt;0,B28&lt;&gt;""),A27+1,"")</f>
        <v/>
      </c>
      <c r="B28" s="48" t="str">
        <f ca="1"/>
        <v/>
      </c>
      <c r="C28" s="49" t="str">
        <f ca="1">IF(B28&lt;&gt;"",VLOOKUP(B28,まとめ!$B$12:$C$41,2,FALSE),"")</f>
        <v/>
      </c>
      <c r="D28" s="43" t="str">
        <f ca="1">IF(B28&lt;&gt;"",IF(B28&lt;&gt;0,
IF(COUNTIF(INDEX(まとめ!$D$12:$D$41, MATCH(B28,まとめ!$B$12:$B$41, 0)),"*正社員*"),"保育士（正社員）","保育士（パート）"), 0),"")</f>
        <v/>
      </c>
      <c r="E28" s="28" t="str">
        <f ca="1">IF(B28="","",IF(B28=0,0,IF(K28&gt;=1,"常勤","非常勤")))</f>
        <v/>
      </c>
      <c r="F28" s="28" t="str">
        <f ca="1">IF(B28&lt;&gt;"",IF(B28&lt;&gt;0,
IFERROR(INDEX(まとめ!$F$12:$F$41,MATCH(B28,まとめ!$B$12:$B$41,0)),""), 0),"")</f>
        <v/>
      </c>
      <c r="G28" s="25" t="str">
        <f ca="1">IF(B28&lt;&gt;"",
IFERROR(VALUE(INDEX(まとめ!$G$12:$G$41,MATCH(B28,まとめ!$B$12:$B$41,0)))-SUM(I28:J28),""),"")</f>
        <v/>
      </c>
      <c r="H28" s="25" t="str">
        <f ca="1">IF(B28&lt;&gt;"",IF(B28&lt;&gt;0,
IF(IFERROR(INDEX(まとめ!$H$12:$H$41,MATCH(B28,まとめ!$B$12:$B$41,0)),"")&lt;&gt;"",まとめ!$F$9,""), 0),"")</f>
        <v/>
      </c>
      <c r="I28" s="35" t="str">
        <f ca="1">IF(H28&lt;&gt;"",IFERROR(VALUE(INDEX(まとめ!$I$12:$I$41,MATCH(B28,まとめ!$B$12:$B$41,0))),0),"")</f>
        <v/>
      </c>
      <c r="J28" s="35" t="str">
        <f ca="1">IF(B28&lt;&gt;"",IF(B28&lt;&gt;0,
IFERROR(VALUE(INDEX(まとめ!$J$12:$J$41,MATCH(B28,まとめ!$B$12:$B$41,0))),""), 0),"")</f>
        <v/>
      </c>
      <c r="K28" s="25" t="str">
        <f ca="1">IF(B28&lt;&gt;"",IF(G28&gt;$D$5,1,ROUND(G28/$D$5,1)),"")</f>
        <v/>
      </c>
      <c r="L28" s="28" t="str">
        <f ca="1">IF(B28&lt;&gt;"",IF(B28&lt;&gt;0,
IFERROR(VALUE(INDEX(まとめ!$K$12:$K$41,MATCH(B28,まとめ!#REF!,0))),""), 0),"")</f>
        <v/>
      </c>
    </row>
    <row r="29" spans="1:12" ht="19.8" customHeight="1" x14ac:dyDescent="0.2">
      <c r="A29" s="43" t="str">
        <f ca="1">IF(AND(B29&lt;&gt;0,B29&lt;&gt;""),A28+1,"")</f>
        <v/>
      </c>
      <c r="B29" s="48" t="str">
        <f ca="1"/>
        <v/>
      </c>
      <c r="C29" s="49" t="str">
        <f ca="1">IF(B29&lt;&gt;"",VLOOKUP(B29,まとめ!$B$12:$C$41,2,FALSE),"")</f>
        <v/>
      </c>
      <c r="D29" s="43" t="str">
        <f ca="1">IF(B29&lt;&gt;"",IF(B29&lt;&gt;0,
IF(COUNTIF(INDEX(まとめ!$D$12:$D$41, MATCH(B29,まとめ!$B$12:$B$41, 0)),"*正社員*"),"保育士（正社員）","保育士（パート）"), 0),"")</f>
        <v/>
      </c>
      <c r="E29" s="28" t="str">
        <f ca="1">IF(B29="","",IF(B29=0,0,IF(K29&gt;=1,"常勤","非常勤")))</f>
        <v/>
      </c>
      <c r="F29" s="28" t="str">
        <f ca="1">IF(B29&lt;&gt;"",IF(B29&lt;&gt;0,
IFERROR(INDEX(まとめ!$F$12:$F$41,MATCH(B29,まとめ!$B$12:$B$41,0)),""), 0),"")</f>
        <v/>
      </c>
      <c r="G29" s="25" t="str">
        <f ca="1">IF(B29&lt;&gt;"",
IFERROR(VALUE(INDEX(まとめ!$G$12:$G$41,MATCH(B29,まとめ!$B$12:$B$41,0)))-SUM(I29:J29),""),"")</f>
        <v/>
      </c>
      <c r="H29" s="25" t="str">
        <f ca="1">IF(B29&lt;&gt;"",IF(B29&lt;&gt;0,
IF(IFERROR(INDEX(まとめ!$H$12:$H$41,MATCH(B29,まとめ!$B$12:$B$41,0)),"")&lt;&gt;"",まとめ!$F$9,""), 0),"")</f>
        <v/>
      </c>
      <c r="I29" s="35" t="str">
        <f ca="1">IF(H29&lt;&gt;"",IFERROR(VALUE(INDEX(まとめ!$I$12:$I$41,MATCH(B29,まとめ!$B$12:$B$41,0))),0),"")</f>
        <v/>
      </c>
      <c r="J29" s="35" t="str">
        <f ca="1">IF(B29&lt;&gt;"",IF(B29&lt;&gt;0,
IFERROR(VALUE(INDEX(まとめ!$J$12:$J$41,MATCH(B29,まとめ!$B$12:$B$41,0))),""), 0),"")</f>
        <v/>
      </c>
      <c r="K29" s="25" t="str">
        <f ca="1">IF(B29&lt;&gt;"",IF(G29&gt;$D$5,1,ROUND(G29/$D$5,1)),"")</f>
        <v/>
      </c>
      <c r="L29" s="28" t="str">
        <f ca="1">IF(B29&lt;&gt;"",IF(B29&lt;&gt;0,
IFERROR(VALUE(INDEX(まとめ!$K$12:$K$41,MATCH(B29,まとめ!#REF!,0))),""), 0),"")</f>
        <v/>
      </c>
    </row>
    <row r="30" spans="1:12" ht="19.8" customHeight="1" x14ac:dyDescent="0.2">
      <c r="A30" s="43" t="str">
        <f ca="1">IF(AND(B30&lt;&gt;0,B30&lt;&gt;""),A29+1,"")</f>
        <v/>
      </c>
      <c r="B30" s="48" t="str">
        <f ca="1"/>
        <v/>
      </c>
      <c r="C30" s="49" t="str">
        <f ca="1">IF(B30&lt;&gt;"",VLOOKUP(B30,まとめ!$B$12:$C$41,2,FALSE),"")</f>
        <v/>
      </c>
      <c r="D30" s="43" t="str">
        <f ca="1">IF(B30&lt;&gt;"",IF(B30&lt;&gt;0,
IF(COUNTIF(INDEX(まとめ!$D$12:$D$41, MATCH(B30,まとめ!$B$12:$B$41, 0)),"*正社員*"),"保育士（正社員）","保育士（パート）"), 0),"")</f>
        <v/>
      </c>
      <c r="E30" s="28" t="str">
        <f ca="1">IF(B30="","",IF(B30=0,0,IF(K30&gt;=1,"常勤","非常勤")))</f>
        <v/>
      </c>
      <c r="F30" s="28" t="str">
        <f ca="1">IF(B30&lt;&gt;"",IF(B30&lt;&gt;0,
IFERROR(INDEX(まとめ!$F$12:$F$41,MATCH(B30,まとめ!$B$12:$B$41,0)),""), 0),"")</f>
        <v/>
      </c>
      <c r="G30" s="25" t="str">
        <f ca="1">IF(B30&lt;&gt;"",
IFERROR(VALUE(INDEX(まとめ!$G$12:$G$41,MATCH(B30,まとめ!$B$12:$B$41,0)))-SUM(I30:J30),""),"")</f>
        <v/>
      </c>
      <c r="H30" s="25" t="str">
        <f ca="1">IF(B30&lt;&gt;"",IF(B30&lt;&gt;0,
IF(IFERROR(INDEX(まとめ!$H$12:$H$41,MATCH(B30,まとめ!$B$12:$B$41,0)),"")&lt;&gt;"",まとめ!$F$9,""), 0),"")</f>
        <v/>
      </c>
      <c r="I30" s="35" t="str">
        <f ca="1">IF(H30&lt;&gt;"",IFERROR(VALUE(INDEX(まとめ!$I$12:$I$41,MATCH(B30,まとめ!$B$12:$B$41,0))),0),"")</f>
        <v/>
      </c>
      <c r="J30" s="35" t="str">
        <f ca="1">IF(B30&lt;&gt;"",IF(B30&lt;&gt;0,
IFERROR(VALUE(INDEX(まとめ!$J$12:$J$41,MATCH(B30,まとめ!$B$12:$B$41,0))),""), 0),"")</f>
        <v/>
      </c>
      <c r="K30" s="25" t="str">
        <f ca="1">IF(B30&lt;&gt;"",IF(G30&gt;$D$5,1,ROUND(G30/$D$5,1)),"")</f>
        <v/>
      </c>
      <c r="L30" s="28" t="str">
        <f ca="1">IF(B30&lt;&gt;"",IF(B30&lt;&gt;0,
IFERROR(VALUE(INDEX(まとめ!$K$12:$K$41,MATCH(B30,まとめ!#REF!,0))),""), 0),"")</f>
        <v/>
      </c>
    </row>
    <row r="31" spans="1:12" ht="19.8" customHeight="1" x14ac:dyDescent="0.2">
      <c r="A31" s="43" t="str">
        <f ca="1">IF(AND(B31&lt;&gt;0,B31&lt;&gt;""),A30+1,"")</f>
        <v/>
      </c>
      <c r="B31" s="48" t="str">
        <f ca="1"/>
        <v/>
      </c>
      <c r="C31" s="49" t="str">
        <f ca="1">IF(B31&lt;&gt;"",VLOOKUP(B31,まとめ!$B$12:$C$41,2,FALSE),"")</f>
        <v/>
      </c>
      <c r="D31" s="43" t="str">
        <f ca="1">IF(B31&lt;&gt;"",IF(B31&lt;&gt;0,
IF(COUNTIF(INDEX(まとめ!$D$12:$D$41, MATCH(B31,まとめ!$B$12:$B$41, 0)),"*正社員*"),"保育士（正社員）","保育士（パート）"), 0),"")</f>
        <v/>
      </c>
      <c r="E31" s="28" t="str">
        <f ca="1">IF(B31="","",IF(B31=0,0,IF(K31&gt;=1,"常勤","非常勤")))</f>
        <v/>
      </c>
      <c r="F31" s="28" t="str">
        <f ca="1">IF(B31&lt;&gt;"",IF(B31&lt;&gt;0,
IFERROR(INDEX(まとめ!$F$12:$F$41,MATCH(B31,まとめ!$B$12:$B$41,0)),""), 0),"")</f>
        <v/>
      </c>
      <c r="G31" s="25" t="str">
        <f ca="1">IF(B31&lt;&gt;"",
IFERROR(VALUE(INDEX(まとめ!$G$12:$G$41,MATCH(B31,まとめ!$B$12:$B$41,0)))-SUM(I31:J31),""),"")</f>
        <v/>
      </c>
      <c r="H31" s="25" t="str">
        <f ca="1">IF(B31&lt;&gt;"",IF(B31&lt;&gt;0,
IF(IFERROR(INDEX(まとめ!$H$12:$H$41,MATCH(B31,まとめ!$B$12:$B$41,0)),"")&lt;&gt;"",まとめ!$F$9,""), 0),"")</f>
        <v/>
      </c>
      <c r="I31" s="35" t="str">
        <f ca="1">IF(H31&lt;&gt;"",IFERROR(VALUE(INDEX(まとめ!$I$12:$I$41,MATCH(B31,まとめ!$B$12:$B$41,0))),0),"")</f>
        <v/>
      </c>
      <c r="J31" s="35" t="str">
        <f ca="1">IF(B31&lt;&gt;"",IF(B31&lt;&gt;0,
IFERROR(VALUE(INDEX(まとめ!$J$12:$J$41,MATCH(B31,まとめ!$B$12:$B$41,0))),""), 0),"")</f>
        <v/>
      </c>
      <c r="K31" s="25" t="str">
        <f ca="1">IF(B31&lt;&gt;"",IF(G31&gt;$D$5,1,ROUND(G31/$D$5,1)),"")</f>
        <v/>
      </c>
      <c r="L31" s="28" t="str">
        <f ca="1">IF(B31&lt;&gt;"",IF(B31&lt;&gt;0,
IFERROR(VALUE(INDEX(まとめ!$K$12:$K$41,MATCH(B31,まとめ!#REF!,0))),""), 0),"")</f>
        <v/>
      </c>
    </row>
    <row r="32" spans="1:12" ht="19.8" customHeight="1" x14ac:dyDescent="0.2">
      <c r="A32" s="43" t="str">
        <f ca="1">IF(AND(B32&lt;&gt;0,B32&lt;&gt;""),A31+1,"")</f>
        <v/>
      </c>
      <c r="B32" s="48" t="str">
        <f ca="1"/>
        <v/>
      </c>
      <c r="C32" s="49" t="str">
        <f ca="1">IF(B32&lt;&gt;"",VLOOKUP(B32,まとめ!$B$12:$C$41,2,FALSE),"")</f>
        <v/>
      </c>
      <c r="D32" s="43" t="str">
        <f ca="1">IF(B32&lt;&gt;"",IF(B32&lt;&gt;0,
IF(COUNTIF(INDEX(まとめ!$D$12:$D$41, MATCH(B32,まとめ!$B$12:$B$41, 0)),"*正社員*"),"保育士（正社員）","保育士（パート）"), 0),"")</f>
        <v/>
      </c>
      <c r="E32" s="28" t="str">
        <f ca="1">IF(B32="","",IF(B32=0,0,IF(K32&gt;=1,"常勤","非常勤")))</f>
        <v/>
      </c>
      <c r="F32" s="28" t="str">
        <f ca="1">IF(B32&lt;&gt;"",IF(B32&lt;&gt;0,
IFERROR(INDEX(まとめ!$F$12:$F$41,MATCH(B32,まとめ!$B$12:$B$41,0)),""), 0),"")</f>
        <v/>
      </c>
      <c r="G32" s="25" t="str">
        <f ca="1">IF(B32&lt;&gt;"",
IFERROR(VALUE(INDEX(まとめ!$G$12:$G$41,MATCH(B32,まとめ!$B$12:$B$41,0)))-SUM(I32:J32),""),"")</f>
        <v/>
      </c>
      <c r="H32" s="25" t="str">
        <f ca="1">IF(B32&lt;&gt;"",IF(B32&lt;&gt;0,
IF(IFERROR(INDEX(まとめ!$H$12:$H$41,MATCH(B32,まとめ!$B$12:$B$41,0)),"")&lt;&gt;"",まとめ!$F$9,""), 0),"")</f>
        <v/>
      </c>
      <c r="I32" s="35" t="str">
        <f ca="1">IF(H32&lt;&gt;"",IFERROR(VALUE(INDEX(まとめ!$I$12:$I$41,MATCH(B32,まとめ!$B$12:$B$41,0))),0),"")</f>
        <v/>
      </c>
      <c r="J32" s="35" t="str">
        <f ca="1">IF(B32&lt;&gt;"",IF(B32&lt;&gt;0,
IFERROR(VALUE(INDEX(まとめ!$J$12:$J$41,MATCH(B32,まとめ!$B$12:$B$41,0))),""), 0),"")</f>
        <v/>
      </c>
      <c r="K32" s="25" t="str">
        <f ca="1">IF(B32&lt;&gt;"",IF(G32&gt;$D$5,1,ROUND(G32/$D$5,1)),"")</f>
        <v/>
      </c>
      <c r="L32" s="28" t="str">
        <f ca="1">IF(B32&lt;&gt;"",IF(B32&lt;&gt;0,
IFERROR(VALUE(INDEX(まとめ!$K$12:$K$41,MATCH(B32,まとめ!#REF!,0))),""), 0),"")</f>
        <v/>
      </c>
    </row>
    <row r="33" spans="1:16" ht="19.8" customHeight="1" x14ac:dyDescent="0.2">
      <c r="A33" s="43" t="str">
        <f ca="1">IF(AND(B33&lt;&gt;0,B33&lt;&gt;""),A32+1,"")</f>
        <v/>
      </c>
      <c r="B33" s="48" t="str">
        <f ca="1"/>
        <v/>
      </c>
      <c r="C33" s="49" t="str">
        <f ca="1">IF(B33&lt;&gt;"",VLOOKUP(B33,まとめ!$B$12:$C$41,2,FALSE),"")</f>
        <v/>
      </c>
      <c r="D33" s="43" t="str">
        <f ca="1">IF(B33&lt;&gt;"",IF(B33&lt;&gt;0,
IF(COUNTIF(INDEX(まとめ!$D$12:$D$41, MATCH(B33,まとめ!$B$12:$B$41, 0)),"*正社員*"),"保育士（正社員）","保育士（パート）"), 0),"")</f>
        <v/>
      </c>
      <c r="E33" s="28" t="str">
        <f ca="1">IF(B33="","",IF(B33=0,0,IF(K33&gt;=1,"常勤","非常勤")))</f>
        <v/>
      </c>
      <c r="F33" s="28" t="str">
        <f ca="1">IF(B33&lt;&gt;"",IF(B33&lt;&gt;0,
IFERROR(INDEX(まとめ!$F$12:$F$41,MATCH(B33,まとめ!$B$12:$B$41,0)),""), 0),"")</f>
        <v/>
      </c>
      <c r="G33" s="25" t="str">
        <f ca="1">IF(B33&lt;&gt;"",
IFERROR(VALUE(INDEX(まとめ!$G$12:$G$41,MATCH(B33,まとめ!$B$12:$B$41,0)))-SUM(I33:J33),""),"")</f>
        <v/>
      </c>
      <c r="H33" s="25" t="str">
        <f ca="1">IF(B33&lt;&gt;"",IF(B33&lt;&gt;0,
IF(IFERROR(INDEX(まとめ!$H$12:$H$41,MATCH(B33,まとめ!$B$12:$B$41,0)),"")&lt;&gt;"",まとめ!$F$9,""), 0),"")</f>
        <v/>
      </c>
      <c r="I33" s="35" t="str">
        <f ca="1">IF(H33&lt;&gt;"",IFERROR(VALUE(INDEX(まとめ!$I$12:$I$41,MATCH(B33,まとめ!$B$12:$B$41,0))),0),"")</f>
        <v/>
      </c>
      <c r="J33" s="35" t="str">
        <f ca="1">IF(B33&lt;&gt;"",IF(B33&lt;&gt;0,
IFERROR(VALUE(INDEX(まとめ!$J$12:$J$41,MATCH(B33,まとめ!$B$12:$B$41,0))),""), 0),"")</f>
        <v/>
      </c>
      <c r="K33" s="25" t="str">
        <f ca="1">IF(B33&lt;&gt;"",IF(G33&gt;$D$5,1,ROUND(G33/$D$5,1)),"")</f>
        <v/>
      </c>
      <c r="L33" s="28" t="str">
        <f ca="1">IF(B33&lt;&gt;"",IF(B33&lt;&gt;0,
IFERROR(VALUE(INDEX(まとめ!$K$12:$K$41,MATCH(B33,まとめ!#REF!,0))),""), 0),"")</f>
        <v/>
      </c>
    </row>
    <row r="34" spans="1:16" ht="19.8" customHeight="1" x14ac:dyDescent="0.2">
      <c r="A34" s="43" t="str">
        <f>IF(AND(B34&lt;&gt;0,B34&lt;&gt;""),A33+1,"")</f>
        <v/>
      </c>
      <c r="B34" s="48"/>
      <c r="C34" s="49" t="str">
        <f>IF(B34&lt;&gt;"",VLOOKUP(B34,まとめ!$B$12:$C$41,2,FALSE),"")</f>
        <v/>
      </c>
      <c r="D34" s="43" t="str">
        <f>IF(B34&lt;&gt;"",IF(B34&lt;&gt;0,
IF(COUNTIF(INDEX(まとめ!$D$12:$D$41, MATCH(B34,まとめ!$B$12:$B$41, 0)),"*正社員*"),"保育士（正社員）","保育士（パート）"), 0),"")</f>
        <v/>
      </c>
      <c r="E34" s="28" t="str">
        <f>IF(B34="","",IF(B34=0,0,IF(K34&gt;=1,"常勤","非常勤")))</f>
        <v/>
      </c>
      <c r="F34" s="28" t="str">
        <f>IF(B34&lt;&gt;"",IF(B34&lt;&gt;0,
IFERROR(INDEX(まとめ!$F$12:$F$41,MATCH(B34,まとめ!$B$12:$B$41,0)),""), 0),"")</f>
        <v/>
      </c>
      <c r="G34" s="25" t="str">
        <f>IF(B34&lt;&gt;"",
IFERROR(VALUE(INDEX(まとめ!$G$12:$G$41,MATCH(B34,まとめ!$B$12:$B$41,0)))-SUM(I34:J34),""),"")</f>
        <v/>
      </c>
      <c r="H34" s="25" t="str">
        <f>IF(B34&lt;&gt;"",IF(B34&lt;&gt;0,
IF(IFERROR(INDEX(まとめ!$H$12:$H$41,MATCH(B34,まとめ!$B$12:$B$41,0)),"")&lt;&gt;"",まとめ!$F$9,""), 0),"")</f>
        <v/>
      </c>
      <c r="I34" s="35" t="str">
        <f>IF(H34&lt;&gt;"",IFERROR(VALUE(INDEX(まとめ!$I$12:$I$41,MATCH(B34,まとめ!$B$12:$B$41,0))),0),"")</f>
        <v/>
      </c>
      <c r="J34" s="35" t="str">
        <f>IF(B34&lt;&gt;"",IF(B34&lt;&gt;0,
IFERROR(VALUE(INDEX(まとめ!$J$12:$J$41,MATCH(B34,まとめ!$B$12:$B$41,0))),""), 0),"")</f>
        <v/>
      </c>
      <c r="K34" s="25" t="str">
        <f>IF(B34&lt;&gt;"",IF(G34&gt;$D$5,1,ROUND(G34/$D$5,1)),"")</f>
        <v/>
      </c>
      <c r="L34" s="28" t="str">
        <f>IF(B34&lt;&gt;"",IF(B34&lt;&gt;0,
IFERROR(VALUE(INDEX(まとめ!$K$12:$K$41,MATCH(B34,まとめ!#REF!,0))),""), 0),"")</f>
        <v/>
      </c>
    </row>
    <row r="35" spans="1:16" ht="19.8" customHeight="1" x14ac:dyDescent="0.2">
      <c r="A35" s="43" t="str">
        <f>IF(AND(B35&lt;&gt;0,B35&lt;&gt;""),A34+1,"")</f>
        <v/>
      </c>
      <c r="B35" s="48"/>
      <c r="C35" s="49" t="str">
        <f>IF(B35&lt;&gt;"",VLOOKUP(B35,まとめ!$B$12:$C$41,2,FALSE),"")</f>
        <v/>
      </c>
      <c r="D35" s="43" t="str">
        <f>IF(B35&lt;&gt;"",IF(B35&lt;&gt;0,
IF(COUNTIF(INDEX(まとめ!$D$12:$D$41, MATCH(B35,まとめ!$B$12:$B$41, 0)),"*正社員*"),"保育士（正社員）","保育士（パート）"), 0),"")</f>
        <v/>
      </c>
      <c r="E35" s="28" t="str">
        <f>IF(B35="","",IF(B35=0,0,IF(K35&gt;=1,"常勤","非常勤")))</f>
        <v/>
      </c>
      <c r="F35" s="28" t="str">
        <f>IF(B35&lt;&gt;"",IF(B35&lt;&gt;0,
IFERROR(INDEX(まとめ!$F$12:$F$41,MATCH(B35,まとめ!$B$12:$B$41,0)),""), 0),"")</f>
        <v/>
      </c>
      <c r="G35" s="25" t="str">
        <f>IF(B35&lt;&gt;"",
IFERROR(VALUE(INDEX(まとめ!$G$12:$G$41,MATCH(B35,まとめ!$B$12:$B$41,0)))-SUM(I35:J35),""),"")</f>
        <v/>
      </c>
      <c r="H35" s="25" t="str">
        <f>IF(B35&lt;&gt;"",IF(B35&lt;&gt;0,
IF(IFERROR(INDEX(まとめ!$H$12:$H$41,MATCH(B35,まとめ!$B$12:$B$41,0)),"")&lt;&gt;"",まとめ!$F$9,""), 0),"")</f>
        <v/>
      </c>
      <c r="I35" s="35" t="str">
        <f>IF(H35&lt;&gt;"",IFERROR(VALUE(INDEX(まとめ!$I$12:$I$41,MATCH(B35,まとめ!$B$12:$B$41,0))),0),"")</f>
        <v/>
      </c>
      <c r="J35" s="35" t="str">
        <f>IF(B35&lt;&gt;"",IF(B35&lt;&gt;0,
IFERROR(VALUE(INDEX(まとめ!$J$12:$J$41,MATCH(B35,まとめ!$B$12:$B$41,0))),""), 0),"")</f>
        <v/>
      </c>
      <c r="K35" s="25" t="str">
        <f>IF(B35&lt;&gt;"",IF(G35&gt;$D$5,1,ROUND(G35/$D$5,1)),"")</f>
        <v/>
      </c>
      <c r="L35" s="28" t="str">
        <f>IF(B35&lt;&gt;"",IF(B35&lt;&gt;0,
IFERROR(VALUE(INDEX(まとめ!$K$12:$K$41,MATCH(B35,まとめ!#REF!,0))),""), 0),"")</f>
        <v/>
      </c>
    </row>
    <row r="36" spans="1:16" ht="19.8" customHeight="1" x14ac:dyDescent="0.2">
      <c r="A36" s="43" t="str">
        <f>IF(AND(B36&lt;&gt;0,B36&lt;&gt;""),A35+1,"")</f>
        <v/>
      </c>
      <c r="B36" s="48"/>
      <c r="C36" s="49" t="str">
        <f>IF(B36&lt;&gt;"",VLOOKUP(B36,まとめ!$B$12:$C$41,2,FALSE),"")</f>
        <v/>
      </c>
      <c r="D36" s="43" t="str">
        <f>IF(B36&lt;&gt;"",IF(B36&lt;&gt;0,
IF(COUNTIF(INDEX(まとめ!$D$12:$D$41, MATCH(B36,まとめ!$B$12:$B$41, 0)),"*正社員*"),"保育士（正社員）","保育士（パート）"), 0),"")</f>
        <v/>
      </c>
      <c r="E36" s="28" t="str">
        <f>IF(B36="","",IF(B36=0,0,IF(K36&gt;=1,"常勤","非常勤")))</f>
        <v/>
      </c>
      <c r="F36" s="28" t="str">
        <f>IF(B36&lt;&gt;"",IF(B36&lt;&gt;0,
IFERROR(INDEX(まとめ!$F$12:$F$41,MATCH(B36,まとめ!$B$12:$B$41,0)),""), 0),"")</f>
        <v/>
      </c>
      <c r="G36" s="25" t="str">
        <f>IF(B36&lt;&gt;"",
IFERROR(VALUE(INDEX(まとめ!$G$12:$G$41,MATCH(B36,まとめ!$B$12:$B$41,0)))-SUM(I36:J36),""),"")</f>
        <v/>
      </c>
      <c r="H36" s="25" t="str">
        <f>IF(B36&lt;&gt;"",IF(B36&lt;&gt;0,
IF(IFERROR(INDEX(まとめ!$H$12:$H$41,MATCH(B36,まとめ!$B$12:$B$41,0)),"")&lt;&gt;"",まとめ!$F$9,""), 0),"")</f>
        <v/>
      </c>
      <c r="I36" s="35" t="str">
        <f>IF(H36&lt;&gt;"",IFERROR(VALUE(INDEX(まとめ!$I$12:$I$41,MATCH(B36,まとめ!$B$12:$B$41,0))),0),"")</f>
        <v/>
      </c>
      <c r="J36" s="35" t="str">
        <f>IF(B36&lt;&gt;"",IF(B36&lt;&gt;0,
IFERROR(VALUE(INDEX(まとめ!$J$12:$J$41,MATCH(B36,まとめ!$B$12:$B$41,0))),""), 0),"")</f>
        <v/>
      </c>
      <c r="K36" s="25" t="str">
        <f>IF(B36&lt;&gt;"",IF(G36&gt;$D$5,1,ROUND(G36/$D$5,1)),"")</f>
        <v/>
      </c>
      <c r="L36" s="28" t="str">
        <f>IF(B36&lt;&gt;"",IF(B36&lt;&gt;0,
IFERROR(VALUE(INDEX(まとめ!$K$12:$K$41,MATCH(B36,まとめ!#REF!,0))),""), 0),"")</f>
        <v/>
      </c>
    </row>
    <row r="37" spans="1:16" ht="19.8" customHeight="1" x14ac:dyDescent="0.2">
      <c r="A37" s="44" t="str">
        <f>IF(AND(B37&lt;&gt;0,B37&lt;&gt;""),A36+1,"")</f>
        <v/>
      </c>
      <c r="B37" s="50"/>
      <c r="C37" s="51" t="str">
        <f>IF(B37&lt;&gt;"",VLOOKUP(B37,まとめ!$B$12:$C$41,2,FALSE),"")</f>
        <v/>
      </c>
      <c r="D37" s="44" t="str">
        <f>IF(B37&lt;&gt;"",IF(B37&lt;&gt;0,
IF(COUNTIF(INDEX(まとめ!$D$12:$D$41, MATCH(B37,まとめ!$B$12:$B$41, 0)),"*正社員*"),"保育士（正社員）","保育士（パート）"), 0),"")</f>
        <v/>
      </c>
      <c r="E37" s="29" t="str">
        <f>IF(B37="","",IF(B37=0,0,IF(K37&gt;=1,"常勤","非常勤")))</f>
        <v/>
      </c>
      <c r="F37" s="29" t="str">
        <f>IF(B37&lt;&gt;"",IF(B37&lt;&gt;0,
IFERROR(INDEX(まとめ!$F$12:$F$41,MATCH(B37,まとめ!$B$12:$B$41,0)),""), 0),"")</f>
        <v/>
      </c>
      <c r="G37" s="26" t="str">
        <f>IF(B37&lt;&gt;"",
IFERROR(VALUE(INDEX(まとめ!$G$12:$G$41,MATCH(B37,まとめ!$B$12:$B$41,0)))-SUM(I37:J37),""),"")</f>
        <v/>
      </c>
      <c r="H37" s="26" t="str">
        <f>IF(B37&lt;&gt;"",IF(B37&lt;&gt;0,
IF(IFERROR(INDEX(まとめ!$H$12:$H$41,MATCH(B37,まとめ!$B$12:$B$41,0)),"")&lt;&gt;"",まとめ!$F$9,""), 0),"")</f>
        <v/>
      </c>
      <c r="I37" s="37" t="str">
        <f>IF(H37&lt;&gt;"",IFERROR(VALUE(INDEX(まとめ!$I$12:$I$41,MATCH(B37,まとめ!$B$12:$B$41,0))),0),"")</f>
        <v/>
      </c>
      <c r="J37" s="37" t="str">
        <f>IF(B37&lt;&gt;"",IF(B37&lt;&gt;0,
IFERROR(VALUE(INDEX(まとめ!$J$12:$J$41,MATCH(B37,まとめ!$B$12:$B$41,0))),""), 0),"")</f>
        <v/>
      </c>
      <c r="K37" s="26" t="str">
        <f>IF(B37&lt;&gt;"",IF(G37&gt;$D$5,1,ROUND(G37/$D$5,1)),"")</f>
        <v/>
      </c>
      <c r="L37" s="29" t="str">
        <f>IF(B37&lt;&gt;"",IF(B37&lt;&gt;0,
IFERROR(VALUE(INDEX(まとめ!$K$12:$K$41,MATCH(B37,まとめ!#REF!,0))),""), 0),"")</f>
        <v/>
      </c>
    </row>
    <row r="38" spans="1:16" ht="15" x14ac:dyDescent="0.2">
      <c r="A38" s="108"/>
      <c r="B38" s="112"/>
      <c r="C38" s="112"/>
      <c r="D38" s="108"/>
      <c r="E38" s="109"/>
      <c r="F38" s="109"/>
      <c r="G38" s="110"/>
      <c r="H38" s="110"/>
      <c r="I38" s="111"/>
      <c r="J38" s="111"/>
      <c r="K38" s="110"/>
      <c r="L38" s="112"/>
      <c r="M38" s="112"/>
      <c r="N38" s="112"/>
      <c r="O38" s="112"/>
      <c r="P38" s="112"/>
    </row>
    <row r="39" spans="1:16" ht="15" x14ac:dyDescent="0.2">
      <c r="A39" s="108"/>
      <c r="B39" s="112"/>
      <c r="C39" s="112"/>
      <c r="D39" s="108"/>
      <c r="E39" s="109"/>
      <c r="F39" s="109"/>
      <c r="G39" s="110"/>
      <c r="H39" s="110"/>
      <c r="I39" s="111"/>
      <c r="J39" s="111"/>
      <c r="K39" s="110"/>
      <c r="L39" s="112"/>
      <c r="M39" s="112"/>
      <c r="N39" s="112"/>
      <c r="O39" s="112"/>
      <c r="P39" s="112"/>
    </row>
    <row r="40" spans="1:16" ht="15" x14ac:dyDescent="0.2">
      <c r="A40" s="108"/>
      <c r="B40" s="112"/>
      <c r="C40" s="112"/>
      <c r="D40" s="108"/>
      <c r="E40" s="109"/>
      <c r="F40" s="109"/>
      <c r="G40" s="110"/>
      <c r="H40" s="110"/>
      <c r="I40" s="111"/>
      <c r="J40" s="111"/>
      <c r="K40" s="110"/>
      <c r="L40" s="112"/>
      <c r="M40" s="112"/>
      <c r="N40" s="112"/>
      <c r="O40" s="112"/>
      <c r="P40" s="112"/>
    </row>
    <row r="41" spans="1:16" ht="15" x14ac:dyDescent="0.2">
      <c r="A41" s="108"/>
      <c r="B41" s="112"/>
      <c r="C41" s="112"/>
      <c r="D41" s="108"/>
      <c r="E41" s="109"/>
      <c r="F41" s="109"/>
      <c r="G41" s="110"/>
      <c r="H41" s="110"/>
      <c r="I41" s="111"/>
      <c r="J41" s="111"/>
      <c r="K41" s="110"/>
      <c r="L41" s="112"/>
      <c r="M41" s="112"/>
      <c r="N41" s="112"/>
      <c r="O41" s="112"/>
      <c r="P41" s="112"/>
    </row>
    <row r="42" spans="1:16" ht="15" x14ac:dyDescent="0.2">
      <c r="A42" s="108"/>
      <c r="B42" s="112"/>
      <c r="C42" s="112"/>
      <c r="D42" s="108"/>
      <c r="E42" s="109"/>
      <c r="F42" s="109"/>
      <c r="G42" s="110"/>
      <c r="H42" s="110"/>
      <c r="I42" s="111"/>
      <c r="J42" s="111"/>
      <c r="K42" s="110"/>
      <c r="L42" s="112"/>
      <c r="M42" s="112"/>
      <c r="N42" s="112"/>
      <c r="O42" s="112"/>
      <c r="P42" s="112"/>
    </row>
    <row r="43" spans="1:16" ht="15" x14ac:dyDescent="0.2">
      <c r="A43" s="108"/>
      <c r="B43" s="112"/>
      <c r="C43" s="112"/>
      <c r="D43" s="108"/>
      <c r="E43" s="109"/>
      <c r="F43" s="109"/>
      <c r="G43" s="110"/>
      <c r="H43" s="110"/>
      <c r="I43" s="111"/>
      <c r="J43" s="111"/>
      <c r="K43" s="110"/>
      <c r="L43" s="112"/>
      <c r="M43" s="112"/>
      <c r="N43" s="112"/>
      <c r="O43" s="112"/>
      <c r="P43" s="112"/>
    </row>
    <row r="44" spans="1:16" ht="15" x14ac:dyDescent="0.2">
      <c r="A44" s="108"/>
      <c r="B44" s="112"/>
      <c r="C44" s="112"/>
      <c r="D44" s="108"/>
      <c r="E44" s="109"/>
      <c r="F44" s="109"/>
      <c r="G44" s="110"/>
      <c r="H44" s="110"/>
      <c r="I44" s="111"/>
      <c r="J44" s="111"/>
      <c r="K44" s="110"/>
      <c r="L44" s="112"/>
      <c r="M44" s="112"/>
      <c r="N44" s="112"/>
      <c r="O44" s="112"/>
      <c r="P44" s="112"/>
    </row>
    <row r="45" spans="1:16" ht="15" x14ac:dyDescent="0.2">
      <c r="A45" s="108"/>
      <c r="B45" s="112"/>
      <c r="C45" s="112"/>
      <c r="D45" s="108"/>
      <c r="E45" s="109"/>
      <c r="F45" s="109"/>
      <c r="G45" s="110"/>
      <c r="H45" s="110"/>
      <c r="I45" s="111"/>
      <c r="J45" s="111"/>
      <c r="K45" s="110"/>
      <c r="L45" s="112"/>
      <c r="M45" s="112"/>
      <c r="N45" s="112"/>
      <c r="O45" s="112"/>
      <c r="P45" s="112"/>
    </row>
    <row r="46" spans="1:16" ht="15" x14ac:dyDescent="0.2">
      <c r="A46" s="108"/>
      <c r="B46" s="112"/>
      <c r="C46" s="112"/>
      <c r="D46" s="108"/>
      <c r="E46" s="109"/>
      <c r="F46" s="109"/>
      <c r="G46" s="110"/>
      <c r="H46" s="110"/>
      <c r="I46" s="111"/>
      <c r="J46" s="111"/>
      <c r="K46" s="110"/>
      <c r="L46" s="112"/>
      <c r="M46" s="112"/>
      <c r="N46" s="112"/>
      <c r="O46" s="112"/>
      <c r="P46" s="112"/>
    </row>
    <row r="47" spans="1:16" ht="15" x14ac:dyDescent="0.2">
      <c r="A47" s="108"/>
      <c r="B47" s="112"/>
      <c r="C47" s="112"/>
      <c r="D47" s="108"/>
      <c r="E47" s="109"/>
      <c r="F47" s="109"/>
      <c r="G47" s="110"/>
      <c r="H47" s="110"/>
      <c r="I47" s="111"/>
      <c r="J47" s="111"/>
      <c r="K47" s="110"/>
      <c r="L47" s="112"/>
      <c r="M47" s="112"/>
      <c r="N47" s="112"/>
      <c r="O47" s="112"/>
      <c r="P47" s="112"/>
    </row>
    <row r="48" spans="1:16" ht="15" x14ac:dyDescent="0.2">
      <c r="A48" s="108"/>
      <c r="B48" s="112"/>
      <c r="C48" s="112"/>
      <c r="D48" s="108"/>
      <c r="E48" s="109"/>
      <c r="F48" s="109"/>
      <c r="G48" s="110"/>
      <c r="H48" s="110"/>
      <c r="I48" s="111"/>
      <c r="J48" s="111"/>
      <c r="K48" s="110"/>
      <c r="L48" s="112"/>
      <c r="M48" s="112"/>
      <c r="N48" s="112"/>
      <c r="O48" s="112"/>
      <c r="P48" s="112"/>
    </row>
    <row r="49" spans="1:16" ht="15" x14ac:dyDescent="0.2">
      <c r="A49" s="108"/>
      <c r="B49" s="112"/>
      <c r="C49" s="112"/>
      <c r="D49" s="108"/>
      <c r="E49" s="109"/>
      <c r="F49" s="109"/>
      <c r="G49" s="110"/>
      <c r="H49" s="110"/>
      <c r="I49" s="111"/>
      <c r="J49" s="111"/>
      <c r="K49" s="110"/>
      <c r="L49" s="112"/>
      <c r="M49" s="112"/>
      <c r="N49" s="112"/>
      <c r="O49" s="112"/>
      <c r="P49" s="112"/>
    </row>
    <row r="50" spans="1:16" ht="15" x14ac:dyDescent="0.2">
      <c r="A50" s="108"/>
      <c r="B50" s="112"/>
      <c r="C50" s="112"/>
      <c r="D50" s="108"/>
      <c r="E50" s="109"/>
      <c r="F50" s="109"/>
      <c r="G50" s="110"/>
      <c r="H50" s="110"/>
      <c r="I50" s="111"/>
      <c r="J50" s="111"/>
      <c r="K50" s="110"/>
      <c r="L50" s="112"/>
      <c r="M50" s="112"/>
      <c r="N50" s="112"/>
      <c r="O50" s="112"/>
      <c r="P50" s="112"/>
    </row>
    <row r="51" spans="1:16" ht="15" x14ac:dyDescent="0.2">
      <c r="A51" s="108"/>
      <c r="B51" s="112"/>
      <c r="C51" s="112"/>
      <c r="D51" s="108"/>
      <c r="E51" s="109"/>
      <c r="F51" s="109"/>
      <c r="G51" s="110"/>
      <c r="H51" s="110"/>
      <c r="I51" s="111"/>
      <c r="J51" s="111"/>
      <c r="K51" s="110"/>
      <c r="L51" s="112"/>
      <c r="M51" s="112"/>
      <c r="N51" s="112"/>
      <c r="O51" s="112"/>
      <c r="P51" s="112"/>
    </row>
    <row r="52" spans="1:16" ht="15" x14ac:dyDescent="0.2">
      <c r="A52" s="108"/>
      <c r="B52" s="112"/>
      <c r="C52" s="112"/>
      <c r="D52" s="108"/>
      <c r="E52" s="109"/>
      <c r="F52" s="109"/>
      <c r="G52" s="110"/>
      <c r="H52" s="110"/>
      <c r="I52" s="111"/>
      <c r="J52" s="111"/>
      <c r="K52" s="110"/>
      <c r="L52" s="112"/>
      <c r="M52" s="112"/>
      <c r="N52" s="112"/>
      <c r="O52" s="112"/>
      <c r="P52" s="112"/>
    </row>
    <row r="53" spans="1:16" ht="15" x14ac:dyDescent="0.2">
      <c r="A53" s="108"/>
      <c r="B53" s="112"/>
      <c r="C53" s="112"/>
      <c r="D53" s="108"/>
      <c r="E53" s="109"/>
      <c r="F53" s="109"/>
      <c r="G53" s="110"/>
      <c r="H53" s="110"/>
      <c r="I53" s="111"/>
      <c r="J53" s="111"/>
      <c r="K53" s="110"/>
      <c r="L53" s="112"/>
      <c r="M53" s="112"/>
      <c r="N53" s="112"/>
      <c r="O53" s="112"/>
      <c r="P53" s="112"/>
    </row>
    <row r="54" spans="1:16" ht="15" x14ac:dyDescent="0.2">
      <c r="A54" s="108"/>
      <c r="B54" s="112"/>
      <c r="C54" s="112"/>
      <c r="D54" s="108"/>
      <c r="E54" s="109"/>
      <c r="F54" s="109"/>
      <c r="G54" s="110"/>
      <c r="H54" s="110"/>
      <c r="I54" s="111"/>
      <c r="J54" s="111"/>
      <c r="K54" s="110"/>
      <c r="L54" s="112"/>
      <c r="M54" s="112"/>
      <c r="N54" s="112"/>
      <c r="O54" s="112"/>
      <c r="P54" s="112"/>
    </row>
    <row r="55" spans="1:16" ht="15" x14ac:dyDescent="0.2">
      <c r="A55" s="108"/>
      <c r="B55" s="112"/>
      <c r="C55" s="112"/>
      <c r="D55" s="108"/>
      <c r="E55" s="109"/>
      <c r="F55" s="109"/>
      <c r="G55" s="110"/>
      <c r="H55" s="110"/>
      <c r="I55" s="111"/>
      <c r="J55" s="111"/>
      <c r="K55" s="110"/>
      <c r="L55" s="112"/>
      <c r="M55" s="112"/>
      <c r="N55" s="112"/>
      <c r="O55" s="112"/>
      <c r="P55" s="112"/>
    </row>
    <row r="56" spans="1:16" ht="15" x14ac:dyDescent="0.2">
      <c r="A56" s="108"/>
      <c r="B56" s="112"/>
      <c r="C56" s="112"/>
      <c r="D56" s="108"/>
      <c r="E56" s="109"/>
      <c r="F56" s="109"/>
      <c r="G56" s="110"/>
      <c r="H56" s="110"/>
      <c r="I56" s="111"/>
      <c r="J56" s="111"/>
      <c r="K56" s="110"/>
      <c r="L56" s="112"/>
      <c r="M56" s="112"/>
      <c r="N56" s="112"/>
      <c r="O56" s="112"/>
      <c r="P56" s="112"/>
    </row>
    <row r="57" spans="1:16" ht="15" x14ac:dyDescent="0.2">
      <c r="A57" s="108"/>
      <c r="B57" s="112"/>
      <c r="C57" s="112"/>
      <c r="D57" s="108"/>
      <c r="E57" s="109"/>
      <c r="F57" s="109"/>
      <c r="G57" s="110"/>
      <c r="H57" s="110"/>
      <c r="I57" s="111"/>
      <c r="J57" s="111"/>
      <c r="K57" s="110"/>
      <c r="L57" s="112"/>
      <c r="M57" s="112"/>
      <c r="N57" s="112"/>
      <c r="O57" s="112"/>
      <c r="P57" s="112"/>
    </row>
    <row r="58" spans="1:16" ht="15" x14ac:dyDescent="0.2">
      <c r="A58" s="108"/>
      <c r="B58" s="112"/>
      <c r="C58" s="112"/>
      <c r="D58" s="108"/>
      <c r="E58" s="109"/>
      <c r="F58" s="109"/>
      <c r="G58" s="110"/>
      <c r="H58" s="110"/>
      <c r="I58" s="111"/>
      <c r="J58" s="111"/>
      <c r="K58" s="110"/>
      <c r="L58" s="112"/>
      <c r="M58" s="112"/>
      <c r="N58" s="112"/>
      <c r="O58" s="112"/>
      <c r="P58" s="112"/>
    </row>
    <row r="59" spans="1:16" ht="15" x14ac:dyDescent="0.2">
      <c r="A59" s="108"/>
      <c r="B59" s="112"/>
      <c r="C59" s="112"/>
      <c r="D59" s="108"/>
      <c r="E59" s="109"/>
      <c r="F59" s="109"/>
      <c r="G59" s="110"/>
      <c r="H59" s="110"/>
      <c r="I59" s="111"/>
      <c r="J59" s="111"/>
      <c r="K59" s="110"/>
      <c r="L59" s="112"/>
      <c r="M59" s="112"/>
      <c r="N59" s="112"/>
      <c r="O59" s="112"/>
      <c r="P59" s="112"/>
    </row>
    <row r="60" spans="1:16" ht="15" x14ac:dyDescent="0.2">
      <c r="A60" s="108"/>
      <c r="B60" s="112"/>
      <c r="C60" s="112"/>
      <c r="D60" s="108"/>
      <c r="E60" s="109"/>
      <c r="F60" s="109"/>
      <c r="G60" s="110"/>
      <c r="H60" s="110"/>
      <c r="I60" s="111"/>
      <c r="J60" s="111"/>
      <c r="K60" s="110"/>
      <c r="L60" s="112"/>
      <c r="M60" s="112"/>
      <c r="N60" s="112"/>
      <c r="O60" s="112"/>
      <c r="P60" s="112"/>
    </row>
    <row r="61" spans="1:16" ht="15" x14ac:dyDescent="0.2">
      <c r="A61" s="108"/>
      <c r="B61" s="112"/>
      <c r="C61" s="112"/>
      <c r="D61" s="108"/>
      <c r="E61" s="109"/>
      <c r="F61" s="109"/>
      <c r="G61" s="110"/>
      <c r="H61" s="110"/>
      <c r="I61" s="111"/>
      <c r="J61" s="111"/>
      <c r="K61" s="110"/>
      <c r="L61" s="112"/>
      <c r="M61" s="112"/>
      <c r="N61" s="112"/>
      <c r="O61" s="112"/>
      <c r="P61" s="112"/>
    </row>
    <row r="62" spans="1:16" ht="15" x14ac:dyDescent="0.2">
      <c r="A62" s="108"/>
      <c r="B62" s="112"/>
      <c r="C62" s="112"/>
      <c r="D62" s="108"/>
      <c r="E62" s="109"/>
      <c r="F62" s="109"/>
      <c r="G62" s="110"/>
      <c r="H62" s="110"/>
      <c r="I62" s="111"/>
      <c r="J62" s="111"/>
      <c r="K62" s="110"/>
      <c r="L62" s="112"/>
      <c r="M62" s="112"/>
      <c r="N62" s="112"/>
      <c r="O62" s="112"/>
      <c r="P62" s="112"/>
    </row>
    <row r="63" spans="1:16" ht="15" x14ac:dyDescent="0.2">
      <c r="A63" s="108"/>
      <c r="B63" s="112"/>
      <c r="C63" s="112"/>
      <c r="D63" s="108"/>
      <c r="E63" s="109"/>
      <c r="F63" s="109"/>
      <c r="G63" s="110"/>
      <c r="H63" s="110"/>
      <c r="I63" s="111"/>
      <c r="J63" s="111"/>
      <c r="K63" s="110"/>
      <c r="L63" s="112"/>
      <c r="M63" s="112"/>
      <c r="N63" s="112"/>
      <c r="O63" s="112"/>
      <c r="P63" s="112"/>
    </row>
    <row r="64" spans="1:16" ht="15" x14ac:dyDescent="0.2">
      <c r="A64" s="108"/>
      <c r="B64" s="112"/>
      <c r="C64" s="112"/>
      <c r="D64" s="108"/>
      <c r="E64" s="109"/>
      <c r="F64" s="109"/>
      <c r="G64" s="110"/>
      <c r="H64" s="110"/>
      <c r="I64" s="111"/>
      <c r="J64" s="111"/>
      <c r="K64" s="110"/>
      <c r="L64" s="112"/>
      <c r="M64" s="112"/>
      <c r="N64" s="112"/>
      <c r="O64" s="112"/>
      <c r="P64" s="112"/>
    </row>
    <row r="65" spans="1:16" ht="15" x14ac:dyDescent="0.2">
      <c r="A65" s="108"/>
      <c r="B65" s="112"/>
      <c r="C65" s="112"/>
      <c r="D65" s="108"/>
      <c r="E65" s="109"/>
      <c r="F65" s="109"/>
      <c r="G65" s="110"/>
      <c r="H65" s="110"/>
      <c r="I65" s="111"/>
      <c r="J65" s="111"/>
      <c r="K65" s="110"/>
      <c r="L65" s="112"/>
      <c r="M65" s="112"/>
      <c r="N65" s="112"/>
      <c r="O65" s="112"/>
      <c r="P65" s="112"/>
    </row>
    <row r="66" spans="1:16" ht="15" x14ac:dyDescent="0.2">
      <c r="A66" s="108"/>
      <c r="B66" s="112"/>
      <c r="C66" s="112"/>
      <c r="D66" s="108"/>
      <c r="E66" s="109"/>
      <c r="F66" s="109"/>
      <c r="G66" s="110"/>
      <c r="H66" s="110"/>
      <c r="I66" s="111"/>
      <c r="J66" s="111"/>
      <c r="K66" s="110"/>
      <c r="L66" s="112"/>
      <c r="M66" s="112"/>
      <c r="N66" s="112"/>
      <c r="O66" s="112"/>
      <c r="P66" s="112"/>
    </row>
    <row r="67" spans="1:16" ht="15" x14ac:dyDescent="0.2">
      <c r="A67" s="108"/>
      <c r="B67" s="112"/>
      <c r="C67" s="112"/>
      <c r="D67" s="108"/>
      <c r="E67" s="109"/>
      <c r="F67" s="109"/>
      <c r="G67" s="110"/>
      <c r="H67" s="110"/>
      <c r="I67" s="111"/>
      <c r="J67" s="111"/>
      <c r="K67" s="110"/>
      <c r="L67" s="112"/>
      <c r="M67" s="112"/>
      <c r="N67" s="112"/>
      <c r="O67" s="112"/>
      <c r="P67" s="112"/>
    </row>
    <row r="68" spans="1:16" ht="15" x14ac:dyDescent="0.2">
      <c r="A68" s="108"/>
      <c r="B68" s="112"/>
      <c r="C68" s="112"/>
      <c r="D68" s="108"/>
      <c r="E68" s="109"/>
      <c r="F68" s="109"/>
      <c r="G68" s="110"/>
      <c r="H68" s="110"/>
      <c r="I68" s="111"/>
      <c r="J68" s="111"/>
      <c r="K68" s="110"/>
      <c r="L68" s="112"/>
      <c r="M68" s="112"/>
      <c r="N68" s="112"/>
      <c r="O68" s="112"/>
      <c r="P68" s="112"/>
    </row>
    <row r="69" spans="1:16" ht="15" x14ac:dyDescent="0.2">
      <c r="A69" s="108"/>
      <c r="B69" s="112"/>
      <c r="C69" s="112"/>
      <c r="D69" s="108"/>
      <c r="E69" s="109"/>
      <c r="F69" s="109"/>
      <c r="G69" s="110"/>
      <c r="H69" s="110"/>
      <c r="I69" s="111"/>
      <c r="J69" s="111"/>
      <c r="K69" s="110"/>
      <c r="L69" s="112"/>
      <c r="M69" s="112"/>
      <c r="N69" s="112"/>
      <c r="O69" s="112"/>
      <c r="P69" s="112"/>
    </row>
    <row r="70" spans="1:16" ht="15" x14ac:dyDescent="0.2">
      <c r="A70" s="108"/>
      <c r="B70" s="112"/>
      <c r="C70" s="112"/>
      <c r="D70" s="108"/>
      <c r="E70" s="109"/>
      <c r="F70" s="109"/>
      <c r="G70" s="110"/>
      <c r="H70" s="110"/>
      <c r="I70" s="111"/>
      <c r="J70" s="111"/>
      <c r="K70" s="110"/>
      <c r="L70" s="112"/>
      <c r="M70" s="112"/>
      <c r="N70" s="112"/>
      <c r="O70" s="112"/>
      <c r="P70" s="112"/>
    </row>
    <row r="71" spans="1:16" ht="15" x14ac:dyDescent="0.2">
      <c r="A71" s="108"/>
      <c r="B71" s="112"/>
      <c r="C71" s="112"/>
      <c r="D71" s="108"/>
      <c r="E71" s="109"/>
      <c r="F71" s="109"/>
      <c r="G71" s="110"/>
      <c r="H71" s="110"/>
      <c r="I71" s="111"/>
      <c r="J71" s="111"/>
      <c r="K71" s="110"/>
      <c r="L71" s="112"/>
      <c r="M71" s="112"/>
      <c r="N71" s="112"/>
      <c r="O71" s="112"/>
      <c r="P71" s="112"/>
    </row>
    <row r="72" spans="1:16" ht="15" x14ac:dyDescent="0.2">
      <c r="A72" s="108"/>
      <c r="B72" s="112"/>
      <c r="C72" s="112"/>
      <c r="D72" s="108"/>
      <c r="E72" s="109"/>
      <c r="F72" s="109"/>
      <c r="G72" s="110"/>
      <c r="H72" s="110"/>
      <c r="I72" s="111"/>
      <c r="J72" s="111"/>
      <c r="K72" s="110"/>
      <c r="L72" s="112"/>
      <c r="M72" s="112"/>
      <c r="N72" s="112"/>
      <c r="O72" s="112"/>
      <c r="P72" s="112"/>
    </row>
    <row r="73" spans="1:16" ht="15" x14ac:dyDescent="0.2">
      <c r="A73" s="108"/>
      <c r="B73" s="112"/>
      <c r="C73" s="112"/>
      <c r="D73" s="108"/>
      <c r="E73" s="109"/>
      <c r="F73" s="109"/>
      <c r="G73" s="110"/>
      <c r="H73" s="110"/>
      <c r="I73" s="111"/>
      <c r="J73" s="111"/>
      <c r="K73" s="110"/>
      <c r="L73" s="112"/>
      <c r="M73" s="112"/>
      <c r="N73" s="112"/>
      <c r="O73" s="112"/>
      <c r="P73" s="112"/>
    </row>
    <row r="74" spans="1:16" ht="15" x14ac:dyDescent="0.2">
      <c r="A74" s="108"/>
      <c r="B74" s="112"/>
      <c r="C74" s="112"/>
      <c r="D74" s="108"/>
      <c r="E74" s="109"/>
      <c r="F74" s="109"/>
      <c r="G74" s="110"/>
      <c r="H74" s="110"/>
      <c r="I74" s="111"/>
      <c r="J74" s="111"/>
      <c r="K74" s="110"/>
      <c r="L74" s="112"/>
      <c r="M74" s="112"/>
      <c r="N74" s="112"/>
      <c r="O74" s="112"/>
      <c r="P74" s="112"/>
    </row>
    <row r="75" spans="1:16" ht="15" x14ac:dyDescent="0.2">
      <c r="A75" s="108"/>
      <c r="B75" s="112"/>
      <c r="C75" s="112"/>
      <c r="D75" s="108"/>
      <c r="E75" s="109"/>
      <c r="F75" s="109"/>
      <c r="G75" s="110"/>
      <c r="H75" s="110"/>
      <c r="I75" s="111"/>
      <c r="J75" s="111"/>
      <c r="K75" s="110"/>
      <c r="L75" s="112"/>
      <c r="M75" s="112"/>
      <c r="N75" s="112"/>
      <c r="O75" s="112"/>
      <c r="P75" s="112"/>
    </row>
    <row r="76" spans="1:16" ht="15" x14ac:dyDescent="0.2">
      <c r="A76" s="108"/>
      <c r="B76" s="112"/>
      <c r="C76" s="112"/>
      <c r="D76" s="108"/>
      <c r="E76" s="109"/>
      <c r="F76" s="109"/>
      <c r="G76" s="110"/>
      <c r="H76" s="110"/>
      <c r="I76" s="111"/>
      <c r="J76" s="111"/>
      <c r="K76" s="110"/>
      <c r="L76" s="112"/>
      <c r="M76" s="112"/>
      <c r="N76" s="112"/>
      <c r="O76" s="112"/>
      <c r="P76" s="112"/>
    </row>
    <row r="77" spans="1:16" ht="15" x14ac:dyDescent="0.2">
      <c r="A77" s="108"/>
      <c r="B77" s="112"/>
      <c r="C77" s="112"/>
      <c r="D77" s="108"/>
      <c r="E77" s="109"/>
      <c r="F77" s="109"/>
      <c r="G77" s="110"/>
      <c r="H77" s="110"/>
      <c r="I77" s="111"/>
      <c r="J77" s="111"/>
      <c r="K77" s="110"/>
      <c r="L77" s="112"/>
      <c r="M77" s="112"/>
      <c r="N77" s="112"/>
      <c r="O77" s="112"/>
      <c r="P77" s="112"/>
    </row>
    <row r="78" spans="1:16" ht="15" x14ac:dyDescent="0.2">
      <c r="A78" s="108"/>
      <c r="B78" s="112"/>
      <c r="C78" s="112"/>
      <c r="D78" s="108"/>
      <c r="E78" s="109"/>
      <c r="F78" s="109"/>
      <c r="G78" s="110"/>
      <c r="H78" s="110"/>
      <c r="I78" s="111"/>
      <c r="J78" s="111"/>
      <c r="K78" s="110"/>
      <c r="L78" s="112"/>
      <c r="M78" s="112"/>
      <c r="N78" s="112"/>
      <c r="O78" s="112"/>
      <c r="P78" s="112"/>
    </row>
    <row r="79" spans="1:16" ht="15" x14ac:dyDescent="0.2">
      <c r="A79" s="108"/>
      <c r="B79" s="112"/>
      <c r="C79" s="112"/>
      <c r="D79" s="108"/>
      <c r="E79" s="109"/>
      <c r="F79" s="109"/>
      <c r="G79" s="110"/>
      <c r="H79" s="110"/>
      <c r="I79" s="111"/>
      <c r="J79" s="111"/>
      <c r="K79" s="110"/>
      <c r="L79" s="112"/>
      <c r="M79" s="112"/>
      <c r="N79" s="112"/>
      <c r="O79" s="112"/>
      <c r="P79" s="112"/>
    </row>
    <row r="80" spans="1:16" ht="15" x14ac:dyDescent="0.2">
      <c r="A80" s="108"/>
      <c r="B80" s="112"/>
      <c r="C80" s="112"/>
      <c r="D80" s="108"/>
      <c r="E80" s="109"/>
      <c r="F80" s="109"/>
      <c r="G80" s="110"/>
      <c r="H80" s="110"/>
      <c r="I80" s="111"/>
      <c r="J80" s="111"/>
      <c r="K80" s="110"/>
      <c r="L80" s="112"/>
      <c r="M80" s="112"/>
      <c r="N80" s="112"/>
      <c r="O80" s="112"/>
      <c r="P80" s="112"/>
    </row>
    <row r="81" spans="1:16" ht="15" x14ac:dyDescent="0.2">
      <c r="A81" s="108"/>
      <c r="B81" s="112"/>
      <c r="C81" s="112"/>
      <c r="D81" s="108"/>
      <c r="E81" s="109"/>
      <c r="F81" s="109"/>
      <c r="G81" s="110"/>
      <c r="H81" s="110"/>
      <c r="I81" s="111"/>
      <c r="J81" s="111"/>
      <c r="K81" s="110"/>
      <c r="L81" s="112"/>
      <c r="M81" s="112"/>
      <c r="N81" s="112"/>
      <c r="O81" s="112"/>
      <c r="P81" s="112"/>
    </row>
    <row r="82" spans="1:16" ht="15" x14ac:dyDescent="0.2">
      <c r="A82" s="108"/>
      <c r="B82" s="112"/>
      <c r="C82" s="112"/>
      <c r="D82" s="108"/>
      <c r="E82" s="109"/>
      <c r="F82" s="109"/>
      <c r="G82" s="110"/>
      <c r="H82" s="110"/>
      <c r="I82" s="111"/>
      <c r="J82" s="111"/>
      <c r="K82" s="110"/>
      <c r="L82" s="112"/>
      <c r="M82" s="112"/>
      <c r="N82" s="112"/>
      <c r="O82" s="112"/>
      <c r="P82" s="112"/>
    </row>
    <row r="83" spans="1:16" ht="15" x14ac:dyDescent="0.2">
      <c r="A83" s="108"/>
      <c r="B83" s="112"/>
      <c r="C83" s="112"/>
      <c r="D83" s="108"/>
      <c r="E83" s="109"/>
      <c r="F83" s="109"/>
      <c r="G83" s="110"/>
      <c r="H83" s="110"/>
      <c r="I83" s="111"/>
      <c r="J83" s="111"/>
      <c r="K83" s="110"/>
      <c r="L83" s="112"/>
      <c r="M83" s="112"/>
      <c r="N83" s="112"/>
      <c r="O83" s="112"/>
      <c r="P83" s="112"/>
    </row>
    <row r="84" spans="1:16" ht="15" x14ac:dyDescent="0.2">
      <c r="A84" s="108"/>
      <c r="B84" s="112"/>
      <c r="C84" s="112"/>
      <c r="D84" s="108"/>
      <c r="E84" s="109"/>
      <c r="F84" s="109"/>
      <c r="G84" s="110"/>
      <c r="H84" s="110"/>
      <c r="I84" s="111"/>
      <c r="J84" s="111"/>
      <c r="K84" s="110"/>
      <c r="L84" s="112"/>
      <c r="M84" s="112"/>
      <c r="N84" s="112"/>
      <c r="O84" s="112"/>
      <c r="P84" s="112"/>
    </row>
    <row r="85" spans="1:16" ht="15" x14ac:dyDescent="0.2">
      <c r="A85" s="108"/>
      <c r="B85" s="112"/>
      <c r="C85" s="112"/>
      <c r="D85" s="108"/>
      <c r="E85" s="109"/>
      <c r="F85" s="109"/>
      <c r="G85" s="110"/>
      <c r="H85" s="110"/>
      <c r="I85" s="111"/>
      <c r="J85" s="111"/>
      <c r="K85" s="110"/>
      <c r="L85" s="112"/>
      <c r="M85" s="112"/>
      <c r="N85" s="112"/>
      <c r="O85" s="112"/>
      <c r="P85" s="112"/>
    </row>
    <row r="86" spans="1:16" ht="15" x14ac:dyDescent="0.2">
      <c r="A86" s="108"/>
      <c r="B86" s="112"/>
      <c r="C86" s="112"/>
      <c r="D86" s="108"/>
      <c r="E86" s="109"/>
      <c r="F86" s="109"/>
      <c r="G86" s="110"/>
      <c r="H86" s="110"/>
      <c r="I86" s="111"/>
      <c r="J86" s="111"/>
      <c r="K86" s="110"/>
      <c r="L86" s="112"/>
      <c r="M86" s="112"/>
      <c r="N86" s="112"/>
      <c r="O86" s="112"/>
      <c r="P86" s="112"/>
    </row>
    <row r="87" spans="1:16" ht="15" x14ac:dyDescent="0.2">
      <c r="A87" s="108"/>
      <c r="B87" s="112"/>
      <c r="C87" s="112"/>
      <c r="D87" s="108"/>
      <c r="E87" s="109"/>
      <c r="F87" s="109"/>
      <c r="G87" s="110"/>
      <c r="H87" s="110"/>
      <c r="I87" s="111"/>
      <c r="J87" s="111"/>
      <c r="K87" s="110"/>
      <c r="L87" s="112"/>
      <c r="M87" s="112"/>
      <c r="N87" s="112"/>
      <c r="O87" s="112"/>
      <c r="P87" s="112"/>
    </row>
    <row r="88" spans="1:16" ht="15" x14ac:dyDescent="0.2">
      <c r="A88" s="108"/>
      <c r="B88" s="112"/>
      <c r="C88" s="112"/>
      <c r="D88" s="108"/>
      <c r="E88" s="109"/>
      <c r="F88" s="109"/>
      <c r="G88" s="110"/>
      <c r="H88" s="110"/>
      <c r="I88" s="111"/>
      <c r="J88" s="111"/>
      <c r="K88" s="110"/>
      <c r="L88" s="112"/>
      <c r="M88" s="112"/>
      <c r="N88" s="112"/>
      <c r="O88" s="112"/>
      <c r="P88" s="112"/>
    </row>
    <row r="89" spans="1:16" ht="15" x14ac:dyDescent="0.2">
      <c r="A89" s="108"/>
      <c r="B89" s="112"/>
      <c r="C89" s="112"/>
      <c r="D89" s="108"/>
      <c r="E89" s="109"/>
      <c r="F89" s="109"/>
      <c r="G89" s="110"/>
      <c r="H89" s="110"/>
      <c r="I89" s="111"/>
      <c r="J89" s="111"/>
      <c r="K89" s="110"/>
      <c r="L89" s="112"/>
      <c r="M89" s="112"/>
      <c r="N89" s="112"/>
      <c r="O89" s="112"/>
      <c r="P89" s="112"/>
    </row>
    <row r="90" spans="1:16" ht="15" x14ac:dyDescent="0.2">
      <c r="A90" s="108"/>
      <c r="B90" s="112"/>
      <c r="C90" s="112"/>
      <c r="D90" s="108"/>
      <c r="E90" s="109"/>
      <c r="F90" s="109"/>
      <c r="G90" s="110"/>
      <c r="H90" s="110"/>
      <c r="I90" s="111"/>
      <c r="J90" s="111"/>
      <c r="K90" s="110"/>
      <c r="L90" s="112"/>
      <c r="M90" s="112"/>
      <c r="N90" s="112"/>
      <c r="O90" s="112"/>
      <c r="P90" s="112"/>
    </row>
    <row r="91" spans="1:16" ht="15" x14ac:dyDescent="0.2">
      <c r="A91" s="108"/>
      <c r="B91" s="112"/>
      <c r="C91" s="112"/>
      <c r="D91" s="108"/>
      <c r="E91" s="109"/>
      <c r="F91" s="109"/>
      <c r="G91" s="110"/>
      <c r="H91" s="110"/>
      <c r="I91" s="111"/>
      <c r="J91" s="111"/>
      <c r="K91" s="110"/>
      <c r="L91" s="112"/>
      <c r="M91" s="112"/>
      <c r="N91" s="112"/>
      <c r="O91" s="112"/>
      <c r="P91" s="112"/>
    </row>
    <row r="92" spans="1:16" ht="15" x14ac:dyDescent="0.2">
      <c r="A92" s="108"/>
      <c r="B92" s="112"/>
      <c r="C92" s="112"/>
      <c r="D92" s="108"/>
      <c r="E92" s="109"/>
      <c r="F92" s="109"/>
      <c r="G92" s="110"/>
      <c r="H92" s="110"/>
      <c r="I92" s="111"/>
      <c r="J92" s="111"/>
      <c r="K92" s="110"/>
      <c r="L92" s="112"/>
      <c r="M92" s="112"/>
      <c r="N92" s="112"/>
      <c r="O92" s="112"/>
      <c r="P92" s="112"/>
    </row>
    <row r="93" spans="1:16" ht="15" x14ac:dyDescent="0.2">
      <c r="A93" s="108"/>
      <c r="B93" s="112"/>
      <c r="C93" s="112"/>
      <c r="D93" s="108"/>
      <c r="E93" s="109"/>
      <c r="F93" s="109"/>
      <c r="G93" s="110"/>
      <c r="H93" s="110"/>
      <c r="I93" s="111"/>
      <c r="J93" s="111"/>
      <c r="K93" s="110"/>
      <c r="L93" s="112"/>
      <c r="M93" s="112"/>
      <c r="N93" s="112"/>
      <c r="O93" s="112"/>
      <c r="P93" s="112"/>
    </row>
    <row r="94" spans="1:16" ht="15" x14ac:dyDescent="0.2">
      <c r="A94" s="108"/>
      <c r="B94" s="112"/>
      <c r="C94" s="112"/>
      <c r="D94" s="108"/>
      <c r="E94" s="109"/>
      <c r="F94" s="109"/>
      <c r="G94" s="110"/>
      <c r="H94" s="110"/>
      <c r="I94" s="111"/>
      <c r="J94" s="111"/>
      <c r="K94" s="110"/>
      <c r="L94" s="112"/>
      <c r="M94" s="112"/>
      <c r="N94" s="112"/>
      <c r="O94" s="112"/>
      <c r="P94" s="112"/>
    </row>
    <row r="95" spans="1:16" ht="15" x14ac:dyDescent="0.2">
      <c r="A95" s="108"/>
      <c r="B95" s="112"/>
      <c r="C95" s="112"/>
      <c r="D95" s="108"/>
      <c r="E95" s="109"/>
      <c r="F95" s="109"/>
      <c r="G95" s="110"/>
      <c r="H95" s="110"/>
      <c r="I95" s="111"/>
      <c r="J95" s="111"/>
      <c r="K95" s="110"/>
      <c r="L95" s="112"/>
      <c r="M95" s="112"/>
      <c r="N95" s="112"/>
      <c r="O95" s="112"/>
      <c r="P95" s="112"/>
    </row>
    <row r="96" spans="1:16" ht="15" x14ac:dyDescent="0.2">
      <c r="A96" s="108"/>
      <c r="B96" s="112"/>
      <c r="C96" s="112"/>
      <c r="D96" s="108"/>
      <c r="E96" s="109"/>
      <c r="F96" s="109"/>
      <c r="G96" s="110"/>
      <c r="H96" s="110"/>
      <c r="I96" s="111"/>
      <c r="J96" s="111"/>
      <c r="K96" s="110"/>
      <c r="L96" s="112"/>
      <c r="M96" s="112"/>
      <c r="N96" s="112"/>
      <c r="O96" s="112"/>
      <c r="P96" s="112"/>
    </row>
    <row r="97" spans="1:16" ht="15" x14ac:dyDescent="0.2">
      <c r="A97" s="108"/>
      <c r="B97" s="112"/>
      <c r="C97" s="112"/>
      <c r="D97" s="108"/>
      <c r="E97" s="109"/>
      <c r="F97" s="109"/>
      <c r="G97" s="110"/>
      <c r="H97" s="110"/>
      <c r="I97" s="111"/>
      <c r="J97" s="111"/>
      <c r="K97" s="110"/>
      <c r="L97" s="112"/>
      <c r="M97" s="112"/>
      <c r="N97" s="112"/>
      <c r="O97" s="112"/>
      <c r="P97" s="112"/>
    </row>
    <row r="98" spans="1:16" ht="15" x14ac:dyDescent="0.2">
      <c r="A98" s="108"/>
      <c r="B98" s="112"/>
      <c r="C98" s="112"/>
      <c r="D98" s="108"/>
      <c r="E98" s="109"/>
      <c r="F98" s="109"/>
      <c r="G98" s="110"/>
      <c r="H98" s="110"/>
      <c r="I98" s="111"/>
      <c r="J98" s="111"/>
      <c r="K98" s="110"/>
      <c r="L98" s="112"/>
      <c r="M98" s="112"/>
      <c r="N98" s="112"/>
      <c r="O98" s="112"/>
      <c r="P98" s="112"/>
    </row>
    <row r="99" spans="1:16" ht="15" x14ac:dyDescent="0.2">
      <c r="A99" s="108"/>
      <c r="B99" s="112"/>
      <c r="C99" s="112"/>
      <c r="D99" s="108"/>
      <c r="E99" s="109"/>
      <c r="F99" s="109"/>
      <c r="G99" s="110"/>
      <c r="H99" s="110"/>
      <c r="I99" s="111"/>
      <c r="J99" s="111"/>
      <c r="K99" s="110"/>
      <c r="L99" s="112"/>
      <c r="M99" s="112"/>
      <c r="N99" s="112"/>
      <c r="O99" s="112"/>
      <c r="P99" s="112"/>
    </row>
    <row r="100" spans="1:16" ht="15" x14ac:dyDescent="0.2">
      <c r="A100" s="108"/>
      <c r="B100" s="112"/>
      <c r="C100" s="112"/>
      <c r="D100" s="108"/>
      <c r="E100" s="109"/>
      <c r="F100" s="109"/>
      <c r="G100" s="110"/>
      <c r="H100" s="110"/>
      <c r="I100" s="111"/>
      <c r="J100" s="111"/>
      <c r="K100" s="110"/>
      <c r="L100" s="112"/>
      <c r="M100" s="112"/>
      <c r="N100" s="112"/>
      <c r="O100" s="112"/>
      <c r="P100" s="112"/>
    </row>
    <row r="101" spans="1:16" ht="15" x14ac:dyDescent="0.2">
      <c r="A101" s="108"/>
      <c r="B101" s="112"/>
      <c r="C101" s="112"/>
      <c r="D101" s="108"/>
      <c r="E101" s="109"/>
      <c r="F101" s="109"/>
      <c r="G101" s="110"/>
      <c r="H101" s="110"/>
      <c r="I101" s="111"/>
      <c r="J101" s="111"/>
      <c r="K101" s="110"/>
      <c r="L101" s="112"/>
      <c r="M101" s="112"/>
      <c r="N101" s="112"/>
      <c r="O101" s="112"/>
      <c r="P101" s="112"/>
    </row>
    <row r="102" spans="1:16" ht="15" x14ac:dyDescent="0.2">
      <c r="A102" s="108"/>
      <c r="B102" s="112"/>
      <c r="C102" s="112"/>
      <c r="D102" s="108"/>
      <c r="E102" s="109"/>
      <c r="F102" s="109"/>
      <c r="G102" s="110"/>
      <c r="H102" s="110"/>
      <c r="I102" s="111"/>
      <c r="J102" s="111"/>
      <c r="K102" s="110"/>
      <c r="L102" s="112"/>
      <c r="M102" s="112"/>
      <c r="N102" s="112"/>
      <c r="O102" s="112"/>
      <c r="P102" s="112"/>
    </row>
    <row r="103" spans="1:16" ht="15" x14ac:dyDescent="0.2">
      <c r="A103" s="108"/>
      <c r="B103" s="112"/>
      <c r="C103" s="112"/>
      <c r="D103" s="108"/>
      <c r="E103" s="109"/>
      <c r="F103" s="109"/>
      <c r="G103" s="110"/>
      <c r="H103" s="110"/>
      <c r="I103" s="111"/>
      <c r="J103" s="111"/>
      <c r="K103" s="110"/>
      <c r="L103" s="112"/>
      <c r="M103" s="112"/>
      <c r="N103" s="112"/>
      <c r="O103" s="112"/>
      <c r="P103" s="112"/>
    </row>
    <row r="104" spans="1:16" ht="15" x14ac:dyDescent="0.2">
      <c r="A104" s="108"/>
      <c r="B104" s="112"/>
      <c r="C104" s="112"/>
      <c r="D104" s="108"/>
      <c r="E104" s="109"/>
      <c r="F104" s="109"/>
      <c r="G104" s="110"/>
      <c r="H104" s="110"/>
      <c r="I104" s="111"/>
      <c r="J104" s="111"/>
      <c r="K104" s="110"/>
      <c r="L104" s="112"/>
      <c r="M104" s="112"/>
      <c r="N104" s="112"/>
      <c r="O104" s="112"/>
      <c r="P104" s="112"/>
    </row>
    <row r="105" spans="1:16" ht="15" x14ac:dyDescent="0.2">
      <c r="A105" s="108"/>
      <c r="B105" s="112"/>
      <c r="C105" s="112"/>
      <c r="D105" s="108"/>
      <c r="E105" s="109"/>
      <c r="F105" s="109"/>
      <c r="G105" s="110"/>
      <c r="H105" s="110"/>
      <c r="I105" s="111"/>
      <c r="J105" s="111"/>
      <c r="K105" s="110"/>
      <c r="L105" s="112"/>
      <c r="M105" s="112"/>
      <c r="N105" s="112"/>
      <c r="O105" s="112"/>
      <c r="P105" s="112"/>
    </row>
    <row r="106" spans="1:16" ht="15" x14ac:dyDescent="0.2">
      <c r="A106" s="108"/>
      <c r="B106" s="112"/>
      <c r="C106" s="112"/>
      <c r="D106" s="108"/>
      <c r="E106" s="109"/>
      <c r="F106" s="109"/>
      <c r="G106" s="110"/>
      <c r="H106" s="110"/>
      <c r="I106" s="111"/>
      <c r="J106" s="111"/>
      <c r="K106" s="110"/>
      <c r="L106" s="112"/>
      <c r="M106" s="112"/>
      <c r="N106" s="112"/>
      <c r="O106" s="112"/>
      <c r="P106" s="112"/>
    </row>
    <row r="107" spans="1:16" ht="15" x14ac:dyDescent="0.2">
      <c r="A107" s="108"/>
      <c r="B107" s="112"/>
      <c r="C107" s="112"/>
      <c r="D107" s="108"/>
      <c r="E107" s="109"/>
      <c r="F107" s="109"/>
      <c r="G107" s="110"/>
      <c r="H107" s="110"/>
      <c r="I107" s="111"/>
      <c r="J107" s="111"/>
      <c r="K107" s="110"/>
      <c r="L107" s="112"/>
      <c r="M107" s="112"/>
      <c r="N107" s="112"/>
      <c r="O107" s="112"/>
      <c r="P107" s="112"/>
    </row>
    <row r="108" spans="1:16" ht="15" x14ac:dyDescent="0.2">
      <c r="A108" s="108"/>
      <c r="B108" s="112"/>
      <c r="C108" s="112"/>
      <c r="D108" s="108"/>
      <c r="E108" s="109"/>
      <c r="F108" s="109"/>
      <c r="G108" s="110"/>
      <c r="H108" s="110"/>
      <c r="I108" s="111"/>
      <c r="J108" s="111"/>
      <c r="K108" s="110"/>
      <c r="L108" s="112"/>
      <c r="M108" s="112"/>
      <c r="N108" s="112"/>
      <c r="O108" s="112"/>
      <c r="P108" s="112"/>
    </row>
    <row r="109" spans="1:16" ht="15" x14ac:dyDescent="0.2">
      <c r="A109" s="108"/>
      <c r="B109" s="112"/>
      <c r="C109" s="112"/>
      <c r="D109" s="108"/>
      <c r="E109" s="109"/>
      <c r="F109" s="109"/>
      <c r="G109" s="110"/>
      <c r="H109" s="110"/>
      <c r="I109" s="111"/>
      <c r="J109" s="111"/>
      <c r="K109" s="110"/>
      <c r="L109" s="112"/>
      <c r="M109" s="112"/>
      <c r="N109" s="112"/>
      <c r="O109" s="112"/>
      <c r="P109" s="112"/>
    </row>
    <row r="110" spans="1:16" ht="15" x14ac:dyDescent="0.2">
      <c r="A110" s="108"/>
      <c r="B110" s="112"/>
      <c r="C110" s="112"/>
      <c r="D110" s="108"/>
      <c r="E110" s="109"/>
      <c r="F110" s="109"/>
      <c r="G110" s="110"/>
      <c r="H110" s="110"/>
      <c r="I110" s="111"/>
      <c r="J110" s="111"/>
      <c r="K110" s="110"/>
      <c r="L110" s="112"/>
      <c r="M110" s="112"/>
      <c r="N110" s="112"/>
      <c r="O110" s="112"/>
      <c r="P110" s="112"/>
    </row>
    <row r="111" spans="1:16" ht="15" x14ac:dyDescent="0.2">
      <c r="A111" s="108"/>
      <c r="B111" s="112"/>
      <c r="C111" s="112"/>
      <c r="D111" s="108"/>
      <c r="E111" s="109"/>
      <c r="F111" s="109"/>
      <c r="G111" s="110"/>
      <c r="H111" s="110"/>
      <c r="I111" s="111"/>
      <c r="J111" s="111"/>
      <c r="K111" s="110"/>
      <c r="L111" s="112"/>
      <c r="M111" s="112"/>
      <c r="N111" s="112"/>
      <c r="O111" s="112"/>
      <c r="P111" s="112"/>
    </row>
  </sheetData>
  <mergeCells count="6">
    <mergeCell ref="B7:C7"/>
    <mergeCell ref="H7:I7"/>
    <mergeCell ref="B4:C4"/>
    <mergeCell ref="B5:C5"/>
    <mergeCell ref="E3:G4"/>
    <mergeCell ref="E5:G5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N216"/>
  <sheetViews>
    <sheetView workbookViewId="0">
      <selection activeCell="E5" sqref="E5"/>
    </sheetView>
  </sheetViews>
  <sheetFormatPr defaultRowHeight="13.2" x14ac:dyDescent="0.2"/>
  <cols>
    <col min="1" max="1" width="3.6640625" customWidth="1"/>
    <col min="2" max="3" width="7.88671875" customWidth="1"/>
    <col min="4" max="4" width="18.44140625" customWidth="1"/>
    <col min="5" max="5" width="15.109375" customWidth="1"/>
    <col min="6" max="6" width="10.21875" customWidth="1"/>
    <col min="7" max="8" width="8.109375" customWidth="1"/>
    <col min="9" max="9" width="9.5546875" customWidth="1"/>
    <col min="10" max="10" width="37" customWidth="1"/>
  </cols>
  <sheetData>
    <row r="1" spans="1:10" ht="27.6" customHeight="1" x14ac:dyDescent="0.25">
      <c r="B1" s="22" t="s">
        <v>301</v>
      </c>
    </row>
    <row r="2" spans="1:10" ht="14.4" customHeight="1" thickBot="1" x14ac:dyDescent="0.25">
      <c r="B2" t="str">
        <f>"・"&amp;まとめ!B1</f>
        <v>・0</v>
      </c>
    </row>
    <row r="3" spans="1:10" ht="10.199999999999999" customHeight="1" x14ac:dyDescent="0.2">
      <c r="F3" s="133" t="s">
        <v>302</v>
      </c>
      <c r="G3" s="134"/>
      <c r="H3" s="144"/>
    </row>
    <row r="4" spans="1:10" ht="18.600000000000001" customHeight="1" thickBot="1" x14ac:dyDescent="0.25">
      <c r="A4" s="1"/>
      <c r="B4" s="139" t="s">
        <v>294</v>
      </c>
      <c r="C4" s="139"/>
      <c r="D4" s="18" t="s">
        <v>295</v>
      </c>
      <c r="E4" s="3" t="str">
        <f>まとめ!F8</f>
        <v>病児・一時</v>
      </c>
      <c r="F4" s="142"/>
      <c r="G4" s="143"/>
      <c r="H4" s="145"/>
    </row>
    <row r="5" spans="1:10" ht="28.2" customHeight="1" thickBot="1" x14ac:dyDescent="0.25">
      <c r="A5" s="1"/>
      <c r="B5" s="140">
        <f>まとめ!D9</f>
        <v>1.9</v>
      </c>
      <c r="C5" s="141"/>
      <c r="D5" s="23">
        <f>まとめ!E9</f>
        <v>168</v>
      </c>
      <c r="E5" s="23" t="str">
        <f>まとめ!F9</f>
        <v>一時</v>
      </c>
      <c r="F5" s="130">
        <f ca="1">SUM(I8:I37)</f>
        <v>0</v>
      </c>
      <c r="G5" s="131"/>
      <c r="H5" s="146"/>
    </row>
    <row r="6" spans="1:10" ht="15" customHeight="1" x14ac:dyDescent="0.2">
      <c r="A6" s="1"/>
      <c r="B6" s="1"/>
      <c r="C6" s="1"/>
      <c r="D6" s="3"/>
      <c r="E6" s="3"/>
      <c r="F6" s="3"/>
      <c r="G6" s="3"/>
      <c r="H6" s="3"/>
      <c r="I6" s="9"/>
    </row>
    <row r="7" spans="1:10" ht="15" customHeight="1" x14ac:dyDescent="0.2">
      <c r="A7" s="14"/>
      <c r="B7" s="105" t="s">
        <v>300</v>
      </c>
      <c r="C7" s="92"/>
      <c r="D7" s="16" t="s">
        <v>3</v>
      </c>
      <c r="E7" s="15" t="s">
        <v>303</v>
      </c>
      <c r="F7" s="15" t="s">
        <v>297</v>
      </c>
      <c r="G7" s="105" t="s">
        <v>304</v>
      </c>
      <c r="H7" s="92"/>
      <c r="I7" s="17" t="s">
        <v>305</v>
      </c>
      <c r="J7" s="15" t="s">
        <v>286</v>
      </c>
    </row>
    <row r="8" spans="1:10" ht="19.2" customHeight="1" x14ac:dyDescent="0.2">
      <c r="A8" s="27" t="str">
        <f ca="1">IF(AND(B8&lt;&gt;0,B8&lt;&gt;""),1,"")</f>
        <v/>
      </c>
      <c r="B8" s="46" t="str" cm="1">
        <f t="array" aca="1" ref="B8" ca="1">_xlfn._xlws.FILTER(まとめ!$M$12:$M$70,まとめ!$M$12:$M$70&lt;&gt;"", "")</f>
        <v/>
      </c>
      <c r="C8" s="47" t="str">
        <f ca="1">IF(B8&lt;&gt;"",VLOOKUP(B8,まとめ!$B$12:$C$41,2,FALSE),"")</f>
        <v/>
      </c>
      <c r="D8" s="27" t="str">
        <f ca="1">IF(B8&lt;&gt;"",IF(B8&lt;&gt;0,
IF(COUNTIF(INDEX(まとめ!$D$12:$D$41, MATCH(B8,まとめ!$B$12:$B$41, 0)),"*正社員*"),"保育士（正社員）","保育士（パート）"), 0),"")</f>
        <v/>
      </c>
      <c r="E8" s="27" t="str">
        <f ca="1">IF(B8="","",IF(B8=0,0,IF(I8&gt;=1,"常勤","非常勤")))</f>
        <v/>
      </c>
      <c r="F8" s="27" t="str">
        <f ca="1">IF(B8&lt;&gt;"",IF(B8&lt;&gt;0,
IFERROR(INDEX(まとめ!$F$12:$F$41,MATCH(B8,まとめ!$B$12:$B$41,0)),""), 0),"")</f>
        <v/>
      </c>
      <c r="G8" s="30" t="str">
        <f ca="1">IF(B8&lt;&gt;"",IF(B8&lt;&gt;0,
IF(IFERROR(INDEX(まとめ!$H$12:$H$41,MATCH(B8,まとめ!$B$12:$B$41,0)),"")&lt;&gt;"",まとめ!$F$9,""), 0),"")</f>
        <v/>
      </c>
      <c r="H8" s="45" t="str">
        <f ca="1">IF(G8&lt;&gt;"",IFERROR(VALUE(INDEX(まとめ!$I$12:$I$41,MATCH(B8,まとめ!$B$12:$B$41,0))),0),"")</f>
        <v/>
      </c>
      <c r="I8" s="24" t="str">
        <f ca="1">IF(B8&lt;&gt;"",IF(H8&gt;$D$5,1,ROUND(H8/$D$5,1)),"")</f>
        <v/>
      </c>
      <c r="J8" s="116" t="str">
        <f ca="1">IF(B8&lt;&gt;"",IF(B8&lt;&gt;0,
IFERROR(VALUE(INDEX(まとめ!$K$12:$K$41,MATCH(B8,まとめ!$B$12:$B$41,0))),""), 0),"")
&amp;IF(AND(H8&lt;&gt;0,I8=0),"0.01と備考欄にご記載ください","")</f>
        <v/>
      </c>
    </row>
    <row r="9" spans="1:10" ht="19.2" customHeight="1" x14ac:dyDescent="0.2">
      <c r="A9" s="28" t="str">
        <f>IF(AND(B9&lt;&gt;0,B9&lt;&gt;""),A8+1,"")</f>
        <v/>
      </c>
      <c r="B9" s="48"/>
      <c r="C9" s="49" t="str">
        <f>IF(B9&lt;&gt;"",VLOOKUP(B9,まとめ!$B$12:$C$41,2,FALSE),"")</f>
        <v/>
      </c>
      <c r="D9" s="28" t="str">
        <f>IF(B9&lt;&gt;"",IF(B9&lt;&gt;0,
IF(COUNTIF(INDEX(まとめ!$D$12:$D$41, MATCH(B9,まとめ!$B$12:$B$41, 0)),"*正社員*"),"保育士（正社員）","保育士（パート）"), 0),"")</f>
        <v/>
      </c>
      <c r="E9" s="28" t="str">
        <f>IF(B9="","",IF(B9=0,0,IF(I9&gt;=1,"常勤","非常勤")))</f>
        <v/>
      </c>
      <c r="F9" s="28" t="str">
        <f>IF(B9&lt;&gt;"",IF(B9&lt;&gt;0,
IFERROR(INDEX(まとめ!$F$12:$F$41,MATCH(B9,まとめ!$B$12:$B$41,0)),""), 0),"")</f>
        <v/>
      </c>
      <c r="G9" s="31" t="str">
        <f>IF(B9&lt;&gt;"",IF(B9&lt;&gt;0,
IF(IFERROR(INDEX(まとめ!$H$12:$H$41,MATCH(B9,まとめ!$B$12:$B$41,0)),"")&lt;&gt;"",まとめ!$F$9,""), 0),"")</f>
        <v/>
      </c>
      <c r="H9" s="33" t="str">
        <f>IF(G9&lt;&gt;"",IFERROR(VALUE(INDEX(まとめ!$I$12:$I$41,MATCH(B9,まとめ!$B$12:$B$41,0))),0),"")</f>
        <v/>
      </c>
      <c r="I9" s="25" t="str">
        <f>IF(B9&lt;&gt;"",IF(H9&gt;$D$5,1,ROUND(H9/$D$5,1)),"")</f>
        <v/>
      </c>
      <c r="J9" s="117" t="str">
        <f>IF(B9&lt;&gt;"",IF(B9&lt;&gt;0,
IFERROR(VALUE(INDEX(まとめ!$K$12:$K$41,MATCH(B9,まとめ!$B$12:$B$41,0))),""), 0),"")
&amp;IF(AND(H9&lt;&gt;0,I9=0),"0.01と備考欄にご記載ください","")</f>
        <v/>
      </c>
    </row>
    <row r="10" spans="1:10" ht="19.2" customHeight="1" x14ac:dyDescent="0.2">
      <c r="A10" s="28" t="str">
        <f>IF(AND(B10&lt;&gt;0,B10&lt;&gt;""),A9+1,"")</f>
        <v/>
      </c>
      <c r="B10" s="48"/>
      <c r="C10" s="49" t="str">
        <f>IF(B10&lt;&gt;"",VLOOKUP(B10,まとめ!$B$12:$C$41,2,FALSE),"")</f>
        <v/>
      </c>
      <c r="D10" s="28" t="str">
        <f>IF(B10&lt;&gt;"",IF(B10&lt;&gt;0,
IF(COUNTIF(INDEX(まとめ!$D$12:$D$41, MATCH(B10,まとめ!$B$12:$B$41, 0)),"*正社員*"),"保育士（正社員）","保育士（パート）"), 0),"")</f>
        <v/>
      </c>
      <c r="E10" s="28" t="str">
        <f>IF(B10="","",IF(B10=0,0,IF(I10&gt;=1,"常勤","非常勤")))</f>
        <v/>
      </c>
      <c r="F10" s="28" t="str">
        <f>IF(B10&lt;&gt;"",IF(B10&lt;&gt;0,
IFERROR(INDEX(まとめ!$F$12:$F$41,MATCH(B10,まとめ!$B$12:$B$41,0)),""), 0),"")</f>
        <v/>
      </c>
      <c r="G10" s="31" t="str">
        <f>IF(B10&lt;&gt;"",IF(B10&lt;&gt;0,
IF(IFERROR(INDEX(まとめ!$H$12:$H$41,MATCH(B10,まとめ!$B$12:$B$41,0)),"")&lt;&gt;"",まとめ!$F$9,""), 0),"")</f>
        <v/>
      </c>
      <c r="H10" s="33" t="str">
        <f>IF(G10&lt;&gt;"",IFERROR(VALUE(INDEX(まとめ!$I$12:$I$41,MATCH(B10,まとめ!$B$12:$B$41,0))),0),"")</f>
        <v/>
      </c>
      <c r="I10" s="25" t="str">
        <f>IF(B10&lt;&gt;"",IF(H10&gt;$D$5,1,ROUND(H10/$D$5,1)),"")</f>
        <v/>
      </c>
      <c r="J10" s="117" t="str">
        <f>IF(B10&lt;&gt;"",IF(B10&lt;&gt;0,
IFERROR(VALUE(INDEX(まとめ!$K$12:$K$41,MATCH(B10,まとめ!$B$12:$B$41,0))),""), 0),"")
&amp;IF(AND(H10&lt;&gt;0,I10=0),"0.01と備考欄にご記載ください","")</f>
        <v/>
      </c>
    </row>
    <row r="11" spans="1:10" ht="19.2" customHeight="1" x14ac:dyDescent="0.2">
      <c r="A11" s="28" t="str">
        <f>IF(AND(B11&lt;&gt;0,B11&lt;&gt;""),A10+1,"")</f>
        <v/>
      </c>
      <c r="B11" s="48"/>
      <c r="C11" s="49" t="str">
        <f>IF(B11&lt;&gt;"",VLOOKUP(B11,まとめ!$B$12:$C$41,2,FALSE),"")</f>
        <v/>
      </c>
      <c r="D11" s="28" t="str">
        <f>IF(B11&lt;&gt;"",IF(B11&lt;&gt;0,
IF(COUNTIF(INDEX(まとめ!$D$12:$D$41, MATCH(B11,まとめ!$B$12:$B$41, 0)),"*正社員*"),"保育士（正社員）","保育士（パート）"), 0),"")</f>
        <v/>
      </c>
      <c r="E11" s="28" t="str">
        <f>IF(B11="","",IF(B11=0,0,IF(I11&gt;=1,"常勤","非常勤")))</f>
        <v/>
      </c>
      <c r="F11" s="28" t="str">
        <f>IF(B11&lt;&gt;"",IF(B11&lt;&gt;0,
IFERROR(INDEX(まとめ!$F$12:$F$41,MATCH(B11,まとめ!$B$12:$B$41,0)),""), 0),"")</f>
        <v/>
      </c>
      <c r="G11" s="31" t="str">
        <f>IF(B11&lt;&gt;"",IF(B11&lt;&gt;0,
IF(IFERROR(INDEX(まとめ!$H$12:$H$41,MATCH(B11,まとめ!$B$12:$B$41,0)),"")&lt;&gt;"",まとめ!$F$9,""), 0),"")</f>
        <v/>
      </c>
      <c r="H11" s="33" t="str">
        <f>IF(G11&lt;&gt;"",IFERROR(VALUE(INDEX(まとめ!$I$12:$I$41,MATCH(B11,まとめ!$B$12:$B$41,0))),0),"")</f>
        <v/>
      </c>
      <c r="I11" s="25" t="str">
        <f>IF(B11&lt;&gt;"",IF(H11&gt;$D$5,1,ROUND(H11/$D$5,1)),"")</f>
        <v/>
      </c>
      <c r="J11" s="117" t="str">
        <f>IF(B11&lt;&gt;"",IF(B11&lt;&gt;0,
IFERROR(VALUE(INDEX(まとめ!$K$12:$K$41,MATCH(B11,まとめ!$B$12:$B$41,0))),""), 0),"")
&amp;IF(AND(H11&lt;&gt;0,I11=0),"0.01と備考欄にご記載ください","")</f>
        <v/>
      </c>
    </row>
    <row r="12" spans="1:10" ht="19.2" customHeight="1" x14ac:dyDescent="0.2">
      <c r="A12" s="28" t="str">
        <f>IF(AND(B12&lt;&gt;0,B12&lt;&gt;""),A11+1,"")</f>
        <v/>
      </c>
      <c r="B12" s="48"/>
      <c r="C12" s="49" t="str">
        <f>IF(B12&lt;&gt;"",VLOOKUP(B12,まとめ!$B$12:$C$41,2,FALSE),"")</f>
        <v/>
      </c>
      <c r="D12" s="28" t="str">
        <f>IF(B12&lt;&gt;"",IF(B12&lt;&gt;0,
IF(COUNTIF(INDEX(まとめ!$D$12:$D$41, MATCH(B12,まとめ!$B$12:$B$41, 0)),"*正社員*"),"保育士（正社員）","保育士（パート）"), 0),"")</f>
        <v/>
      </c>
      <c r="E12" s="28" t="str">
        <f>IF(B12="","",IF(B12=0,0,IF(I12&gt;=1,"常勤","非常勤")))</f>
        <v/>
      </c>
      <c r="F12" s="28" t="str">
        <f>IF(B12&lt;&gt;"",IF(B12&lt;&gt;0,
IFERROR(INDEX(まとめ!$F$12:$F$41,MATCH(B12,まとめ!$B$12:$B$41,0)),""), 0),"")</f>
        <v/>
      </c>
      <c r="G12" s="31" t="str">
        <f>IF(B12&lt;&gt;"",IF(B12&lt;&gt;0,
IF(IFERROR(INDEX(まとめ!$H$12:$H$41,MATCH(B12,まとめ!$B$12:$B$41,0)),"")&lt;&gt;"",まとめ!$F$9,""), 0),"")</f>
        <v/>
      </c>
      <c r="H12" s="33" t="str">
        <f>IF(G12&lt;&gt;"",IFERROR(VALUE(INDEX(まとめ!$I$12:$I$41,MATCH(B12,まとめ!$B$12:$B$41,0))),0),"")</f>
        <v/>
      </c>
      <c r="I12" s="25" t="str">
        <f>IF(B12&lt;&gt;"",IF(H12&gt;$D$5,1,ROUND(H12/$D$5,1)),"")</f>
        <v/>
      </c>
      <c r="J12" s="117" t="str">
        <f>IF(B12&lt;&gt;"",IF(B12&lt;&gt;0,
IFERROR(VALUE(INDEX(まとめ!$K$12:$K$41,MATCH(B12,まとめ!$B$12:$B$41,0))),""), 0),"")
&amp;IF(AND(H12&lt;&gt;0,I12=0),"0.01と備考欄にご記載ください","")</f>
        <v/>
      </c>
    </row>
    <row r="13" spans="1:10" ht="19.2" customHeight="1" x14ac:dyDescent="0.2">
      <c r="A13" s="28" t="str">
        <f>IF(AND(B13&lt;&gt;0,B13&lt;&gt;""),A12+1,"")</f>
        <v/>
      </c>
      <c r="B13" s="48"/>
      <c r="C13" s="49" t="str">
        <f>IF(B13&lt;&gt;"",VLOOKUP(B13,まとめ!$B$12:$C$41,2,FALSE),"")</f>
        <v/>
      </c>
      <c r="D13" s="28" t="str">
        <f>IF(B13&lt;&gt;"",IF(B13&lt;&gt;0,
IF(COUNTIF(INDEX(まとめ!$D$12:$D$41, MATCH(B13,まとめ!$B$12:$B$41, 0)),"*正社員*"),"保育士（正社員）","保育士（パート）"), 0),"")</f>
        <v/>
      </c>
      <c r="E13" s="28" t="str">
        <f>IF(B13="","",IF(B13=0,0,IF(I13&gt;=1,"常勤","非常勤")))</f>
        <v/>
      </c>
      <c r="F13" s="28" t="str">
        <f>IF(B13&lt;&gt;"",IF(B13&lt;&gt;0,
IFERROR(INDEX(まとめ!$F$12:$F$41,MATCH(B13,まとめ!$B$12:$B$41,0)),""), 0),"")</f>
        <v/>
      </c>
      <c r="G13" s="31" t="str">
        <f>IF(B13&lt;&gt;"",IF(B13&lt;&gt;0,
IF(IFERROR(INDEX(まとめ!$H$12:$H$41,MATCH(B13,まとめ!$B$12:$B$41,0)),"")&lt;&gt;"",まとめ!$F$9,""), 0),"")</f>
        <v/>
      </c>
      <c r="H13" s="33" t="str">
        <f>IF(G13&lt;&gt;"",IFERROR(VALUE(INDEX(まとめ!$I$12:$I$41,MATCH(B13,まとめ!$B$12:$B$41,0))),0),"")</f>
        <v/>
      </c>
      <c r="I13" s="25" t="str">
        <f>IF(B13&lt;&gt;"",IF(H13&gt;$D$5,1,ROUND(H13/$D$5,1)),"")</f>
        <v/>
      </c>
      <c r="J13" s="117" t="str">
        <f>IF(B13&lt;&gt;"",IF(B13&lt;&gt;0,
IFERROR(VALUE(INDEX(まとめ!$K$12:$K$41,MATCH(B13,まとめ!$B$12:$B$41,0))),""), 0),"")
&amp;IF(AND(H13&lt;&gt;0,I13=0),"0.01と備考欄にご記載ください","")</f>
        <v/>
      </c>
    </row>
    <row r="14" spans="1:10" ht="19.2" customHeight="1" x14ac:dyDescent="0.2">
      <c r="A14" s="28" t="str">
        <f>IF(AND(B14&lt;&gt;0,B14&lt;&gt;""),A13+1,"")</f>
        <v/>
      </c>
      <c r="B14" s="48"/>
      <c r="C14" s="49" t="str">
        <f>IF(B14&lt;&gt;"",VLOOKUP(B14,まとめ!$B$12:$C$41,2,FALSE),"")</f>
        <v/>
      </c>
      <c r="D14" s="28" t="str">
        <f>IF(B14&lt;&gt;"",IF(B14&lt;&gt;0,
IF(COUNTIF(INDEX(まとめ!$D$12:$D$41, MATCH(B14,まとめ!$B$12:$B$41, 0)),"*正社員*"),"保育士（正社員）","保育士（パート）"), 0),"")</f>
        <v/>
      </c>
      <c r="E14" s="28" t="str">
        <f>IF(B14="","",IF(B14=0,0,IF(I14&gt;=1,"常勤","非常勤")))</f>
        <v/>
      </c>
      <c r="F14" s="28" t="str">
        <f>IF(B14&lt;&gt;"",IF(B14&lt;&gt;0,
IFERROR(INDEX(まとめ!$F$12:$F$41,MATCH(B14,まとめ!$B$12:$B$41,0)),""), 0),"")</f>
        <v/>
      </c>
      <c r="G14" s="31" t="str">
        <f>IF(B14&lt;&gt;"",IF(B14&lt;&gt;0,
IF(IFERROR(INDEX(まとめ!$H$12:$H$41,MATCH(B14,まとめ!$B$12:$B$41,0)),"")&lt;&gt;"",まとめ!$F$9,""), 0),"")</f>
        <v/>
      </c>
      <c r="H14" s="33" t="str">
        <f>IF(G14&lt;&gt;"",IFERROR(VALUE(INDEX(まとめ!$I$12:$I$41,MATCH(B14,まとめ!$B$12:$B$41,0))),0),"")</f>
        <v/>
      </c>
      <c r="I14" s="25" t="str">
        <f>IF(B14&lt;&gt;"",IF(H14&gt;$D$5,1,ROUND(H14/$D$5,1)),"")</f>
        <v/>
      </c>
      <c r="J14" s="117" t="str">
        <f>IF(B14&lt;&gt;"",IF(B14&lt;&gt;0,
IFERROR(VALUE(INDEX(まとめ!$K$12:$K$41,MATCH(B14,まとめ!$B$12:$B$41,0))),""), 0),"")
&amp;IF(AND(H14&lt;&gt;0,I14=0),"0.01と備考欄にご記載ください","")</f>
        <v/>
      </c>
    </row>
    <row r="15" spans="1:10" ht="19.2" customHeight="1" x14ac:dyDescent="0.2">
      <c r="A15" s="28" t="str">
        <f>IF(AND(B15&lt;&gt;0,B15&lt;&gt;""),A14+1,"")</f>
        <v/>
      </c>
      <c r="B15" s="48"/>
      <c r="C15" s="49" t="str">
        <f>IF(B15&lt;&gt;"",VLOOKUP(B15,まとめ!$B$12:$C$41,2,FALSE),"")</f>
        <v/>
      </c>
      <c r="D15" s="28" t="str">
        <f>IF(B15&lt;&gt;"",IF(B15&lt;&gt;0,
IF(COUNTIF(INDEX(まとめ!$D$12:$D$41, MATCH(B15,まとめ!$B$12:$B$41, 0)),"*正社員*"),"保育士（正社員）","保育士（パート）"), 0),"")</f>
        <v/>
      </c>
      <c r="E15" s="28" t="str">
        <f>IF(B15="","",IF(B15=0,0,IF(I15&gt;=1,"常勤","非常勤")))</f>
        <v/>
      </c>
      <c r="F15" s="28" t="str">
        <f>IF(B15&lt;&gt;"",IF(B15&lt;&gt;0,
IFERROR(INDEX(まとめ!$F$12:$F$41,MATCH(B15,まとめ!$B$12:$B$41,0)),""), 0),"")</f>
        <v/>
      </c>
      <c r="G15" s="31" t="str">
        <f>IF(B15&lt;&gt;"",IF(B15&lt;&gt;0,
IF(IFERROR(INDEX(まとめ!$H$12:$H$41,MATCH(B15,まとめ!$B$12:$B$41,0)),"")&lt;&gt;"",まとめ!$F$9,""), 0),"")</f>
        <v/>
      </c>
      <c r="H15" s="33" t="str">
        <f>IF(G15&lt;&gt;"",IFERROR(VALUE(INDEX(まとめ!$I$12:$I$41,MATCH(B15,まとめ!$B$12:$B$41,0))),0),"")</f>
        <v/>
      </c>
      <c r="I15" s="25" t="str">
        <f>IF(B15&lt;&gt;"",IF(H15&gt;$D$5,1,ROUND(H15/$D$5,1)),"")</f>
        <v/>
      </c>
      <c r="J15" s="117" t="str">
        <f>IF(B15&lt;&gt;"",IF(B15&lt;&gt;0,
IFERROR(VALUE(INDEX(まとめ!$K$12:$K$41,MATCH(B15,まとめ!$B$12:$B$41,0))),""), 0),"")
&amp;IF(AND(H15&lt;&gt;0,I15=0),"0.01と備考欄にご記載ください","")</f>
        <v/>
      </c>
    </row>
    <row r="16" spans="1:10" ht="19.2" customHeight="1" x14ac:dyDescent="0.2">
      <c r="A16" s="28" t="str">
        <f>IF(AND(B16&lt;&gt;0,B16&lt;&gt;""),A15+1,"")</f>
        <v/>
      </c>
      <c r="B16" s="48"/>
      <c r="C16" s="49" t="str">
        <f>IF(B16&lt;&gt;"",VLOOKUP(B16,まとめ!$B$12:$C$41,2,FALSE),"")</f>
        <v/>
      </c>
      <c r="D16" s="28" t="str">
        <f>IF(B16&lt;&gt;"",IF(B16&lt;&gt;0,
IF(COUNTIF(INDEX(まとめ!$D$12:$D$41, MATCH(B16,まとめ!$B$12:$B$41, 0)),"*正社員*"),"保育士（正社員）","保育士（パート）"), 0),"")</f>
        <v/>
      </c>
      <c r="E16" s="28" t="str">
        <f>IF(B16="","",IF(B16=0,0,IF(I16&gt;=1,"常勤","非常勤")))</f>
        <v/>
      </c>
      <c r="F16" s="28" t="str">
        <f>IF(B16&lt;&gt;"",IF(B16&lt;&gt;0,
IFERROR(INDEX(まとめ!$F$12:$F$41,MATCH(B16,まとめ!$B$12:$B$41,0)),""), 0),"")</f>
        <v/>
      </c>
      <c r="G16" s="31" t="str">
        <f>IF(B16&lt;&gt;"",IF(B16&lt;&gt;0,
IF(IFERROR(INDEX(まとめ!$H$12:$H$41,MATCH(B16,まとめ!$B$12:$B$41,0)),"")&lt;&gt;"",まとめ!$F$9,""), 0),"")</f>
        <v/>
      </c>
      <c r="H16" s="33" t="str">
        <f>IF(G16&lt;&gt;"",IFERROR(VALUE(INDEX(まとめ!$I$12:$I$41,MATCH(B16,まとめ!$B$12:$B$41,0))),0),"")</f>
        <v/>
      </c>
      <c r="I16" s="25" t="str">
        <f>IF(B16&lt;&gt;"",IF(H16&gt;$D$5,1,ROUND(H16/$D$5,1)),"")</f>
        <v/>
      </c>
      <c r="J16" s="117" t="str">
        <f>IF(B16&lt;&gt;"",IF(B16&lt;&gt;0,
IFERROR(VALUE(INDEX(まとめ!$K$12:$K$41,MATCH(B16,まとめ!$B$12:$B$41,0))),""), 0),"")
&amp;IF(AND(H16&lt;&gt;0,I16=0),"0.01と備考欄にご記載ください","")</f>
        <v/>
      </c>
    </row>
    <row r="17" spans="1:10" ht="19.2" customHeight="1" x14ac:dyDescent="0.2">
      <c r="A17" s="28" t="str">
        <f>IF(AND(B17&lt;&gt;0,B17&lt;&gt;""),A16+1,"")</f>
        <v/>
      </c>
      <c r="B17" s="48"/>
      <c r="C17" s="49" t="str">
        <f>IF(B17&lt;&gt;"",VLOOKUP(B17,まとめ!$B$12:$C$41,2,FALSE),"")</f>
        <v/>
      </c>
      <c r="D17" s="28" t="str">
        <f>IF(B17&lt;&gt;"",IF(B17&lt;&gt;0,
IF(COUNTIF(INDEX(まとめ!$D$12:$D$41, MATCH(B17,まとめ!$B$12:$B$41, 0)),"*正社員*"),"保育士（正社員）","保育士（パート）"), 0),"")</f>
        <v/>
      </c>
      <c r="E17" s="28" t="str">
        <f>IF(B17="","",IF(B17=0,0,IF(I17&gt;=1,"常勤","非常勤")))</f>
        <v/>
      </c>
      <c r="F17" s="28" t="str">
        <f>IF(B17&lt;&gt;"",IF(B17&lt;&gt;0,
IFERROR(INDEX(まとめ!$F$12:$F$41,MATCH(B17,まとめ!$B$12:$B$41,0)),""), 0),"")</f>
        <v/>
      </c>
      <c r="G17" s="31" t="str">
        <f>IF(B17&lt;&gt;"",IF(B17&lt;&gt;0,
IF(IFERROR(INDEX(まとめ!$H$12:$H$41,MATCH(B17,まとめ!$B$12:$B$41,0)),"")&lt;&gt;"",まとめ!$F$9,""), 0),"")</f>
        <v/>
      </c>
      <c r="H17" s="33" t="str">
        <f>IF(G17&lt;&gt;"",IFERROR(VALUE(INDEX(まとめ!$I$12:$I$41,MATCH(B17,まとめ!$B$12:$B$41,0))),0),"")</f>
        <v/>
      </c>
      <c r="I17" s="25" t="str">
        <f>IF(B17&lt;&gt;"",IF(H17&gt;$D$5,1,ROUND(H17/$D$5,1)),"")</f>
        <v/>
      </c>
      <c r="J17" s="117" t="str">
        <f>IF(B17&lt;&gt;"",IF(B17&lt;&gt;0,
IFERROR(VALUE(INDEX(まとめ!$K$12:$K$41,MATCH(B17,まとめ!$B$12:$B$41,0))),""), 0),"")
&amp;IF(AND(H17&lt;&gt;0,I17=0),"0.01と備考欄にご記載ください","")</f>
        <v/>
      </c>
    </row>
    <row r="18" spans="1:10" ht="19.2" customHeight="1" x14ac:dyDescent="0.2">
      <c r="A18" s="28" t="str">
        <f>IF(AND(B18&lt;&gt;0,B18&lt;&gt;""),A17+1,"")</f>
        <v/>
      </c>
      <c r="B18" s="48"/>
      <c r="C18" s="49" t="str">
        <f>IF(B18&lt;&gt;"",VLOOKUP(B18,まとめ!$B$12:$C$41,2,FALSE),"")</f>
        <v/>
      </c>
      <c r="D18" s="28" t="str">
        <f>IF(B18&lt;&gt;"",IF(B18&lt;&gt;0,
IF(COUNTIF(INDEX(まとめ!$D$12:$D$41, MATCH(B18,まとめ!$B$12:$B$41, 0)),"*正社員*"),"保育士（正社員）","保育士（パート）"), 0),"")</f>
        <v/>
      </c>
      <c r="E18" s="28" t="str">
        <f>IF(B18="","",IF(B18=0,0,IF(I18&gt;=1,"常勤","非常勤")))</f>
        <v/>
      </c>
      <c r="F18" s="28" t="str">
        <f>IF(B18&lt;&gt;"",IF(B18&lt;&gt;0,
IFERROR(INDEX(まとめ!$F$12:$F$41,MATCH(B18,まとめ!$B$12:$B$41,0)),""), 0),"")</f>
        <v/>
      </c>
      <c r="G18" s="31" t="str">
        <f>IF(B18&lt;&gt;"",IF(B18&lt;&gt;0,
IF(IFERROR(INDEX(まとめ!$H$12:$H$41,MATCH(B18,まとめ!$B$12:$B$41,0)),"")&lt;&gt;"",まとめ!$F$9,""), 0),"")</f>
        <v/>
      </c>
      <c r="H18" s="33" t="str">
        <f>IF(G18&lt;&gt;"",IFERROR(VALUE(INDEX(まとめ!$I$12:$I$41,MATCH(B18,まとめ!$B$12:$B$41,0))),0),"")</f>
        <v/>
      </c>
      <c r="I18" s="25" t="str">
        <f>IF(B18&lt;&gt;"",IF(H18&gt;$D$5,1,ROUND(H18/$D$5,1)),"")</f>
        <v/>
      </c>
      <c r="J18" s="117" t="str">
        <f>IF(B18&lt;&gt;"",IF(B18&lt;&gt;0,
IFERROR(VALUE(INDEX(まとめ!$K$12:$K$41,MATCH(B18,まとめ!$B$12:$B$41,0))),""), 0),"")
&amp;IF(AND(H18&lt;&gt;0,I18=0),"0.01と備考欄にご記載ください","")</f>
        <v/>
      </c>
    </row>
    <row r="19" spans="1:10" ht="19.2" customHeight="1" x14ac:dyDescent="0.2">
      <c r="A19" s="28" t="str">
        <f>IF(AND(B19&lt;&gt;0,B19&lt;&gt;""),A18+1,"")</f>
        <v/>
      </c>
      <c r="B19" s="48"/>
      <c r="C19" s="49" t="str">
        <f>IF(B19&lt;&gt;"",VLOOKUP(B19,まとめ!$B$12:$C$41,2,FALSE),"")</f>
        <v/>
      </c>
      <c r="D19" s="28" t="str">
        <f>IF(B19&lt;&gt;"",IF(B19&lt;&gt;0,
IF(COUNTIF(INDEX(まとめ!$D$12:$D$41, MATCH(B19,まとめ!$B$12:$B$41, 0)),"*正社員*"),"保育士（正社員）","保育士（パート）"), 0),"")</f>
        <v/>
      </c>
      <c r="E19" s="28" t="str">
        <f>IF(B19="","",IF(B19=0,0,IF(I19&gt;=1,"常勤","非常勤")))</f>
        <v/>
      </c>
      <c r="F19" s="28" t="str">
        <f>IF(B19&lt;&gt;"",IF(B19&lt;&gt;0,
IFERROR(INDEX(まとめ!$F$12:$F$41,MATCH(B19,まとめ!$B$12:$B$41,0)),""), 0),"")</f>
        <v/>
      </c>
      <c r="G19" s="31" t="str">
        <f>IF(B19&lt;&gt;"",IF(B19&lt;&gt;0,
IF(IFERROR(INDEX(まとめ!$H$12:$H$41,MATCH(B19,まとめ!$B$12:$B$41,0)),"")&lt;&gt;"",まとめ!$F$9,""), 0),"")</f>
        <v/>
      </c>
      <c r="H19" s="33" t="str">
        <f>IF(G19&lt;&gt;"",IFERROR(VALUE(INDEX(まとめ!$I$12:$I$41,MATCH(B19,まとめ!$B$12:$B$41,0))),0),"")</f>
        <v/>
      </c>
      <c r="I19" s="25" t="str">
        <f>IF(B19&lt;&gt;"",IF(H19&gt;$D$5,1,ROUND(H19/$D$5,1)),"")</f>
        <v/>
      </c>
      <c r="J19" s="117" t="str">
        <f>IF(B19&lt;&gt;"",IF(B19&lt;&gt;0,
IFERROR(VALUE(INDEX(まとめ!$K$12:$K$41,MATCH(B19,まとめ!$B$12:$B$41,0))),""), 0),"")
&amp;IF(AND(H19&lt;&gt;0,I19=0),"0.01と備考欄にご記載ください","")</f>
        <v/>
      </c>
    </row>
    <row r="20" spans="1:10" ht="19.2" customHeight="1" x14ac:dyDescent="0.2">
      <c r="A20" s="28" t="str">
        <f>IF(AND(B20&lt;&gt;0,B20&lt;&gt;""),A19+1,"")</f>
        <v/>
      </c>
      <c r="B20" s="48"/>
      <c r="C20" s="49" t="str">
        <f>IF(B20&lt;&gt;"",VLOOKUP(B20,まとめ!$B$12:$C$41,2,FALSE),"")</f>
        <v/>
      </c>
      <c r="D20" s="28" t="str">
        <f>IF(B20&lt;&gt;"",IF(B20&lt;&gt;0,
IF(COUNTIF(INDEX(まとめ!$D$12:$D$41, MATCH(B20,まとめ!$B$12:$B$41, 0)),"*正社員*"),"保育士（正社員）","保育士（パート）"), 0),"")</f>
        <v/>
      </c>
      <c r="E20" s="28" t="str">
        <f>IF(B20="","",IF(B20=0,0,IF(I20&gt;=1,"常勤","非常勤")))</f>
        <v/>
      </c>
      <c r="F20" s="28" t="str">
        <f>IF(B20&lt;&gt;"",IF(B20&lt;&gt;0,
IFERROR(INDEX(まとめ!$F$12:$F$41,MATCH(B20,まとめ!$B$12:$B$41,0)),""), 0),"")</f>
        <v/>
      </c>
      <c r="G20" s="31" t="str">
        <f>IF(B20&lt;&gt;"",IF(B20&lt;&gt;0,
IF(IFERROR(INDEX(まとめ!$H$12:$H$41,MATCH(B20,まとめ!$B$12:$B$41,0)),"")&lt;&gt;"",まとめ!$F$9,""), 0),"")</f>
        <v/>
      </c>
      <c r="H20" s="33" t="str">
        <f>IF(G20&lt;&gt;"",IFERROR(VALUE(INDEX(まとめ!$I$12:$I$41,MATCH(B20,まとめ!$B$12:$B$41,0))),0),"")</f>
        <v/>
      </c>
      <c r="I20" s="25" t="str">
        <f>IF(B20&lt;&gt;"",IF(H20&gt;$D$5,1,ROUND(H20/$D$5,1)),"")</f>
        <v/>
      </c>
      <c r="J20" s="117" t="str">
        <f>IF(B20&lt;&gt;"",IF(B20&lt;&gt;0,
IFERROR(VALUE(INDEX(まとめ!$K$12:$K$41,MATCH(B20,まとめ!$B$12:$B$41,0))),""), 0),"")
&amp;IF(AND(H20&lt;&gt;0,I20=0),"0.01と備考欄にご記載ください","")</f>
        <v/>
      </c>
    </row>
    <row r="21" spans="1:10" ht="19.2" customHeight="1" x14ac:dyDescent="0.2">
      <c r="A21" s="28" t="str">
        <f>IF(AND(B21&lt;&gt;0,B21&lt;&gt;""),A20+1,"")</f>
        <v/>
      </c>
      <c r="B21" s="48"/>
      <c r="C21" s="49" t="str">
        <f>IF(B21&lt;&gt;"",VLOOKUP(B21,まとめ!$B$12:$C$41,2,FALSE),"")</f>
        <v/>
      </c>
      <c r="D21" s="28" t="str">
        <f>IF(B21&lt;&gt;"",IF(B21&lt;&gt;0,
IF(COUNTIF(INDEX(まとめ!$D$12:$D$41, MATCH(B21,まとめ!$B$12:$B$41, 0)),"*正社員*"),"保育士（正社員）","保育士（パート）"), 0),"")</f>
        <v/>
      </c>
      <c r="E21" s="28" t="str">
        <f>IF(B21="","",IF(B21=0,0,IF(I21&gt;=1,"常勤","非常勤")))</f>
        <v/>
      </c>
      <c r="F21" s="28" t="str">
        <f>IF(B21&lt;&gt;"",IF(B21&lt;&gt;0,
IFERROR(INDEX(まとめ!$F$12:$F$41,MATCH(B21,まとめ!$B$12:$B$41,0)),""), 0),"")</f>
        <v/>
      </c>
      <c r="G21" s="31" t="str">
        <f>IF(B21&lt;&gt;"",IF(B21&lt;&gt;0,
IF(IFERROR(INDEX(まとめ!$H$12:$H$41,MATCH(B21,まとめ!$B$12:$B$41,0)),"")&lt;&gt;"",まとめ!$F$9,""), 0),"")</f>
        <v/>
      </c>
      <c r="H21" s="33" t="str">
        <f>IF(G21&lt;&gt;"",IFERROR(VALUE(INDEX(まとめ!$I$12:$I$41,MATCH(B21,まとめ!$B$12:$B$41,0))),0),"")</f>
        <v/>
      </c>
      <c r="I21" s="25" t="str">
        <f>IF(B21&lt;&gt;"",IF(H21&gt;$D$5,1,ROUND(H21/$D$5,1)),"")</f>
        <v/>
      </c>
      <c r="J21" s="117" t="str">
        <f>IF(B21&lt;&gt;"",IF(B21&lt;&gt;0,
IFERROR(VALUE(INDEX(まとめ!$K$12:$K$41,MATCH(B21,まとめ!$B$12:$B$41,0))),""), 0),"")
&amp;IF(AND(H21&lt;&gt;0,I21=0),"0.01と備考欄にご記載ください","")</f>
        <v/>
      </c>
    </row>
    <row r="22" spans="1:10" ht="19.2" customHeight="1" x14ac:dyDescent="0.2">
      <c r="A22" s="28" t="str">
        <f>IF(AND(B22&lt;&gt;0,B22&lt;&gt;""),A21+1,"")</f>
        <v/>
      </c>
      <c r="B22" s="48"/>
      <c r="C22" s="49" t="str">
        <f>IF(B22&lt;&gt;"",VLOOKUP(B22,まとめ!$B$12:$C$41,2,FALSE),"")</f>
        <v/>
      </c>
      <c r="D22" s="28" t="str">
        <f>IF(B22&lt;&gt;"",IF(B22&lt;&gt;0,
IF(COUNTIF(INDEX(まとめ!$D$12:$D$41, MATCH(B22,まとめ!$B$12:$B$41, 0)),"*正社員*"),"保育士（正社員）","保育士（パート）"), 0),"")</f>
        <v/>
      </c>
      <c r="E22" s="28" t="str">
        <f>IF(B22="","",IF(B22=0,0,IF(I22&gt;=1,"常勤","非常勤")))</f>
        <v/>
      </c>
      <c r="F22" s="28" t="str">
        <f>IF(B22&lt;&gt;"",IF(B22&lt;&gt;0,
IFERROR(INDEX(まとめ!$F$12:$F$41,MATCH(B22,まとめ!$B$12:$B$41,0)),""), 0),"")</f>
        <v/>
      </c>
      <c r="G22" s="31" t="str">
        <f>IF(B22&lt;&gt;"",IF(B22&lt;&gt;0,
IF(IFERROR(INDEX(まとめ!$H$12:$H$41,MATCH(B22,まとめ!$B$12:$B$41,0)),"")&lt;&gt;"",まとめ!$F$9,""), 0),"")</f>
        <v/>
      </c>
      <c r="H22" s="33" t="str">
        <f>IF(G22&lt;&gt;"",IFERROR(VALUE(INDEX(まとめ!$I$12:$I$41,MATCH(B22,まとめ!$B$12:$B$41,0))),0),"")</f>
        <v/>
      </c>
      <c r="I22" s="25" t="str">
        <f>IF(B22&lt;&gt;"",IF(H22&gt;$D$5,1,ROUND(H22/$D$5,1)),"")</f>
        <v/>
      </c>
      <c r="J22" s="117" t="str">
        <f>IF(B22&lt;&gt;"",IF(B22&lt;&gt;0,
IFERROR(VALUE(INDEX(まとめ!$K$12:$K$41,MATCH(B22,まとめ!$B$12:$B$41,0))),""), 0),"")
&amp;IF(AND(H22&lt;&gt;0,I22=0),"0.01と備考欄にご記載ください","")</f>
        <v/>
      </c>
    </row>
    <row r="23" spans="1:10" ht="19.2" customHeight="1" x14ac:dyDescent="0.2">
      <c r="A23" s="28" t="str">
        <f>IF(AND(B23&lt;&gt;0,B23&lt;&gt;""),A22+1,"")</f>
        <v/>
      </c>
      <c r="B23" s="48"/>
      <c r="C23" s="49" t="str">
        <f>IF(B23&lt;&gt;"",VLOOKUP(B23,まとめ!$B$12:$C$41,2,FALSE),"")</f>
        <v/>
      </c>
      <c r="D23" s="28" t="str">
        <f>IF(B23&lt;&gt;"",IF(B23&lt;&gt;0,
IF(COUNTIF(INDEX(まとめ!$D$12:$D$41, MATCH(B23,まとめ!$B$12:$B$41, 0)),"*正社員*"),"保育士（正社員）","保育士（パート）"), 0),"")</f>
        <v/>
      </c>
      <c r="E23" s="28" t="str">
        <f>IF(B23="","",IF(B23=0,0,IF(I23&gt;=1,"常勤","非常勤")))</f>
        <v/>
      </c>
      <c r="F23" s="28" t="str">
        <f>IF(B23&lt;&gt;"",IF(B23&lt;&gt;0,
IFERROR(INDEX(まとめ!$F$12:$F$41,MATCH(B23,まとめ!$B$12:$B$41,0)),""), 0),"")</f>
        <v/>
      </c>
      <c r="G23" s="31" t="str">
        <f>IF(B23&lt;&gt;"",IF(B23&lt;&gt;0,
IF(IFERROR(INDEX(まとめ!$H$12:$H$41,MATCH(B23,まとめ!$B$12:$B$41,0)),"")&lt;&gt;"",まとめ!$F$9,""), 0),"")</f>
        <v/>
      </c>
      <c r="H23" s="33" t="str">
        <f>IF(G23&lt;&gt;"",IFERROR(VALUE(INDEX(まとめ!$I$12:$I$41,MATCH(B23,まとめ!$B$12:$B$41,0))),0),"")</f>
        <v/>
      </c>
      <c r="I23" s="25" t="str">
        <f>IF(B23&lt;&gt;"",IF(H23&gt;$D$5,1,ROUND(H23/$D$5,1)),"")</f>
        <v/>
      </c>
      <c r="J23" s="117" t="str">
        <f>IF(B23&lt;&gt;"",IF(B23&lt;&gt;0,
IFERROR(VALUE(INDEX(まとめ!$K$12:$K$41,MATCH(B23,まとめ!$B$12:$B$41,0))),""), 0),"")
&amp;IF(AND(H23&lt;&gt;0,I23=0),"0.01と備考欄にご記載ください","")</f>
        <v/>
      </c>
    </row>
    <row r="24" spans="1:10" ht="15" x14ac:dyDescent="0.2">
      <c r="A24" s="28" t="str">
        <f>IF(AND(B24&lt;&gt;0,B24&lt;&gt;""),A23+1,"")</f>
        <v/>
      </c>
      <c r="B24" s="48"/>
      <c r="C24" s="49" t="str">
        <f>IF(B24&lt;&gt;"",VLOOKUP(B24,まとめ!$B$12:$C$41,2,FALSE),"")</f>
        <v/>
      </c>
      <c r="D24" s="28" t="str">
        <f>IF(B24&lt;&gt;"",IF(B24&lt;&gt;0,
IF(COUNTIF(INDEX(まとめ!$D$12:$D$41, MATCH(B24,まとめ!$B$12:$B$41, 0)),"*正社員*"),"保育士（正社員）","保育士（パート）"), 0),"")</f>
        <v/>
      </c>
      <c r="E24" s="28" t="str">
        <f>IF(B24="","",IF(B24=0,0,IF(I24&gt;=1,"常勤","非常勤")))</f>
        <v/>
      </c>
      <c r="F24" s="28" t="str">
        <f>IF(B24&lt;&gt;"",IF(B24&lt;&gt;0,
IFERROR(INDEX(まとめ!$F$12:$F$41,MATCH(B24,まとめ!$B$12:$B$41,0)),""), 0),"")</f>
        <v/>
      </c>
      <c r="G24" s="31" t="str">
        <f>IF(B24&lt;&gt;"",IF(B24&lt;&gt;0,
IF(IFERROR(INDEX(まとめ!$H$12:$H$41,MATCH(B24,まとめ!$B$12:$B$41,0)),"")&lt;&gt;"",まとめ!$F$9,""), 0),"")</f>
        <v/>
      </c>
      <c r="H24" s="33" t="str">
        <f>IF(G24&lt;&gt;"",IFERROR(VALUE(INDEX(まとめ!$I$12:$I$41,MATCH(B24,まとめ!$B$12:$B$41,0))),0),"")</f>
        <v/>
      </c>
      <c r="I24" s="25" t="str">
        <f>IF(B24&lt;&gt;"",IF(H24&gt;$D$5,1,ROUND(H24/$D$5,1)),"")</f>
        <v/>
      </c>
      <c r="J24" s="117" t="str">
        <f>IF(B24&lt;&gt;"",IF(B24&lt;&gt;0,
IFERROR(VALUE(INDEX(まとめ!$K$12:$K$41,MATCH(B24,まとめ!$B$12:$B$41,0))),""), 0),"")
&amp;IF(AND(H24&lt;&gt;0,I24=0),"0.01と備考欄にご記載ください","")</f>
        <v/>
      </c>
    </row>
    <row r="25" spans="1:10" ht="15" x14ac:dyDescent="0.2">
      <c r="A25" s="28" t="str">
        <f>IF(AND(B25&lt;&gt;0,B25&lt;&gt;""),A24+1,"")</f>
        <v/>
      </c>
      <c r="B25" s="48"/>
      <c r="C25" s="49" t="str">
        <f>IF(B25&lt;&gt;"",VLOOKUP(B25,まとめ!$B$12:$C$41,2,FALSE),"")</f>
        <v/>
      </c>
      <c r="D25" s="28" t="str">
        <f>IF(B25&lt;&gt;"",IF(B25&lt;&gt;0,
IF(COUNTIF(INDEX(まとめ!$D$12:$D$41, MATCH(B25,まとめ!$B$12:$B$41, 0)),"*正社員*"),"保育士（正社員）","保育士（パート）"), 0),"")</f>
        <v/>
      </c>
      <c r="E25" s="28" t="str">
        <f>IF(B25="","",IF(B25=0,0,IF(I25&gt;=1,"常勤","非常勤")))</f>
        <v/>
      </c>
      <c r="F25" s="28" t="str">
        <f>IF(B25&lt;&gt;"",IF(B25&lt;&gt;0,
IFERROR(INDEX(まとめ!$F$12:$F$41,MATCH(B25,まとめ!$B$12:$B$41,0)),""), 0),"")</f>
        <v/>
      </c>
      <c r="G25" s="31" t="str">
        <f>IF(B25&lt;&gt;"",IF(B25&lt;&gt;0,
IF(IFERROR(INDEX(まとめ!$H$12:$H$41,MATCH(B25,まとめ!$B$12:$B$41,0)),"")&lt;&gt;"",まとめ!$F$9,""), 0),"")</f>
        <v/>
      </c>
      <c r="H25" s="33" t="str">
        <f>IF(G25&lt;&gt;"",IFERROR(VALUE(INDEX(まとめ!$I$12:$I$41,MATCH(B25,まとめ!$B$12:$B$41,0))),0),"")</f>
        <v/>
      </c>
      <c r="I25" s="25" t="str">
        <f>IF(B25&lt;&gt;"",IF(H25&gt;$D$5,1,ROUND(H25/$D$5,1)),"")</f>
        <v/>
      </c>
      <c r="J25" s="117" t="str">
        <f>IF(B25&lt;&gt;"",IF(B25&lt;&gt;0,
IFERROR(VALUE(INDEX(まとめ!$K$12:$K$41,MATCH(B25,まとめ!$B$12:$B$41,0))),""), 0),"")
&amp;IF(AND(H25&lt;&gt;0,I25=0),"0.01と備考欄にご記載ください","")</f>
        <v/>
      </c>
    </row>
    <row r="26" spans="1:10" ht="15" x14ac:dyDescent="0.2">
      <c r="A26" s="28" t="str">
        <f>IF(AND(B26&lt;&gt;0,B26&lt;&gt;""),A25+1,"")</f>
        <v/>
      </c>
      <c r="B26" s="48"/>
      <c r="C26" s="49" t="str">
        <f>IF(B26&lt;&gt;"",VLOOKUP(B26,まとめ!$B$12:$C$41,2,FALSE),"")</f>
        <v/>
      </c>
      <c r="D26" s="28" t="str">
        <f>IF(B26&lt;&gt;"",IF(B26&lt;&gt;0,
IF(COUNTIF(INDEX(まとめ!$D$12:$D$41, MATCH(B26,まとめ!$B$12:$B$41, 0)),"*正社員*"),"保育士（正社員）","保育士（パート）"), 0),"")</f>
        <v/>
      </c>
      <c r="E26" s="28" t="str">
        <f>IF(B26="","",IF(B26=0,0,IF(I26&gt;=1,"常勤","非常勤")))</f>
        <v/>
      </c>
      <c r="F26" s="28" t="str">
        <f>IF(B26&lt;&gt;"",IF(B26&lt;&gt;0,
IFERROR(INDEX(まとめ!$F$12:$F$41,MATCH(B26,まとめ!$B$12:$B$41,0)),""), 0),"")</f>
        <v/>
      </c>
      <c r="G26" s="31" t="str">
        <f>IF(B26&lt;&gt;"",IF(B26&lt;&gt;0,
IF(IFERROR(INDEX(まとめ!$H$12:$H$41,MATCH(B26,まとめ!$B$12:$B$41,0)),"")&lt;&gt;"",まとめ!$F$9,""), 0),"")</f>
        <v/>
      </c>
      <c r="H26" s="33" t="str">
        <f>IF(G26&lt;&gt;"",IFERROR(VALUE(INDEX(まとめ!$I$12:$I$41,MATCH(B26,まとめ!$B$12:$B$41,0))),0),"")</f>
        <v/>
      </c>
      <c r="I26" s="25" t="str">
        <f>IF(B26&lt;&gt;"",IF(H26&gt;$D$5,1,ROUND(H26/$D$5,1)),"")</f>
        <v/>
      </c>
      <c r="J26" s="117" t="str">
        <f>IF(B26&lt;&gt;"",IF(B26&lt;&gt;0,
IFERROR(VALUE(INDEX(まとめ!$K$12:$K$41,MATCH(B26,まとめ!$B$12:$B$41,0))),""), 0),"")
&amp;IF(AND(H26&lt;&gt;0,I26=0),"0.01と備考欄にご記載ください","")</f>
        <v/>
      </c>
    </row>
    <row r="27" spans="1:10" ht="15" x14ac:dyDescent="0.2">
      <c r="A27" s="28" t="str">
        <f>IF(AND(B27&lt;&gt;0,B27&lt;&gt;""),A26+1,"")</f>
        <v/>
      </c>
      <c r="B27" s="48"/>
      <c r="C27" s="49" t="str">
        <f>IF(B27&lt;&gt;"",VLOOKUP(B27,まとめ!$B$12:$C$41,2,FALSE),"")</f>
        <v/>
      </c>
      <c r="D27" s="28" t="str">
        <f>IF(B27&lt;&gt;"",IF(B27&lt;&gt;0,
IF(COUNTIF(INDEX(まとめ!$D$12:$D$41, MATCH(B27,まとめ!$B$12:$B$41, 0)),"*正社員*"),"保育士（正社員）","保育士（パート）"), 0),"")</f>
        <v/>
      </c>
      <c r="E27" s="28" t="str">
        <f>IF(B27="","",IF(B27=0,0,IF(I27&gt;=1,"常勤","非常勤")))</f>
        <v/>
      </c>
      <c r="F27" s="28" t="str">
        <f>IF(B27&lt;&gt;"",IF(B27&lt;&gt;0,
IFERROR(INDEX(まとめ!$F$12:$F$41,MATCH(B27,まとめ!$B$12:$B$41,0)),""), 0),"")</f>
        <v/>
      </c>
      <c r="G27" s="31" t="str">
        <f>IF(B27&lt;&gt;"",IF(B27&lt;&gt;0,
IF(IFERROR(INDEX(まとめ!$H$12:$H$41,MATCH(B27,まとめ!$B$12:$B$41,0)),"")&lt;&gt;"",まとめ!$F$9,""), 0),"")</f>
        <v/>
      </c>
      <c r="H27" s="33" t="str">
        <f>IF(G27&lt;&gt;"",IFERROR(VALUE(INDEX(まとめ!$I$12:$I$41,MATCH(B27,まとめ!$B$12:$B$41,0))),0),"")</f>
        <v/>
      </c>
      <c r="I27" s="25" t="str">
        <f>IF(B27&lt;&gt;"",IF(H27&gt;$D$5,1,ROUND(H27/$D$5,1)),"")</f>
        <v/>
      </c>
      <c r="J27" s="117" t="str">
        <f>IF(B27&lt;&gt;"",IF(B27&lt;&gt;0,
IFERROR(VALUE(INDEX(まとめ!$K$12:$K$41,MATCH(B27,まとめ!$B$12:$B$41,0))),""), 0),"")
&amp;IF(AND(H27&lt;&gt;0,I27=0),"0.01と備考欄にご記載ください","")</f>
        <v/>
      </c>
    </row>
    <row r="28" spans="1:10" ht="15" x14ac:dyDescent="0.2">
      <c r="A28" s="28" t="str">
        <f>IF(AND(B28&lt;&gt;0,B28&lt;&gt;""),A27+1,"")</f>
        <v/>
      </c>
      <c r="B28" s="48"/>
      <c r="C28" s="49" t="str">
        <f>IF(B28&lt;&gt;"",VLOOKUP(B28,まとめ!$B$12:$C$41,2,FALSE),"")</f>
        <v/>
      </c>
      <c r="D28" s="28" t="str">
        <f>IF(B28&lt;&gt;"",IF(B28&lt;&gt;0,
IF(COUNTIF(INDEX(まとめ!$D$12:$D$41, MATCH(B28,まとめ!$B$12:$B$41, 0)),"*正社員*"),"保育士（正社員）","保育士（パート）"), 0),"")</f>
        <v/>
      </c>
      <c r="E28" s="28" t="str">
        <f>IF(B28="","",IF(B28=0,0,IF(I28&gt;=1,"常勤","非常勤")))</f>
        <v/>
      </c>
      <c r="F28" s="28" t="str">
        <f>IF(B28&lt;&gt;"",IF(B28&lt;&gt;0,
IFERROR(INDEX(まとめ!$F$12:$F$41,MATCH(B28,まとめ!$B$12:$B$41,0)),""), 0),"")</f>
        <v/>
      </c>
      <c r="G28" s="31" t="str">
        <f>IF(B28&lt;&gt;"",IF(B28&lt;&gt;0,
IF(IFERROR(INDEX(まとめ!$H$12:$H$41,MATCH(B28,まとめ!$B$12:$B$41,0)),"")&lt;&gt;"",まとめ!$F$9,""), 0),"")</f>
        <v/>
      </c>
      <c r="H28" s="33" t="str">
        <f>IF(G28&lt;&gt;"",IFERROR(VALUE(INDEX(まとめ!$I$12:$I$41,MATCH(B28,まとめ!$B$12:$B$41,0))),0),"")</f>
        <v/>
      </c>
      <c r="I28" s="25" t="str">
        <f>IF(B28&lt;&gt;"",IF(H28&gt;$D$5,1,ROUND(H28/$D$5,1)),"")</f>
        <v/>
      </c>
      <c r="J28" s="117" t="str">
        <f>IF(B28&lt;&gt;"",IF(B28&lt;&gt;0,
IFERROR(VALUE(INDEX(まとめ!$K$12:$K$41,MATCH(B28,まとめ!$B$12:$B$41,0))),""), 0),"")
&amp;IF(AND(H28&lt;&gt;0,I28=0),"0.01と備考欄にご記載ください","")</f>
        <v/>
      </c>
    </row>
    <row r="29" spans="1:10" ht="15" x14ac:dyDescent="0.2">
      <c r="A29" s="28" t="str">
        <f>IF(AND(B29&lt;&gt;0,B29&lt;&gt;""),A28+1,"")</f>
        <v/>
      </c>
      <c r="B29" s="48"/>
      <c r="C29" s="49" t="str">
        <f>IF(B29&lt;&gt;"",VLOOKUP(B29,まとめ!$B$12:$C$41,2,FALSE),"")</f>
        <v/>
      </c>
      <c r="D29" s="28" t="str">
        <f>IF(B29&lt;&gt;"",IF(B29&lt;&gt;0,
IF(COUNTIF(INDEX(まとめ!$D$12:$D$41, MATCH(B29,まとめ!$B$12:$B$41, 0)),"*正社員*"),"保育士（正社員）","保育士（パート）"), 0),"")</f>
        <v/>
      </c>
      <c r="E29" s="28" t="str">
        <f>IF(B29="","",IF(B29=0,0,IF(I29&gt;=1,"常勤","非常勤")))</f>
        <v/>
      </c>
      <c r="F29" s="28" t="str">
        <f>IF(B29&lt;&gt;"",IF(B29&lt;&gt;0,
IFERROR(INDEX(まとめ!$F$12:$F$41,MATCH(B29,まとめ!$B$12:$B$41,0)),""), 0),"")</f>
        <v/>
      </c>
      <c r="G29" s="31" t="str">
        <f>IF(B29&lt;&gt;"",IF(B29&lt;&gt;0,
IF(IFERROR(INDEX(まとめ!$H$12:$H$41,MATCH(B29,まとめ!$B$12:$B$41,0)),"")&lt;&gt;"",まとめ!$F$9,""), 0),"")</f>
        <v/>
      </c>
      <c r="H29" s="33" t="str">
        <f>IF(G29&lt;&gt;"",IFERROR(VALUE(INDEX(まとめ!$I$12:$I$41,MATCH(B29,まとめ!$B$12:$B$41,0))),0),"")</f>
        <v/>
      </c>
      <c r="I29" s="25" t="str">
        <f>IF(B29&lt;&gt;"",IF(H29&gt;$D$5,1,ROUND(H29/$D$5,1)),"")</f>
        <v/>
      </c>
      <c r="J29" s="117" t="str">
        <f>IF(B29&lt;&gt;"",IF(B29&lt;&gt;0,
IFERROR(VALUE(INDEX(まとめ!$K$12:$K$41,MATCH(B29,まとめ!$B$12:$B$41,0))),""), 0),"")
&amp;IF(AND(H29&lt;&gt;0,I29=0),"0.01と備考欄にご記載ください","")</f>
        <v/>
      </c>
    </row>
    <row r="30" spans="1:10" ht="15" x14ac:dyDescent="0.2">
      <c r="A30" s="28" t="str">
        <f>IF(AND(B30&lt;&gt;0,B30&lt;&gt;""),A29+1,"")</f>
        <v/>
      </c>
      <c r="B30" s="48"/>
      <c r="C30" s="49" t="str">
        <f>IF(B30&lt;&gt;"",VLOOKUP(B30,まとめ!$B$12:$C$41,2,FALSE),"")</f>
        <v/>
      </c>
      <c r="D30" s="28" t="str">
        <f>IF(B30&lt;&gt;"",IF(B30&lt;&gt;0,
IF(COUNTIF(INDEX(まとめ!$D$12:$D$41, MATCH(B30,まとめ!$B$12:$B$41, 0)),"*正社員*"),"保育士（正社員）","保育士（パート）"), 0),"")</f>
        <v/>
      </c>
      <c r="E30" s="28" t="str">
        <f>IF(B30="","",IF(B30=0,0,IF(I30&gt;=1,"常勤","非常勤")))</f>
        <v/>
      </c>
      <c r="F30" s="28" t="str">
        <f>IF(B30&lt;&gt;"",IF(B30&lt;&gt;0,
IFERROR(INDEX(まとめ!$F$12:$F$41,MATCH(B30,まとめ!$B$12:$B$41,0)),""), 0),"")</f>
        <v/>
      </c>
      <c r="G30" s="31" t="str">
        <f>IF(B30&lt;&gt;"",IF(B30&lt;&gt;0,
IF(IFERROR(INDEX(まとめ!$H$12:$H$41,MATCH(B30,まとめ!$B$12:$B$41,0)),"")&lt;&gt;"",まとめ!$F$9,""), 0),"")</f>
        <v/>
      </c>
      <c r="H30" s="33" t="str">
        <f>IF(G30&lt;&gt;"",IFERROR(VALUE(INDEX(まとめ!$I$12:$I$41,MATCH(B30,まとめ!$B$12:$B$41,0))),0),"")</f>
        <v/>
      </c>
      <c r="I30" s="25" t="str">
        <f>IF(B30&lt;&gt;"",IF(H30&gt;$D$5,1,ROUND(H30/$D$5,1)),"")</f>
        <v/>
      </c>
      <c r="J30" s="117" t="str">
        <f>IF(B30&lt;&gt;"",IF(B30&lt;&gt;0,
IFERROR(VALUE(INDEX(まとめ!$K$12:$K$41,MATCH(B30,まとめ!$B$12:$B$41,0))),""), 0),"")
&amp;IF(AND(H30&lt;&gt;0,I30=0),"0.01と備考欄にご記載ください","")</f>
        <v/>
      </c>
    </row>
    <row r="31" spans="1:10" ht="15" x14ac:dyDescent="0.2">
      <c r="A31" s="28" t="str">
        <f>IF(AND(B31&lt;&gt;0,B31&lt;&gt;""),A30+1,"")</f>
        <v/>
      </c>
      <c r="B31" s="48"/>
      <c r="C31" s="49" t="str">
        <f>IF(B31&lt;&gt;"",VLOOKUP(B31,まとめ!$B$12:$C$41,2,FALSE),"")</f>
        <v/>
      </c>
      <c r="D31" s="28" t="str">
        <f>IF(B31&lt;&gt;"",IF(B31&lt;&gt;0,
IF(COUNTIF(INDEX(まとめ!$D$12:$D$41, MATCH(B31,まとめ!$B$12:$B$41, 0)),"*正社員*"),"保育士（正社員）","保育士（パート）"), 0),"")</f>
        <v/>
      </c>
      <c r="E31" s="28" t="str">
        <f>IF(B31="","",IF(B31=0,0,IF(I31&gt;=1,"常勤","非常勤")))</f>
        <v/>
      </c>
      <c r="F31" s="28" t="str">
        <f>IF(B31&lt;&gt;"",IF(B31&lt;&gt;0,
IFERROR(INDEX(まとめ!$F$12:$F$41,MATCH(B31,まとめ!$B$12:$B$41,0)),""), 0),"")</f>
        <v/>
      </c>
      <c r="G31" s="31" t="str">
        <f>IF(B31&lt;&gt;"",IF(B31&lt;&gt;0,
IF(IFERROR(INDEX(まとめ!$H$12:$H$41,MATCH(B31,まとめ!$B$12:$B$41,0)),"")&lt;&gt;"",まとめ!$F$9,""), 0),"")</f>
        <v/>
      </c>
      <c r="H31" s="33" t="str">
        <f>IF(G31&lt;&gt;"",IFERROR(VALUE(INDEX(まとめ!$I$12:$I$41,MATCH(B31,まとめ!$B$12:$B$41,0))),0),"")</f>
        <v/>
      </c>
      <c r="I31" s="25" t="str">
        <f>IF(B31&lt;&gt;"",IF(H31&gt;$D$5,1,ROUND(H31/$D$5,1)),"")</f>
        <v/>
      </c>
      <c r="J31" s="117" t="str">
        <f>IF(B31&lt;&gt;"",IF(B31&lt;&gt;0,
IFERROR(VALUE(INDEX(まとめ!$K$12:$K$41,MATCH(B31,まとめ!$B$12:$B$41,0))),""), 0),"")
&amp;IF(AND(H31&lt;&gt;0,I31=0),"0.01と備考欄にご記載ください","")</f>
        <v/>
      </c>
    </row>
    <row r="32" spans="1:10" ht="15" x14ac:dyDescent="0.2">
      <c r="A32" s="28" t="str">
        <f>IF(AND(B32&lt;&gt;0,B32&lt;&gt;""),A31+1,"")</f>
        <v/>
      </c>
      <c r="B32" s="48"/>
      <c r="C32" s="49" t="str">
        <f>IF(B32&lt;&gt;"",VLOOKUP(B32,まとめ!$B$12:$C$41,2,FALSE),"")</f>
        <v/>
      </c>
      <c r="D32" s="28" t="str">
        <f>IF(B32&lt;&gt;"",IF(B32&lt;&gt;0,
IF(COUNTIF(INDEX(まとめ!$D$12:$D$41, MATCH(B32,まとめ!$B$12:$B$41, 0)),"*正社員*"),"保育士（正社員）","保育士（パート）"), 0),"")</f>
        <v/>
      </c>
      <c r="E32" s="28" t="str">
        <f>IF(B32="","",IF(B32=0,0,IF(I32&gt;=1,"常勤","非常勤")))</f>
        <v/>
      </c>
      <c r="F32" s="28" t="str">
        <f>IF(B32&lt;&gt;"",IF(B32&lt;&gt;0,
IFERROR(INDEX(まとめ!$F$12:$F$41,MATCH(B32,まとめ!$B$12:$B$41,0)),""), 0),"")</f>
        <v/>
      </c>
      <c r="G32" s="31" t="str">
        <f>IF(B32&lt;&gt;"",IF(B32&lt;&gt;0,
IF(IFERROR(INDEX(まとめ!$H$12:$H$41,MATCH(B32,まとめ!$B$12:$B$41,0)),"")&lt;&gt;"",まとめ!$F$9,""), 0),"")</f>
        <v/>
      </c>
      <c r="H32" s="33" t="str">
        <f>IF(G32&lt;&gt;"",IFERROR(VALUE(INDEX(まとめ!$I$12:$I$41,MATCH(B32,まとめ!$B$12:$B$41,0))),0),"")</f>
        <v/>
      </c>
      <c r="I32" s="25" t="str">
        <f>IF(B32&lt;&gt;"",IF(H32&gt;$D$5,1,ROUND(H32/$D$5,1)),"")</f>
        <v/>
      </c>
      <c r="J32" s="117" t="str">
        <f>IF(B32&lt;&gt;"",IF(B32&lt;&gt;0,
IFERROR(VALUE(INDEX(まとめ!$K$12:$K$41,MATCH(B32,まとめ!$B$12:$B$41,0))),""), 0),"")
&amp;IF(AND(H32&lt;&gt;0,I32=0),"0.01と備考欄にご記載ください","")</f>
        <v/>
      </c>
    </row>
    <row r="33" spans="1:14" ht="15" x14ac:dyDescent="0.2">
      <c r="A33" s="28" t="str">
        <f>IF(AND(B33&lt;&gt;0,B33&lt;&gt;""),A32+1,"")</f>
        <v/>
      </c>
      <c r="B33" s="48"/>
      <c r="C33" s="49" t="str">
        <f>IF(B33&lt;&gt;"",VLOOKUP(B33,まとめ!$B$12:$C$41,2,FALSE),"")</f>
        <v/>
      </c>
      <c r="D33" s="28" t="str">
        <f>IF(B33&lt;&gt;"",IF(B33&lt;&gt;0,
IF(COUNTIF(INDEX(まとめ!$D$12:$D$41, MATCH(B33,まとめ!$B$12:$B$41, 0)),"*正社員*"),"保育士（正社員）","保育士（パート）"), 0),"")</f>
        <v/>
      </c>
      <c r="E33" s="28" t="str">
        <f>IF(B33="","",IF(B33=0,0,IF(I33&gt;=1,"常勤","非常勤")))</f>
        <v/>
      </c>
      <c r="F33" s="28" t="str">
        <f>IF(B33&lt;&gt;"",IF(B33&lt;&gt;0,
IFERROR(INDEX(まとめ!$F$12:$F$41,MATCH(B33,まとめ!$B$12:$B$41,0)),""), 0),"")</f>
        <v/>
      </c>
      <c r="G33" s="31" t="str">
        <f>IF(B33&lt;&gt;"",IF(B33&lt;&gt;0,
IF(IFERROR(INDEX(まとめ!$H$12:$H$41,MATCH(B33,まとめ!$B$12:$B$41,0)),"")&lt;&gt;"",まとめ!$F$9,""), 0),"")</f>
        <v/>
      </c>
      <c r="H33" s="33" t="str">
        <f>IF(G33&lt;&gt;"",IFERROR(VALUE(INDEX(まとめ!$I$12:$I$41,MATCH(B33,まとめ!$B$12:$B$41,0))),0),"")</f>
        <v/>
      </c>
      <c r="I33" s="25" t="str">
        <f>IF(B33&lt;&gt;"",IF(H33&gt;$D$5,1,ROUND(H33/$D$5,1)),"")</f>
        <v/>
      </c>
      <c r="J33" s="117" t="str">
        <f>IF(B33&lt;&gt;"",IF(B33&lt;&gt;0,
IFERROR(VALUE(INDEX(まとめ!$K$12:$K$41,MATCH(B33,まとめ!$B$12:$B$41,0))),""), 0),"")
&amp;IF(AND(H33&lt;&gt;0,I33=0),"0.01と備考欄にご記載ください","")</f>
        <v/>
      </c>
    </row>
    <row r="34" spans="1:14" ht="15" x14ac:dyDescent="0.2">
      <c r="A34" s="28" t="str">
        <f>IF(AND(B34&lt;&gt;0,B34&lt;&gt;""),A33+1,"")</f>
        <v/>
      </c>
      <c r="B34" s="48"/>
      <c r="C34" s="49" t="str">
        <f>IF(B34&lt;&gt;"",VLOOKUP(B34,まとめ!$B$12:$C$41,2,FALSE),"")</f>
        <v/>
      </c>
      <c r="D34" s="28" t="str">
        <f>IF(B34&lt;&gt;"",IF(B34&lt;&gt;0,
IF(COUNTIF(INDEX(まとめ!$D$12:$D$41, MATCH(B34,まとめ!$B$12:$B$41, 0)),"*正社員*"),"保育士（正社員）","保育士（パート）"), 0),"")</f>
        <v/>
      </c>
      <c r="E34" s="28" t="str">
        <f>IF(B34="","",IF(B34=0,0,IF(I34&gt;=1,"常勤","非常勤")))</f>
        <v/>
      </c>
      <c r="F34" s="28" t="str">
        <f>IF(B34&lt;&gt;"",IF(B34&lt;&gt;0,
IFERROR(INDEX(まとめ!$F$12:$F$41,MATCH(B34,まとめ!$B$12:$B$41,0)),""), 0),"")</f>
        <v/>
      </c>
      <c r="G34" s="31" t="str">
        <f>IF(B34&lt;&gt;"",IF(B34&lt;&gt;0,
IF(IFERROR(INDEX(まとめ!$H$12:$H$41,MATCH(B34,まとめ!$B$12:$B$41,0)),"")&lt;&gt;"",まとめ!$F$9,""), 0),"")</f>
        <v/>
      </c>
      <c r="H34" s="33" t="str">
        <f>IF(G34&lt;&gt;"",IFERROR(VALUE(INDEX(まとめ!$I$12:$I$41,MATCH(B34,まとめ!$B$12:$B$41,0))),0),"")</f>
        <v/>
      </c>
      <c r="I34" s="25" t="str">
        <f>IF(B34&lt;&gt;"",IF(H34&gt;$D$5,1,ROUND(H34/$D$5,1)),"")</f>
        <v/>
      </c>
      <c r="J34" s="117" t="str">
        <f>IF(B34&lt;&gt;"",IF(B34&lt;&gt;0,
IFERROR(VALUE(INDEX(まとめ!$K$12:$K$41,MATCH(B34,まとめ!$B$12:$B$41,0))),""), 0),"")
&amp;IF(AND(H34&lt;&gt;0,I34=0),"0.01と備考欄にご記載ください","")</f>
        <v/>
      </c>
    </row>
    <row r="35" spans="1:14" ht="15" x14ac:dyDescent="0.2">
      <c r="A35" s="28" t="str">
        <f>IF(AND(B35&lt;&gt;0,B35&lt;&gt;""),A34+1,"")</f>
        <v/>
      </c>
      <c r="B35" s="48"/>
      <c r="C35" s="49" t="str">
        <f>IF(B35&lt;&gt;"",VLOOKUP(B35,まとめ!$B$12:$C$41,2,FALSE),"")</f>
        <v/>
      </c>
      <c r="D35" s="28" t="str">
        <f>IF(B35&lt;&gt;"",IF(B35&lt;&gt;0,
IF(COUNTIF(INDEX(まとめ!$D$12:$D$41, MATCH(B35,まとめ!$B$12:$B$41, 0)),"*正社員*"),"保育士（正社員）","保育士（パート）"), 0),"")</f>
        <v/>
      </c>
      <c r="E35" s="28" t="str">
        <f>IF(B35="","",IF(B35=0,0,IF(I35&gt;=1,"常勤","非常勤")))</f>
        <v/>
      </c>
      <c r="F35" s="28" t="str">
        <f>IF(B35&lt;&gt;"",IF(B35&lt;&gt;0,
IFERROR(INDEX(まとめ!$F$12:$F$41,MATCH(B35,まとめ!$B$12:$B$41,0)),""), 0),"")</f>
        <v/>
      </c>
      <c r="G35" s="31" t="str">
        <f>IF(B35&lt;&gt;"",IF(B35&lt;&gt;0,
IF(IFERROR(INDEX(まとめ!$H$12:$H$41,MATCH(B35,まとめ!$B$12:$B$41,0)),"")&lt;&gt;"",まとめ!$F$9,""), 0),"")</f>
        <v/>
      </c>
      <c r="H35" s="33" t="str">
        <f>IF(G35&lt;&gt;"",IFERROR(VALUE(INDEX(まとめ!$I$12:$I$41,MATCH(B35,まとめ!$B$12:$B$41,0))),0),"")</f>
        <v/>
      </c>
      <c r="I35" s="25" t="str">
        <f>IF(B35&lt;&gt;"",IF(H35&gt;$D$5,1,ROUND(H35/$D$5,1)),"")</f>
        <v/>
      </c>
      <c r="J35" s="117" t="str">
        <f>IF(B35&lt;&gt;"",IF(B35&lt;&gt;0,
IFERROR(VALUE(INDEX(まとめ!$K$12:$K$41,MATCH(B35,まとめ!$B$12:$B$41,0))),""), 0),"")
&amp;IF(AND(H35&lt;&gt;0,I35=0),"0.01と備考欄にご記載ください","")</f>
        <v/>
      </c>
    </row>
    <row r="36" spans="1:14" ht="15" x14ac:dyDescent="0.2">
      <c r="A36" s="28" t="str">
        <f>IF(AND(B36&lt;&gt;0,B36&lt;&gt;""),A35+1,"")</f>
        <v/>
      </c>
      <c r="B36" s="48"/>
      <c r="C36" s="49" t="str">
        <f>IF(B36&lt;&gt;"",VLOOKUP(B36,まとめ!$B$12:$C$41,2,FALSE),"")</f>
        <v/>
      </c>
      <c r="D36" s="28" t="str">
        <f>IF(B36&lt;&gt;"",IF(B36&lt;&gt;0,
IF(COUNTIF(INDEX(まとめ!$D$12:$D$41, MATCH(B36,まとめ!$B$12:$B$41, 0)),"*正社員*"),"保育士（正社員）","保育士（パート）"), 0),"")</f>
        <v/>
      </c>
      <c r="E36" s="28" t="str">
        <f>IF(B36="","",IF(B36=0,0,IF(I36&gt;=1,"常勤","非常勤")))</f>
        <v/>
      </c>
      <c r="F36" s="28" t="str">
        <f>IF(B36&lt;&gt;"",IF(B36&lt;&gt;0,
IFERROR(INDEX(まとめ!$F$12:$F$41,MATCH(B36,まとめ!$B$12:$B$41,0)),""), 0),"")</f>
        <v/>
      </c>
      <c r="G36" s="31" t="str">
        <f>IF(B36&lt;&gt;"",IF(B36&lt;&gt;0,
IF(IFERROR(INDEX(まとめ!$H$12:$H$41,MATCH(B36,まとめ!$B$12:$B$41,0)),"")&lt;&gt;"",まとめ!$F$9,""), 0),"")</f>
        <v/>
      </c>
      <c r="H36" s="33" t="str">
        <f>IF(G36&lt;&gt;"",IFERROR(VALUE(INDEX(まとめ!$I$12:$I$41,MATCH(B36,まとめ!$B$12:$B$41,0))),0),"")</f>
        <v/>
      </c>
      <c r="I36" s="25" t="str">
        <f>IF(B36&lt;&gt;"",IF(H36&gt;$D$5,1,ROUND(H36/$D$5,1)),"")</f>
        <v/>
      </c>
      <c r="J36" s="117" t="str">
        <f>IF(B36&lt;&gt;"",IF(B36&lt;&gt;0,
IFERROR(VALUE(INDEX(まとめ!$K$12:$K$41,MATCH(B36,まとめ!$B$12:$B$41,0))),""), 0),"")
&amp;IF(AND(H36&lt;&gt;0,I36=0),"0.01と備考欄にご記載ください","")</f>
        <v/>
      </c>
    </row>
    <row r="37" spans="1:14" ht="15" x14ac:dyDescent="0.2">
      <c r="A37" s="29" t="str">
        <f>IF(AND(B37&lt;&gt;0,B37&lt;&gt;""),A36+1,"")</f>
        <v/>
      </c>
      <c r="B37" s="50"/>
      <c r="C37" s="51" t="str">
        <f>IF(B37&lt;&gt;"",VLOOKUP(B37,まとめ!$B$12:$C$41,2,FALSE),"")</f>
        <v/>
      </c>
      <c r="D37" s="29" t="str">
        <f>IF(B37&lt;&gt;"",IF(B37&lt;&gt;0,
IF(COUNTIF(INDEX(まとめ!$D$12:$D$41, MATCH(B37,まとめ!$B$12:$B$41, 0)),"*正社員*"),"保育士（正社員）","保育士（パート）"), 0),"")</f>
        <v/>
      </c>
      <c r="E37" s="29" t="str">
        <f>IF(B37="","",IF(B37=0,0,IF(I37&gt;=1,"常勤","非常勤")))</f>
        <v/>
      </c>
      <c r="F37" s="29" t="str">
        <f>IF(B37&lt;&gt;"",IF(B37&lt;&gt;0,
IFERROR(INDEX(まとめ!$F$12:$F$41,MATCH(B37,まとめ!$B$12:$B$41,0)),""), 0),"")</f>
        <v/>
      </c>
      <c r="G37" s="32" t="str">
        <f>IF(B37&lt;&gt;"",IF(B37&lt;&gt;0,
IF(IFERROR(INDEX(まとめ!$H$12:$H$41,MATCH(B37,まとめ!$B$12:$B$41,0)),"")&lt;&gt;"",まとめ!$F$9,""), 0),"")</f>
        <v/>
      </c>
      <c r="H37" s="36" t="str">
        <f>IF(G37&lt;&gt;"",IFERROR(VALUE(INDEX(まとめ!$I$12:$I$41,MATCH(B37,まとめ!$B$12:$B$41,0))),0),"")</f>
        <v/>
      </c>
      <c r="I37" s="26" t="str">
        <f>IF(B37&lt;&gt;"",IF(H37&gt;$D$5,1,ROUND(H37/$D$5,1)),"")</f>
        <v/>
      </c>
      <c r="J37" s="118" t="str">
        <f>IF(B37&lt;&gt;"",IF(B37&lt;&gt;0,
IFERROR(VALUE(INDEX(まとめ!$K$12:$K$41,MATCH(B37,まとめ!$B$12:$B$41,0))),""), 0),"")
&amp;IF(AND(H37&lt;&gt;0,I37=0),"0.01と備考欄にご記載ください","")</f>
        <v/>
      </c>
    </row>
    <row r="38" spans="1:14" ht="15" x14ac:dyDescent="0.2">
      <c r="A38" s="108"/>
      <c r="B38" s="112"/>
      <c r="C38" s="112"/>
      <c r="D38" s="108"/>
      <c r="E38" s="109"/>
      <c r="F38" s="109"/>
      <c r="G38" s="110"/>
      <c r="H38" s="111"/>
      <c r="I38" s="110"/>
      <c r="J38" s="112"/>
      <c r="K38" s="112"/>
      <c r="L38" s="112"/>
      <c r="M38" s="112"/>
      <c r="N38" s="112"/>
    </row>
    <row r="39" spans="1:14" ht="15" x14ac:dyDescent="0.2">
      <c r="A39" s="108"/>
      <c r="B39" s="112"/>
      <c r="C39" s="112"/>
      <c r="D39" s="108"/>
      <c r="E39" s="109"/>
      <c r="F39" s="109"/>
      <c r="G39" s="110"/>
      <c r="H39" s="111"/>
      <c r="I39" s="110"/>
      <c r="J39" s="112"/>
      <c r="K39" s="112"/>
      <c r="L39" s="112"/>
      <c r="M39" s="112"/>
      <c r="N39" s="112"/>
    </row>
    <row r="40" spans="1:14" ht="15" x14ac:dyDescent="0.2">
      <c r="A40" s="108"/>
      <c r="B40" s="112"/>
      <c r="C40" s="112"/>
      <c r="D40" s="108"/>
      <c r="E40" s="109"/>
      <c r="F40" s="109"/>
      <c r="G40" s="110"/>
      <c r="H40" s="111"/>
      <c r="I40" s="110"/>
      <c r="J40" s="112"/>
      <c r="K40" s="112"/>
      <c r="L40" s="112"/>
      <c r="M40" s="112"/>
      <c r="N40" s="112"/>
    </row>
    <row r="41" spans="1:14" ht="15" x14ac:dyDescent="0.2">
      <c r="A41" s="108"/>
      <c r="B41" s="112"/>
      <c r="C41" s="112"/>
      <c r="D41" s="108"/>
      <c r="E41" s="109"/>
      <c r="F41" s="109"/>
      <c r="G41" s="110"/>
      <c r="H41" s="111"/>
      <c r="I41" s="110"/>
      <c r="J41" s="112"/>
      <c r="K41" s="112"/>
      <c r="L41" s="112"/>
      <c r="M41" s="112"/>
      <c r="N41" s="112"/>
    </row>
    <row r="42" spans="1:14" ht="15" x14ac:dyDescent="0.2">
      <c r="A42" s="108"/>
      <c r="B42" s="112"/>
      <c r="C42" s="112"/>
      <c r="D42" s="108"/>
      <c r="E42" s="109"/>
      <c r="F42" s="109"/>
      <c r="G42" s="110"/>
      <c r="H42" s="111"/>
      <c r="I42" s="110"/>
      <c r="J42" s="112"/>
      <c r="K42" s="112"/>
      <c r="L42" s="112"/>
      <c r="M42" s="112"/>
      <c r="N42" s="112"/>
    </row>
    <row r="43" spans="1:14" ht="15" x14ac:dyDescent="0.2">
      <c r="A43" s="108"/>
      <c r="B43" s="112"/>
      <c r="C43" s="112"/>
      <c r="D43" s="108"/>
      <c r="E43" s="109"/>
      <c r="F43" s="109"/>
      <c r="G43" s="110"/>
      <c r="H43" s="111"/>
      <c r="I43" s="110"/>
      <c r="J43" s="112"/>
      <c r="K43" s="112"/>
      <c r="L43" s="112"/>
      <c r="M43" s="112"/>
      <c r="N43" s="112"/>
    </row>
    <row r="44" spans="1:14" ht="15" x14ac:dyDescent="0.2">
      <c r="A44" s="108"/>
      <c r="B44" s="112"/>
      <c r="C44" s="112"/>
      <c r="D44" s="108"/>
      <c r="E44" s="109"/>
      <c r="F44" s="109"/>
      <c r="G44" s="110"/>
      <c r="H44" s="111"/>
      <c r="I44" s="110"/>
      <c r="J44" s="112"/>
      <c r="K44" s="112"/>
      <c r="L44" s="112"/>
      <c r="M44" s="112"/>
      <c r="N44" s="112"/>
    </row>
    <row r="45" spans="1:14" ht="15" x14ac:dyDescent="0.2">
      <c r="A45" s="108"/>
      <c r="B45" s="112"/>
      <c r="C45" s="112"/>
      <c r="D45" s="108"/>
      <c r="E45" s="109"/>
      <c r="F45" s="109"/>
      <c r="G45" s="110"/>
      <c r="H45" s="111"/>
      <c r="I45" s="110"/>
      <c r="J45" s="112"/>
      <c r="K45" s="112"/>
      <c r="L45" s="112"/>
      <c r="M45" s="112"/>
      <c r="N45" s="112"/>
    </row>
    <row r="46" spans="1:14" ht="15" x14ac:dyDescent="0.2">
      <c r="A46" s="108"/>
      <c r="B46" s="112"/>
      <c r="C46" s="112"/>
      <c r="D46" s="108"/>
      <c r="E46" s="109"/>
      <c r="F46" s="109"/>
      <c r="G46" s="110"/>
      <c r="H46" s="111"/>
      <c r="I46" s="110"/>
      <c r="J46" s="112"/>
      <c r="K46" s="112"/>
      <c r="L46" s="112"/>
      <c r="M46" s="112"/>
      <c r="N46" s="112"/>
    </row>
    <row r="47" spans="1:14" ht="15" x14ac:dyDescent="0.2">
      <c r="A47" s="108"/>
      <c r="B47" s="112"/>
      <c r="C47" s="112"/>
      <c r="D47" s="108"/>
      <c r="E47" s="109"/>
      <c r="F47" s="109"/>
      <c r="G47" s="110"/>
      <c r="H47" s="111"/>
      <c r="I47" s="110"/>
      <c r="J47" s="112"/>
      <c r="K47" s="112"/>
      <c r="L47" s="112"/>
      <c r="M47" s="112"/>
      <c r="N47" s="112"/>
    </row>
    <row r="48" spans="1:14" ht="15" x14ac:dyDescent="0.2">
      <c r="A48" s="108"/>
      <c r="B48" s="112"/>
      <c r="C48" s="112"/>
      <c r="D48" s="108"/>
      <c r="E48" s="109"/>
      <c r="F48" s="109"/>
      <c r="G48" s="110"/>
      <c r="H48" s="111"/>
      <c r="I48" s="110"/>
      <c r="J48" s="112"/>
      <c r="K48" s="112"/>
      <c r="L48" s="112"/>
      <c r="M48" s="112"/>
      <c r="N48" s="112"/>
    </row>
    <row r="49" spans="1:14" ht="15" x14ac:dyDescent="0.2">
      <c r="A49" s="108"/>
      <c r="B49" s="112"/>
      <c r="C49" s="112"/>
      <c r="D49" s="108"/>
      <c r="E49" s="109"/>
      <c r="F49" s="109"/>
      <c r="G49" s="110"/>
      <c r="H49" s="111"/>
      <c r="I49" s="110"/>
      <c r="J49" s="112"/>
      <c r="K49" s="112"/>
      <c r="L49" s="112"/>
      <c r="M49" s="112"/>
      <c r="N49" s="112"/>
    </row>
    <row r="50" spans="1:14" ht="15" x14ac:dyDescent="0.2">
      <c r="A50" s="108"/>
      <c r="B50" s="112"/>
      <c r="C50" s="112"/>
      <c r="D50" s="108"/>
      <c r="E50" s="109"/>
      <c r="F50" s="109"/>
      <c r="G50" s="110"/>
      <c r="H50" s="111"/>
      <c r="I50" s="110"/>
      <c r="J50" s="112"/>
      <c r="K50" s="112"/>
      <c r="L50" s="112"/>
      <c r="M50" s="112"/>
      <c r="N50" s="112"/>
    </row>
    <row r="51" spans="1:14" ht="15" x14ac:dyDescent="0.2">
      <c r="A51" s="108"/>
      <c r="B51" s="112"/>
      <c r="C51" s="112"/>
      <c r="D51" s="108"/>
      <c r="E51" s="109"/>
      <c r="F51" s="109"/>
      <c r="G51" s="110"/>
      <c r="H51" s="111"/>
      <c r="I51" s="110"/>
      <c r="J51" s="112"/>
      <c r="K51" s="112"/>
      <c r="L51" s="112"/>
      <c r="M51" s="112"/>
      <c r="N51" s="112"/>
    </row>
    <row r="52" spans="1:14" ht="15" x14ac:dyDescent="0.2">
      <c r="A52" s="108"/>
      <c r="B52" s="112"/>
      <c r="C52" s="112"/>
      <c r="D52" s="108"/>
      <c r="E52" s="109"/>
      <c r="F52" s="109"/>
      <c r="G52" s="110"/>
      <c r="H52" s="111"/>
      <c r="I52" s="110"/>
      <c r="J52" s="112"/>
      <c r="K52" s="112"/>
      <c r="L52" s="112"/>
      <c r="M52" s="112"/>
      <c r="N52" s="112"/>
    </row>
    <row r="53" spans="1:14" ht="15" x14ac:dyDescent="0.2">
      <c r="A53" s="108"/>
      <c r="B53" s="112"/>
      <c r="C53" s="112"/>
      <c r="D53" s="108"/>
      <c r="E53" s="109"/>
      <c r="F53" s="109"/>
      <c r="G53" s="110"/>
      <c r="H53" s="111"/>
      <c r="I53" s="110"/>
      <c r="J53" s="112"/>
      <c r="K53" s="112"/>
      <c r="L53" s="112"/>
      <c r="M53" s="112"/>
      <c r="N53" s="112"/>
    </row>
    <row r="54" spans="1:14" ht="15" x14ac:dyDescent="0.2">
      <c r="A54" s="108"/>
      <c r="B54" s="112"/>
      <c r="C54" s="112"/>
      <c r="D54" s="108"/>
      <c r="E54" s="109"/>
      <c r="F54" s="109"/>
      <c r="G54" s="110"/>
      <c r="H54" s="111"/>
      <c r="I54" s="110"/>
      <c r="J54" s="112"/>
      <c r="K54" s="112"/>
      <c r="L54" s="112"/>
      <c r="M54" s="112"/>
      <c r="N54" s="112"/>
    </row>
    <row r="55" spans="1:14" ht="15" x14ac:dyDescent="0.2">
      <c r="A55" s="108"/>
      <c r="B55" s="112"/>
      <c r="C55" s="112"/>
      <c r="D55" s="108"/>
      <c r="E55" s="109"/>
      <c r="F55" s="109"/>
      <c r="G55" s="110"/>
      <c r="H55" s="111"/>
      <c r="I55" s="110"/>
      <c r="J55" s="112"/>
      <c r="K55" s="112"/>
      <c r="L55" s="112"/>
      <c r="M55" s="112"/>
      <c r="N55" s="112"/>
    </row>
    <row r="56" spans="1:14" ht="15" x14ac:dyDescent="0.2">
      <c r="A56" s="108"/>
      <c r="B56" s="112"/>
      <c r="C56" s="112"/>
      <c r="D56" s="108"/>
      <c r="E56" s="109"/>
      <c r="F56" s="109"/>
      <c r="G56" s="110"/>
      <c r="H56" s="111"/>
      <c r="I56" s="110"/>
      <c r="J56" s="112"/>
      <c r="K56" s="112"/>
      <c r="L56" s="112"/>
      <c r="M56" s="112"/>
      <c r="N56" s="112"/>
    </row>
    <row r="57" spans="1:14" ht="15" x14ac:dyDescent="0.2">
      <c r="A57" s="108"/>
      <c r="B57" s="112"/>
      <c r="C57" s="112"/>
      <c r="D57" s="108"/>
      <c r="E57" s="109"/>
      <c r="F57" s="109"/>
      <c r="G57" s="110"/>
      <c r="H57" s="111"/>
      <c r="I57" s="110"/>
      <c r="J57" s="112"/>
      <c r="K57" s="112"/>
      <c r="L57" s="112"/>
      <c r="M57" s="112"/>
      <c r="N57" s="112"/>
    </row>
    <row r="58" spans="1:14" ht="15" x14ac:dyDescent="0.2">
      <c r="A58" s="108"/>
      <c r="B58" s="112"/>
      <c r="C58" s="112"/>
      <c r="D58" s="108"/>
      <c r="E58" s="109"/>
      <c r="F58" s="109"/>
      <c r="G58" s="110"/>
      <c r="H58" s="111"/>
      <c r="I58" s="110"/>
      <c r="J58" s="112"/>
      <c r="K58" s="112"/>
      <c r="L58" s="112"/>
      <c r="M58" s="112"/>
      <c r="N58" s="112"/>
    </row>
    <row r="59" spans="1:14" x14ac:dyDescent="0.2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</row>
    <row r="60" spans="1:14" x14ac:dyDescent="0.2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</row>
    <row r="61" spans="1:14" x14ac:dyDescent="0.2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</row>
    <row r="62" spans="1:14" x14ac:dyDescent="0.2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</row>
    <row r="63" spans="1:14" x14ac:dyDescent="0.2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</row>
    <row r="64" spans="1:14" x14ac:dyDescent="0.2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</row>
    <row r="65" spans="1:14" x14ac:dyDescent="0.2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</row>
    <row r="66" spans="1:14" x14ac:dyDescent="0.2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</row>
    <row r="67" spans="1:14" x14ac:dyDescent="0.2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</row>
    <row r="68" spans="1:14" x14ac:dyDescent="0.2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</row>
    <row r="69" spans="1:14" x14ac:dyDescent="0.2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</row>
    <row r="70" spans="1:14" x14ac:dyDescent="0.2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</row>
    <row r="71" spans="1:14" x14ac:dyDescent="0.2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</row>
    <row r="72" spans="1:14" x14ac:dyDescent="0.2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</row>
    <row r="73" spans="1:14" x14ac:dyDescent="0.2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  <c r="L73" s="112"/>
      <c r="M73" s="112"/>
      <c r="N73" s="112"/>
    </row>
    <row r="74" spans="1:14" x14ac:dyDescent="0.2">
      <c r="A74" s="112"/>
      <c r="B74" s="112"/>
      <c r="C74" s="112"/>
      <c r="D74" s="112"/>
      <c r="E74" s="112"/>
      <c r="F74" s="112"/>
      <c r="G74" s="112"/>
      <c r="H74" s="112"/>
      <c r="I74" s="112"/>
      <c r="J74" s="112"/>
      <c r="K74" s="112"/>
      <c r="L74" s="112"/>
      <c r="M74" s="112"/>
      <c r="N74" s="112"/>
    </row>
    <row r="75" spans="1:14" x14ac:dyDescent="0.2">
      <c r="A75" s="112"/>
      <c r="B75" s="112"/>
      <c r="C75" s="112"/>
      <c r="D75" s="112"/>
      <c r="E75" s="112"/>
      <c r="F75" s="112"/>
      <c r="G75" s="112"/>
      <c r="H75" s="112"/>
      <c r="I75" s="112"/>
      <c r="J75" s="112"/>
      <c r="K75" s="112"/>
      <c r="L75" s="112"/>
      <c r="M75" s="112"/>
      <c r="N75" s="112"/>
    </row>
    <row r="76" spans="1:14" x14ac:dyDescent="0.2">
      <c r="A76" s="112"/>
      <c r="B76" s="112"/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</row>
    <row r="77" spans="1:14" x14ac:dyDescent="0.2">
      <c r="A77" s="112"/>
      <c r="B77" s="112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</row>
    <row r="78" spans="1:14" x14ac:dyDescent="0.2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</row>
    <row r="79" spans="1:14" x14ac:dyDescent="0.2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</row>
    <row r="80" spans="1:14" x14ac:dyDescent="0.2">
      <c r="A80" s="112"/>
      <c r="B80" s="112"/>
      <c r="C80" s="112"/>
      <c r="D80" s="112"/>
      <c r="E80" s="112"/>
      <c r="F80" s="112"/>
      <c r="G80" s="112"/>
      <c r="H80" s="112"/>
      <c r="I80" s="112"/>
      <c r="J80" s="112"/>
      <c r="K80" s="112"/>
      <c r="L80" s="112"/>
      <c r="M80" s="112"/>
      <c r="N80" s="112"/>
    </row>
    <row r="81" spans="1:14" x14ac:dyDescent="0.2">
      <c r="A81" s="112"/>
      <c r="B81" s="112"/>
      <c r="C81" s="112"/>
      <c r="D81" s="112"/>
      <c r="E81" s="112"/>
      <c r="F81" s="112"/>
      <c r="G81" s="112"/>
      <c r="H81" s="112"/>
      <c r="I81" s="112"/>
      <c r="J81" s="112"/>
      <c r="K81" s="112"/>
      <c r="L81" s="112"/>
      <c r="M81" s="112"/>
      <c r="N81" s="112"/>
    </row>
    <row r="82" spans="1:14" x14ac:dyDescent="0.2">
      <c r="A82" s="112"/>
      <c r="B82" s="112"/>
      <c r="C82" s="112"/>
      <c r="D82" s="112"/>
      <c r="E82" s="112"/>
      <c r="F82" s="112"/>
      <c r="G82" s="112"/>
      <c r="H82" s="112"/>
      <c r="I82" s="112"/>
      <c r="J82" s="112"/>
      <c r="K82" s="112"/>
      <c r="L82" s="112"/>
      <c r="M82" s="112"/>
      <c r="N82" s="112"/>
    </row>
    <row r="83" spans="1:14" x14ac:dyDescent="0.2">
      <c r="A83" s="112"/>
      <c r="B83" s="112"/>
      <c r="C83" s="112"/>
      <c r="D83" s="112"/>
      <c r="E83" s="112"/>
      <c r="F83" s="112"/>
      <c r="G83" s="112"/>
      <c r="H83" s="112"/>
      <c r="I83" s="112"/>
      <c r="J83" s="112"/>
      <c r="K83" s="112"/>
      <c r="L83" s="112"/>
      <c r="M83" s="112"/>
      <c r="N83" s="112"/>
    </row>
    <row r="84" spans="1:14" x14ac:dyDescent="0.2">
      <c r="A84" s="112"/>
      <c r="B84" s="112"/>
      <c r="C84" s="112"/>
      <c r="D84" s="112"/>
      <c r="E84" s="112"/>
      <c r="F84" s="112"/>
      <c r="G84" s="112"/>
      <c r="H84" s="112"/>
      <c r="I84" s="112"/>
      <c r="J84" s="112"/>
      <c r="K84" s="112"/>
      <c r="L84" s="112"/>
      <c r="M84" s="112"/>
      <c r="N84" s="112"/>
    </row>
    <row r="85" spans="1:14" x14ac:dyDescent="0.2">
      <c r="A85" s="112"/>
      <c r="B85" s="112"/>
      <c r="C85" s="112"/>
      <c r="D85" s="112"/>
      <c r="E85" s="112"/>
      <c r="F85" s="112"/>
      <c r="G85" s="112"/>
      <c r="H85" s="112"/>
      <c r="I85" s="112"/>
      <c r="J85" s="112"/>
      <c r="K85" s="112"/>
      <c r="L85" s="112"/>
      <c r="M85" s="112"/>
      <c r="N85" s="112"/>
    </row>
    <row r="86" spans="1:14" x14ac:dyDescent="0.2">
      <c r="A86" s="112"/>
      <c r="B86" s="112"/>
      <c r="C86" s="112"/>
      <c r="D86" s="112"/>
      <c r="E86" s="112"/>
      <c r="F86" s="112"/>
      <c r="G86" s="112"/>
      <c r="H86" s="112"/>
      <c r="I86" s="112"/>
      <c r="J86" s="112"/>
      <c r="K86" s="112"/>
      <c r="L86" s="112"/>
      <c r="M86" s="112"/>
      <c r="N86" s="112"/>
    </row>
    <row r="87" spans="1:14" x14ac:dyDescent="0.2">
      <c r="A87" s="112"/>
      <c r="B87" s="112"/>
      <c r="C87" s="112"/>
      <c r="D87" s="112"/>
      <c r="E87" s="112"/>
      <c r="F87" s="112"/>
      <c r="G87" s="112"/>
      <c r="H87" s="112"/>
      <c r="I87" s="112"/>
      <c r="J87" s="112"/>
      <c r="K87" s="112"/>
      <c r="L87" s="112"/>
      <c r="M87" s="112"/>
      <c r="N87" s="112"/>
    </row>
    <row r="88" spans="1:14" x14ac:dyDescent="0.2">
      <c r="A88" s="112"/>
      <c r="B88" s="112"/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</row>
    <row r="89" spans="1:14" x14ac:dyDescent="0.2">
      <c r="A89" s="112"/>
      <c r="B89" s="112"/>
      <c r="C89" s="112"/>
      <c r="D89" s="112"/>
      <c r="E89" s="112"/>
      <c r="F89" s="112"/>
      <c r="G89" s="112"/>
      <c r="H89" s="112"/>
      <c r="I89" s="112"/>
      <c r="J89" s="112"/>
      <c r="K89" s="112"/>
      <c r="L89" s="112"/>
      <c r="M89" s="112"/>
      <c r="N89" s="112"/>
    </row>
    <row r="90" spans="1:14" x14ac:dyDescent="0.2">
      <c r="A90" s="112"/>
      <c r="B90" s="112"/>
      <c r="C90" s="112"/>
      <c r="D90" s="112"/>
      <c r="E90" s="112"/>
      <c r="F90" s="112"/>
      <c r="G90" s="112"/>
      <c r="H90" s="112"/>
      <c r="I90" s="112"/>
      <c r="J90" s="112"/>
      <c r="K90" s="112"/>
      <c r="L90" s="112"/>
      <c r="M90" s="112"/>
      <c r="N90" s="112"/>
    </row>
    <row r="91" spans="1:14" x14ac:dyDescent="0.2">
      <c r="A91" s="112"/>
      <c r="B91" s="112"/>
      <c r="C91" s="112"/>
      <c r="D91" s="112"/>
      <c r="E91" s="112"/>
      <c r="F91" s="112"/>
      <c r="G91" s="112"/>
      <c r="H91" s="112"/>
      <c r="I91" s="112"/>
      <c r="J91" s="112"/>
      <c r="K91" s="112"/>
      <c r="L91" s="112"/>
      <c r="M91" s="112"/>
      <c r="N91" s="112"/>
    </row>
    <row r="92" spans="1:14" x14ac:dyDescent="0.2">
      <c r="A92" s="112"/>
      <c r="B92" s="112"/>
      <c r="C92" s="112"/>
      <c r="D92" s="112"/>
      <c r="E92" s="112"/>
      <c r="F92" s="112"/>
      <c r="G92" s="112"/>
      <c r="H92" s="112"/>
      <c r="I92" s="112"/>
      <c r="J92" s="112"/>
      <c r="K92" s="112"/>
      <c r="L92" s="112"/>
      <c r="M92" s="112"/>
      <c r="N92" s="112"/>
    </row>
    <row r="93" spans="1:14" x14ac:dyDescent="0.2">
      <c r="A93" s="112"/>
      <c r="B93" s="112"/>
      <c r="C93" s="112"/>
      <c r="D93" s="112"/>
      <c r="E93" s="112"/>
      <c r="F93" s="112"/>
      <c r="G93" s="112"/>
      <c r="H93" s="112"/>
      <c r="I93" s="112"/>
      <c r="J93" s="112"/>
      <c r="K93" s="112"/>
      <c r="L93" s="112"/>
      <c r="M93" s="112"/>
      <c r="N93" s="112"/>
    </row>
    <row r="94" spans="1:14" x14ac:dyDescent="0.2">
      <c r="A94" s="112"/>
      <c r="B94" s="112"/>
      <c r="C94" s="112"/>
      <c r="D94" s="112"/>
      <c r="E94" s="112"/>
      <c r="F94" s="112"/>
      <c r="G94" s="112"/>
      <c r="H94" s="112"/>
      <c r="I94" s="112"/>
      <c r="J94" s="112"/>
      <c r="K94" s="112"/>
      <c r="L94" s="112"/>
      <c r="M94" s="112"/>
      <c r="N94" s="112"/>
    </row>
    <row r="95" spans="1:14" x14ac:dyDescent="0.2">
      <c r="A95" s="112"/>
      <c r="B95" s="112"/>
      <c r="C95" s="112"/>
      <c r="D95" s="112"/>
      <c r="E95" s="112"/>
      <c r="F95" s="112"/>
      <c r="G95" s="112"/>
      <c r="H95" s="112"/>
      <c r="I95" s="112"/>
      <c r="J95" s="112"/>
      <c r="K95" s="112"/>
      <c r="L95" s="112"/>
      <c r="M95" s="112"/>
      <c r="N95" s="112"/>
    </row>
    <row r="96" spans="1:14" x14ac:dyDescent="0.2">
      <c r="A96" s="112"/>
      <c r="B96" s="112"/>
      <c r="C96" s="112"/>
      <c r="D96" s="112"/>
      <c r="E96" s="112"/>
      <c r="F96" s="112"/>
      <c r="G96" s="112"/>
      <c r="H96" s="112"/>
      <c r="I96" s="112"/>
      <c r="J96" s="112"/>
      <c r="K96" s="112"/>
      <c r="L96" s="112"/>
      <c r="M96" s="112"/>
      <c r="N96" s="112"/>
    </row>
    <row r="97" spans="1:14" x14ac:dyDescent="0.2">
      <c r="A97" s="112"/>
      <c r="B97" s="112"/>
      <c r="C97" s="112"/>
      <c r="D97" s="112"/>
      <c r="E97" s="112"/>
      <c r="F97" s="112"/>
      <c r="G97" s="112"/>
      <c r="H97" s="112"/>
      <c r="I97" s="112"/>
      <c r="J97" s="112"/>
      <c r="K97" s="112"/>
      <c r="L97" s="112"/>
      <c r="M97" s="112"/>
      <c r="N97" s="112"/>
    </row>
    <row r="98" spans="1:14" x14ac:dyDescent="0.2">
      <c r="A98" s="112"/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  <c r="N98" s="112"/>
    </row>
    <row r="99" spans="1:14" x14ac:dyDescent="0.2">
      <c r="A99" s="112"/>
      <c r="B99" s="112"/>
      <c r="C99" s="112"/>
      <c r="D99" s="112"/>
      <c r="E99" s="112"/>
      <c r="F99" s="112"/>
      <c r="G99" s="112"/>
      <c r="H99" s="112"/>
      <c r="I99" s="112"/>
      <c r="J99" s="112"/>
      <c r="K99" s="112"/>
      <c r="L99" s="112"/>
      <c r="M99" s="112"/>
      <c r="N99" s="112"/>
    </row>
    <row r="100" spans="1:14" x14ac:dyDescent="0.2">
      <c r="A100" s="112"/>
      <c r="B100" s="112"/>
      <c r="C100" s="112"/>
      <c r="D100" s="112"/>
      <c r="E100" s="112"/>
      <c r="F100" s="112"/>
      <c r="G100" s="112"/>
      <c r="H100" s="112"/>
      <c r="I100" s="112"/>
      <c r="J100" s="112"/>
      <c r="K100" s="112"/>
      <c r="L100" s="112"/>
      <c r="M100" s="112"/>
      <c r="N100" s="112"/>
    </row>
    <row r="101" spans="1:14" x14ac:dyDescent="0.2">
      <c r="A101" s="112"/>
      <c r="B101" s="112"/>
      <c r="C101" s="112"/>
      <c r="D101" s="112"/>
      <c r="E101" s="112"/>
      <c r="F101" s="112"/>
      <c r="G101" s="112"/>
      <c r="H101" s="112"/>
      <c r="I101" s="112"/>
      <c r="J101" s="112"/>
      <c r="K101" s="112"/>
      <c r="L101" s="112"/>
      <c r="M101" s="112"/>
      <c r="N101" s="112"/>
    </row>
    <row r="102" spans="1:14" x14ac:dyDescent="0.2">
      <c r="A102" s="112"/>
      <c r="B102" s="112"/>
      <c r="C102" s="112"/>
      <c r="D102" s="112"/>
      <c r="E102" s="112"/>
      <c r="F102" s="112"/>
      <c r="G102" s="112"/>
      <c r="H102" s="112"/>
      <c r="I102" s="112"/>
      <c r="J102" s="112"/>
      <c r="K102" s="112"/>
      <c r="L102" s="112"/>
      <c r="M102" s="112"/>
      <c r="N102" s="112"/>
    </row>
    <row r="103" spans="1:14" x14ac:dyDescent="0.2">
      <c r="A103" s="112"/>
      <c r="B103" s="112"/>
      <c r="C103" s="11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2"/>
      <c r="N103" s="112"/>
    </row>
    <row r="104" spans="1:14" x14ac:dyDescent="0.2">
      <c r="A104" s="112"/>
      <c r="B104" s="112"/>
      <c r="C104" s="112"/>
      <c r="D104" s="112"/>
      <c r="E104" s="112"/>
      <c r="F104" s="112"/>
      <c r="G104" s="112"/>
      <c r="H104" s="112"/>
      <c r="I104" s="112"/>
      <c r="J104" s="112"/>
      <c r="K104" s="112"/>
      <c r="L104" s="112"/>
      <c r="M104" s="112"/>
      <c r="N104" s="112"/>
    </row>
    <row r="105" spans="1:14" x14ac:dyDescent="0.2">
      <c r="A105" s="112"/>
      <c r="B105" s="112"/>
      <c r="C105" s="112"/>
      <c r="D105" s="112"/>
      <c r="E105" s="112"/>
      <c r="F105" s="112"/>
      <c r="G105" s="112"/>
      <c r="H105" s="112"/>
      <c r="I105" s="112"/>
      <c r="J105" s="112"/>
      <c r="K105" s="112"/>
      <c r="L105" s="112"/>
      <c r="M105" s="112"/>
      <c r="N105" s="112"/>
    </row>
    <row r="106" spans="1:14" x14ac:dyDescent="0.2">
      <c r="A106" s="112"/>
      <c r="B106" s="112"/>
      <c r="C106" s="112"/>
      <c r="D106" s="112"/>
      <c r="E106" s="112"/>
      <c r="F106" s="112"/>
      <c r="G106" s="112"/>
      <c r="H106" s="112"/>
      <c r="I106" s="112"/>
      <c r="J106" s="112"/>
      <c r="K106" s="112"/>
      <c r="L106" s="112"/>
      <c r="M106" s="112"/>
      <c r="N106" s="112"/>
    </row>
    <row r="107" spans="1:14" x14ac:dyDescent="0.2">
      <c r="A107" s="112"/>
      <c r="B107" s="112"/>
      <c r="C107" s="112"/>
      <c r="D107" s="112"/>
      <c r="E107" s="112"/>
      <c r="F107" s="112"/>
      <c r="G107" s="112"/>
      <c r="H107" s="112"/>
      <c r="I107" s="112"/>
      <c r="J107" s="112"/>
      <c r="K107" s="112"/>
      <c r="L107" s="112"/>
      <c r="M107" s="112"/>
      <c r="N107" s="112"/>
    </row>
    <row r="108" spans="1:14" x14ac:dyDescent="0.2">
      <c r="A108" s="112"/>
      <c r="B108" s="112"/>
      <c r="C108" s="112"/>
      <c r="D108" s="112"/>
      <c r="E108" s="112"/>
      <c r="F108" s="112"/>
      <c r="G108" s="112"/>
      <c r="H108" s="112"/>
      <c r="I108" s="112"/>
      <c r="J108" s="112"/>
      <c r="K108" s="112"/>
      <c r="L108" s="112"/>
      <c r="M108" s="112"/>
      <c r="N108" s="112"/>
    </row>
    <row r="109" spans="1:14" x14ac:dyDescent="0.2">
      <c r="A109" s="112"/>
      <c r="B109" s="112"/>
      <c r="C109" s="112"/>
      <c r="D109" s="112"/>
      <c r="E109" s="112"/>
      <c r="F109" s="112"/>
      <c r="G109" s="112"/>
      <c r="H109" s="112"/>
      <c r="I109" s="112"/>
      <c r="J109" s="112"/>
      <c r="K109" s="112"/>
      <c r="L109" s="112"/>
      <c r="M109" s="112"/>
      <c r="N109" s="112"/>
    </row>
    <row r="110" spans="1:14" x14ac:dyDescent="0.2">
      <c r="A110" s="112"/>
      <c r="B110" s="112"/>
      <c r="C110" s="112"/>
      <c r="D110" s="112"/>
      <c r="E110" s="112"/>
      <c r="F110" s="112"/>
      <c r="G110" s="112"/>
      <c r="H110" s="112"/>
      <c r="I110" s="112"/>
      <c r="J110" s="112"/>
      <c r="K110" s="112"/>
      <c r="L110" s="112"/>
      <c r="M110" s="112"/>
      <c r="N110" s="112"/>
    </row>
    <row r="111" spans="1:14" x14ac:dyDescent="0.2">
      <c r="A111" s="112"/>
      <c r="B111" s="112"/>
      <c r="C111" s="112"/>
      <c r="D111" s="112"/>
      <c r="E111" s="112"/>
      <c r="F111" s="112"/>
      <c r="G111" s="112"/>
      <c r="H111" s="112"/>
      <c r="I111" s="112"/>
      <c r="J111" s="112"/>
      <c r="K111" s="112"/>
      <c r="L111" s="112"/>
      <c r="M111" s="112"/>
      <c r="N111" s="112"/>
    </row>
    <row r="112" spans="1:14" x14ac:dyDescent="0.2">
      <c r="A112" s="112"/>
      <c r="B112" s="112"/>
      <c r="C112" s="112"/>
      <c r="D112" s="112"/>
      <c r="E112" s="112"/>
      <c r="F112" s="112"/>
      <c r="G112" s="112"/>
      <c r="H112" s="112"/>
      <c r="I112" s="112"/>
      <c r="J112" s="112"/>
      <c r="K112" s="112"/>
      <c r="L112" s="112"/>
      <c r="M112" s="112"/>
      <c r="N112" s="112"/>
    </row>
    <row r="113" spans="1:14" x14ac:dyDescent="0.2">
      <c r="A113" s="112"/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</row>
    <row r="114" spans="1:14" x14ac:dyDescent="0.2">
      <c r="A114" s="112"/>
      <c r="B114" s="112"/>
      <c r="C114" s="112"/>
      <c r="D114" s="112"/>
      <c r="E114" s="112"/>
      <c r="F114" s="112"/>
      <c r="G114" s="112"/>
      <c r="H114" s="112"/>
      <c r="I114" s="112"/>
      <c r="J114" s="112"/>
      <c r="K114" s="112"/>
      <c r="L114" s="112"/>
      <c r="M114" s="112"/>
      <c r="N114" s="112"/>
    </row>
    <row r="115" spans="1:14" x14ac:dyDescent="0.2">
      <c r="A115" s="112"/>
      <c r="B115" s="112"/>
      <c r="C115" s="112"/>
      <c r="D115" s="112"/>
      <c r="E115" s="112"/>
      <c r="F115" s="112"/>
      <c r="G115" s="112"/>
      <c r="H115" s="112"/>
      <c r="I115" s="112"/>
      <c r="J115" s="112"/>
      <c r="K115" s="112"/>
      <c r="L115" s="112"/>
      <c r="M115" s="112"/>
      <c r="N115" s="112"/>
    </row>
    <row r="116" spans="1:14" x14ac:dyDescent="0.2">
      <c r="A116" s="112"/>
      <c r="B116" s="112"/>
      <c r="C116" s="112"/>
      <c r="D116" s="112"/>
      <c r="E116" s="112"/>
      <c r="F116" s="112"/>
      <c r="G116" s="112"/>
      <c r="H116" s="112"/>
      <c r="I116" s="112"/>
      <c r="J116" s="112"/>
      <c r="K116" s="112"/>
      <c r="L116" s="112"/>
      <c r="M116" s="112"/>
      <c r="N116" s="112"/>
    </row>
    <row r="117" spans="1:14" x14ac:dyDescent="0.2">
      <c r="A117" s="112"/>
      <c r="B117" s="112"/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</row>
    <row r="118" spans="1:14" x14ac:dyDescent="0.2">
      <c r="A118" s="112"/>
      <c r="B118" s="112"/>
      <c r="C118" s="112"/>
      <c r="D118" s="112"/>
      <c r="E118" s="112"/>
      <c r="F118" s="112"/>
      <c r="G118" s="112"/>
      <c r="H118" s="112"/>
      <c r="I118" s="112"/>
      <c r="J118" s="112"/>
      <c r="K118" s="112"/>
      <c r="L118" s="112"/>
      <c r="M118" s="112"/>
      <c r="N118" s="112"/>
    </row>
    <row r="119" spans="1:14" x14ac:dyDescent="0.2">
      <c r="A119" s="112"/>
      <c r="B119" s="112"/>
      <c r="C119" s="112"/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</row>
    <row r="120" spans="1:14" x14ac:dyDescent="0.2">
      <c r="A120" s="112"/>
      <c r="B120" s="112"/>
      <c r="C120" s="112"/>
      <c r="D120" s="112"/>
      <c r="E120" s="112"/>
      <c r="F120" s="112"/>
      <c r="G120" s="112"/>
      <c r="H120" s="112"/>
      <c r="I120" s="112"/>
      <c r="J120" s="112"/>
      <c r="K120" s="112"/>
      <c r="L120" s="112"/>
      <c r="M120" s="112"/>
      <c r="N120" s="112"/>
    </row>
    <row r="121" spans="1:14" x14ac:dyDescent="0.2">
      <c r="A121" s="112"/>
      <c r="B121" s="112"/>
      <c r="C121" s="112"/>
      <c r="D121" s="112"/>
      <c r="E121" s="112"/>
      <c r="F121" s="112"/>
      <c r="G121" s="112"/>
      <c r="H121" s="112"/>
      <c r="I121" s="112"/>
      <c r="J121" s="112"/>
      <c r="K121" s="112"/>
      <c r="L121" s="112"/>
      <c r="M121" s="112"/>
      <c r="N121" s="112"/>
    </row>
    <row r="122" spans="1:14" x14ac:dyDescent="0.2">
      <c r="A122" s="112"/>
      <c r="B122" s="112"/>
      <c r="C122" s="112"/>
      <c r="D122" s="112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</row>
    <row r="123" spans="1:14" x14ac:dyDescent="0.2">
      <c r="A123" s="112"/>
      <c r="B123" s="112"/>
      <c r="C123" s="112"/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12"/>
    </row>
    <row r="124" spans="1:14" x14ac:dyDescent="0.2">
      <c r="A124" s="112"/>
      <c r="B124" s="112"/>
      <c r="C124" s="112"/>
      <c r="D124" s="112"/>
      <c r="E124" s="112"/>
      <c r="F124" s="112"/>
      <c r="G124" s="112"/>
      <c r="H124" s="112"/>
      <c r="I124" s="112"/>
      <c r="J124" s="112"/>
      <c r="K124" s="112"/>
      <c r="L124" s="112"/>
      <c r="M124" s="112"/>
      <c r="N124" s="112"/>
    </row>
    <row r="125" spans="1:14" x14ac:dyDescent="0.2">
      <c r="A125" s="112"/>
      <c r="B125" s="112"/>
      <c r="C125" s="112"/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12"/>
    </row>
    <row r="126" spans="1:14" x14ac:dyDescent="0.2">
      <c r="A126" s="112"/>
      <c r="B126" s="112"/>
      <c r="C126" s="112"/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</row>
    <row r="127" spans="1:14" x14ac:dyDescent="0.2">
      <c r="A127" s="112"/>
      <c r="B127" s="112"/>
      <c r="C127" s="112"/>
      <c r="D127" s="112"/>
      <c r="E127" s="112"/>
      <c r="F127" s="112"/>
      <c r="G127" s="112"/>
      <c r="H127" s="112"/>
      <c r="I127" s="112"/>
      <c r="J127" s="112"/>
      <c r="K127" s="112"/>
      <c r="L127" s="112"/>
      <c r="M127" s="112"/>
      <c r="N127" s="112"/>
    </row>
    <row r="128" spans="1:14" x14ac:dyDescent="0.2">
      <c r="A128" s="112"/>
      <c r="B128" s="112"/>
      <c r="C128" s="112"/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</row>
    <row r="129" spans="1:14" x14ac:dyDescent="0.2">
      <c r="A129" s="112"/>
      <c r="B129" s="112"/>
      <c r="C129" s="112"/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</row>
    <row r="130" spans="1:14" x14ac:dyDescent="0.2">
      <c r="A130" s="112"/>
      <c r="B130" s="112"/>
      <c r="C130" s="112"/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</row>
    <row r="131" spans="1:14" x14ac:dyDescent="0.2">
      <c r="A131" s="112"/>
      <c r="B131" s="112"/>
      <c r="C131" s="112"/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</row>
    <row r="132" spans="1:14" x14ac:dyDescent="0.2">
      <c r="A132" s="112"/>
      <c r="B132" s="112"/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</row>
    <row r="133" spans="1:14" x14ac:dyDescent="0.2">
      <c r="A133" s="112"/>
      <c r="B133" s="112"/>
      <c r="C133" s="112"/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</row>
    <row r="134" spans="1:14" x14ac:dyDescent="0.2">
      <c r="A134" s="112"/>
      <c r="B134" s="112"/>
      <c r="C134" s="112"/>
      <c r="D134" s="112"/>
      <c r="E134" s="112"/>
      <c r="F134" s="112"/>
      <c r="G134" s="112"/>
      <c r="H134" s="112"/>
      <c r="I134" s="112"/>
      <c r="J134" s="112"/>
      <c r="K134" s="112"/>
      <c r="L134" s="112"/>
      <c r="M134" s="112"/>
      <c r="N134" s="112"/>
    </row>
    <row r="135" spans="1:14" x14ac:dyDescent="0.2">
      <c r="A135" s="112"/>
      <c r="B135" s="112"/>
      <c r="C135" s="112"/>
      <c r="D135" s="112"/>
      <c r="E135" s="112"/>
      <c r="F135" s="112"/>
      <c r="G135" s="112"/>
      <c r="H135" s="112"/>
      <c r="I135" s="112"/>
      <c r="J135" s="112"/>
      <c r="K135" s="112"/>
      <c r="L135" s="112"/>
      <c r="M135" s="112"/>
      <c r="N135" s="112"/>
    </row>
    <row r="136" spans="1:14" x14ac:dyDescent="0.2">
      <c r="A136" s="112"/>
      <c r="B136" s="112"/>
      <c r="C136" s="112"/>
      <c r="D136" s="112"/>
      <c r="E136" s="112"/>
      <c r="F136" s="112"/>
      <c r="G136" s="112"/>
      <c r="H136" s="112"/>
      <c r="I136" s="112"/>
      <c r="J136" s="112"/>
      <c r="K136" s="112"/>
      <c r="L136" s="112"/>
      <c r="M136" s="112"/>
      <c r="N136" s="112"/>
    </row>
    <row r="137" spans="1:14" x14ac:dyDescent="0.2">
      <c r="A137" s="112"/>
      <c r="B137" s="112"/>
      <c r="C137" s="112"/>
      <c r="D137" s="112"/>
      <c r="E137" s="112"/>
      <c r="F137" s="112"/>
      <c r="G137" s="112"/>
      <c r="H137" s="112"/>
      <c r="I137" s="112"/>
      <c r="J137" s="112"/>
      <c r="K137" s="112"/>
      <c r="L137" s="112"/>
      <c r="M137" s="112"/>
      <c r="N137" s="112"/>
    </row>
    <row r="138" spans="1:14" x14ac:dyDescent="0.2">
      <c r="A138" s="112"/>
      <c r="B138" s="112"/>
      <c r="C138" s="112"/>
      <c r="D138" s="112"/>
      <c r="E138" s="112"/>
      <c r="F138" s="112"/>
      <c r="G138" s="112"/>
      <c r="H138" s="112"/>
      <c r="I138" s="112"/>
      <c r="J138" s="112"/>
      <c r="K138" s="112"/>
      <c r="L138" s="112"/>
      <c r="M138" s="112"/>
      <c r="N138" s="112"/>
    </row>
    <row r="139" spans="1:14" x14ac:dyDescent="0.2">
      <c r="A139" s="112"/>
      <c r="B139" s="112"/>
      <c r="C139" s="112"/>
      <c r="D139" s="112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</row>
    <row r="140" spans="1:14" x14ac:dyDescent="0.2">
      <c r="A140" s="112"/>
      <c r="B140" s="112"/>
      <c r="C140" s="112"/>
      <c r="D140" s="112"/>
      <c r="E140" s="112"/>
      <c r="F140" s="112"/>
      <c r="G140" s="112"/>
      <c r="H140" s="112"/>
      <c r="I140" s="112"/>
      <c r="J140" s="112"/>
      <c r="K140" s="112"/>
      <c r="L140" s="112"/>
      <c r="M140" s="112"/>
      <c r="N140" s="112"/>
    </row>
    <row r="141" spans="1:14" x14ac:dyDescent="0.2">
      <c r="A141" s="112"/>
      <c r="B141" s="112"/>
      <c r="C141" s="112"/>
      <c r="D141" s="112"/>
      <c r="E141" s="112"/>
      <c r="F141" s="112"/>
      <c r="G141" s="112"/>
      <c r="H141" s="112"/>
      <c r="I141" s="112"/>
      <c r="J141" s="112"/>
      <c r="K141" s="112"/>
      <c r="L141" s="112"/>
      <c r="M141" s="112"/>
      <c r="N141" s="112"/>
    </row>
    <row r="142" spans="1:14" x14ac:dyDescent="0.2">
      <c r="A142" s="112"/>
      <c r="B142" s="112"/>
      <c r="C142" s="112"/>
      <c r="D142" s="112"/>
      <c r="E142" s="112"/>
      <c r="F142" s="112"/>
      <c r="G142" s="112"/>
      <c r="H142" s="112"/>
      <c r="I142" s="112"/>
      <c r="J142" s="112"/>
      <c r="K142" s="112"/>
      <c r="L142" s="112"/>
      <c r="M142" s="112"/>
      <c r="N142" s="112"/>
    </row>
    <row r="143" spans="1:14" x14ac:dyDescent="0.2">
      <c r="A143" s="112"/>
      <c r="B143" s="112"/>
      <c r="C143" s="112"/>
      <c r="D143" s="112"/>
      <c r="E143" s="112"/>
      <c r="F143" s="112"/>
      <c r="G143" s="112"/>
      <c r="H143" s="112"/>
      <c r="I143" s="112"/>
      <c r="J143" s="112"/>
      <c r="K143" s="112"/>
      <c r="L143" s="112"/>
      <c r="M143" s="112"/>
      <c r="N143" s="112"/>
    </row>
    <row r="144" spans="1:14" x14ac:dyDescent="0.2">
      <c r="A144" s="112"/>
      <c r="B144" s="112"/>
      <c r="C144" s="112"/>
      <c r="D144" s="112"/>
      <c r="E144" s="112"/>
      <c r="F144" s="112"/>
      <c r="G144" s="112"/>
      <c r="H144" s="112"/>
      <c r="I144" s="112"/>
      <c r="J144" s="112"/>
      <c r="K144" s="112"/>
      <c r="L144" s="112"/>
      <c r="M144" s="112"/>
      <c r="N144" s="112"/>
    </row>
    <row r="145" spans="1:14" x14ac:dyDescent="0.2">
      <c r="A145" s="112"/>
      <c r="B145" s="112"/>
      <c r="C145" s="112"/>
      <c r="D145" s="112"/>
      <c r="E145" s="112"/>
      <c r="F145" s="112"/>
      <c r="G145" s="112"/>
      <c r="H145" s="112"/>
      <c r="I145" s="112"/>
      <c r="J145" s="112"/>
      <c r="K145" s="112"/>
      <c r="L145" s="112"/>
      <c r="M145" s="112"/>
      <c r="N145" s="112"/>
    </row>
    <row r="146" spans="1:14" x14ac:dyDescent="0.2">
      <c r="A146" s="112"/>
      <c r="B146" s="112"/>
      <c r="C146" s="112"/>
      <c r="D146" s="112"/>
      <c r="E146" s="112"/>
      <c r="F146" s="112"/>
      <c r="G146" s="112"/>
      <c r="H146" s="112"/>
      <c r="I146" s="112"/>
      <c r="J146" s="112"/>
      <c r="K146" s="112"/>
      <c r="L146" s="112"/>
      <c r="M146" s="112"/>
      <c r="N146" s="112"/>
    </row>
    <row r="147" spans="1:14" x14ac:dyDescent="0.2">
      <c r="A147" s="112"/>
      <c r="B147" s="112"/>
      <c r="C147" s="112"/>
      <c r="D147" s="112"/>
      <c r="E147" s="112"/>
      <c r="F147" s="112"/>
      <c r="G147" s="112"/>
      <c r="H147" s="112"/>
      <c r="I147" s="112"/>
      <c r="J147" s="112"/>
      <c r="K147" s="112"/>
      <c r="L147" s="112"/>
      <c r="M147" s="112"/>
      <c r="N147" s="112"/>
    </row>
    <row r="148" spans="1:14" x14ac:dyDescent="0.2">
      <c r="A148" s="112"/>
      <c r="B148" s="112"/>
      <c r="C148" s="112"/>
      <c r="D148" s="112"/>
      <c r="E148" s="112"/>
      <c r="F148" s="112"/>
      <c r="G148" s="112"/>
      <c r="H148" s="112"/>
      <c r="I148" s="112"/>
      <c r="J148" s="112"/>
      <c r="K148" s="112"/>
      <c r="L148" s="112"/>
      <c r="M148" s="112"/>
      <c r="N148" s="112"/>
    </row>
    <row r="149" spans="1:14" x14ac:dyDescent="0.2">
      <c r="A149" s="112"/>
      <c r="B149" s="112"/>
      <c r="C149" s="112"/>
      <c r="D149" s="112"/>
      <c r="E149" s="112"/>
      <c r="F149" s="112"/>
      <c r="G149" s="112"/>
      <c r="H149" s="112"/>
      <c r="I149" s="112"/>
      <c r="J149" s="112"/>
      <c r="K149" s="112"/>
      <c r="L149" s="112"/>
      <c r="M149" s="112"/>
      <c r="N149" s="112"/>
    </row>
    <row r="150" spans="1:14" x14ac:dyDescent="0.2">
      <c r="A150" s="112"/>
      <c r="B150" s="112"/>
      <c r="C150" s="112"/>
      <c r="D150" s="112"/>
      <c r="E150" s="112"/>
      <c r="F150" s="112"/>
      <c r="G150" s="112"/>
      <c r="H150" s="112"/>
      <c r="I150" s="112"/>
      <c r="J150" s="112"/>
      <c r="K150" s="112"/>
      <c r="L150" s="112"/>
      <c r="M150" s="112"/>
      <c r="N150" s="112"/>
    </row>
    <row r="151" spans="1:14" x14ac:dyDescent="0.2">
      <c r="A151" s="112"/>
      <c r="B151" s="112"/>
      <c r="C151" s="112"/>
      <c r="D151" s="112"/>
      <c r="E151" s="112"/>
      <c r="F151" s="112"/>
      <c r="G151" s="112"/>
      <c r="H151" s="112"/>
      <c r="I151" s="112"/>
      <c r="J151" s="112"/>
      <c r="K151" s="112"/>
      <c r="L151" s="112"/>
      <c r="M151" s="112"/>
      <c r="N151" s="112"/>
    </row>
    <row r="152" spans="1:14" x14ac:dyDescent="0.2">
      <c r="A152" s="112"/>
      <c r="B152" s="112"/>
      <c r="C152" s="112"/>
      <c r="D152" s="112"/>
      <c r="E152" s="112"/>
      <c r="F152" s="112"/>
      <c r="G152" s="112"/>
      <c r="H152" s="112"/>
      <c r="I152" s="112"/>
      <c r="J152" s="112"/>
      <c r="K152" s="112"/>
      <c r="L152" s="112"/>
      <c r="M152" s="112"/>
      <c r="N152" s="112"/>
    </row>
    <row r="153" spans="1:14" x14ac:dyDescent="0.2">
      <c r="A153" s="112"/>
      <c r="B153" s="112"/>
      <c r="C153" s="112"/>
      <c r="D153" s="112"/>
      <c r="E153" s="112"/>
      <c r="F153" s="112"/>
      <c r="G153" s="112"/>
      <c r="H153" s="112"/>
      <c r="I153" s="112"/>
      <c r="J153" s="112"/>
      <c r="K153" s="112"/>
      <c r="L153" s="112"/>
      <c r="M153" s="112"/>
      <c r="N153" s="112"/>
    </row>
    <row r="154" spans="1:14" x14ac:dyDescent="0.2">
      <c r="A154" s="112"/>
      <c r="B154" s="112"/>
      <c r="C154" s="112"/>
      <c r="D154" s="112"/>
      <c r="E154" s="112"/>
      <c r="F154" s="112"/>
      <c r="G154" s="112"/>
      <c r="H154" s="112"/>
      <c r="I154" s="112"/>
      <c r="J154" s="112"/>
      <c r="K154" s="112"/>
      <c r="L154" s="112"/>
      <c r="M154" s="112"/>
      <c r="N154" s="112"/>
    </row>
    <row r="155" spans="1:14" x14ac:dyDescent="0.2">
      <c r="A155" s="112"/>
      <c r="B155" s="112"/>
      <c r="C155" s="112"/>
      <c r="D155" s="112"/>
      <c r="E155" s="112"/>
      <c r="F155" s="112"/>
      <c r="G155" s="112"/>
      <c r="H155" s="112"/>
      <c r="I155" s="112"/>
      <c r="J155" s="112"/>
      <c r="K155" s="112"/>
      <c r="L155" s="112"/>
      <c r="M155" s="112"/>
      <c r="N155" s="112"/>
    </row>
    <row r="156" spans="1:14" x14ac:dyDescent="0.2">
      <c r="A156" s="112"/>
      <c r="B156" s="112"/>
      <c r="C156" s="112"/>
      <c r="D156" s="112"/>
      <c r="E156" s="112"/>
      <c r="F156" s="112"/>
      <c r="G156" s="112"/>
      <c r="H156" s="112"/>
      <c r="I156" s="112"/>
      <c r="J156" s="112"/>
      <c r="K156" s="112"/>
      <c r="L156" s="112"/>
      <c r="M156" s="112"/>
      <c r="N156" s="112"/>
    </row>
    <row r="157" spans="1:14" x14ac:dyDescent="0.2">
      <c r="A157" s="112"/>
      <c r="B157" s="112"/>
      <c r="C157" s="112"/>
      <c r="D157" s="112"/>
      <c r="E157" s="112"/>
      <c r="F157" s="112"/>
      <c r="G157" s="112"/>
      <c r="H157" s="112"/>
      <c r="I157" s="112"/>
      <c r="J157" s="112"/>
      <c r="K157" s="112"/>
      <c r="L157" s="112"/>
      <c r="M157" s="112"/>
      <c r="N157" s="112"/>
    </row>
    <row r="158" spans="1:14" x14ac:dyDescent="0.2">
      <c r="A158" s="112"/>
      <c r="B158" s="112"/>
      <c r="C158" s="112"/>
      <c r="D158" s="112"/>
      <c r="E158" s="112"/>
      <c r="F158" s="112"/>
      <c r="G158" s="112"/>
      <c r="H158" s="112"/>
      <c r="I158" s="112"/>
      <c r="J158" s="112"/>
      <c r="K158" s="112"/>
      <c r="L158" s="112"/>
      <c r="M158" s="112"/>
      <c r="N158" s="112"/>
    </row>
    <row r="159" spans="1:14" x14ac:dyDescent="0.2">
      <c r="A159" s="112"/>
      <c r="B159" s="112"/>
      <c r="C159" s="112"/>
      <c r="D159" s="112"/>
      <c r="E159" s="112"/>
      <c r="F159" s="112"/>
      <c r="G159" s="112"/>
      <c r="H159" s="112"/>
      <c r="I159" s="112"/>
      <c r="J159" s="112"/>
      <c r="K159" s="112"/>
      <c r="L159" s="112"/>
      <c r="M159" s="112"/>
      <c r="N159" s="112"/>
    </row>
    <row r="160" spans="1:14" x14ac:dyDescent="0.2">
      <c r="A160" s="112"/>
      <c r="B160" s="112"/>
      <c r="C160" s="112"/>
      <c r="D160" s="112"/>
      <c r="E160" s="112"/>
      <c r="F160" s="112"/>
      <c r="G160" s="112"/>
      <c r="H160" s="112"/>
      <c r="I160" s="112"/>
      <c r="J160" s="112"/>
      <c r="K160" s="112"/>
      <c r="L160" s="112"/>
      <c r="M160" s="112"/>
      <c r="N160" s="112"/>
    </row>
    <row r="161" spans="1:14" x14ac:dyDescent="0.2">
      <c r="A161" s="112"/>
      <c r="B161" s="112"/>
      <c r="C161" s="112"/>
      <c r="D161" s="112"/>
      <c r="E161" s="112"/>
      <c r="F161" s="112"/>
      <c r="G161" s="112"/>
      <c r="H161" s="112"/>
      <c r="I161" s="112"/>
      <c r="J161" s="112"/>
      <c r="K161" s="112"/>
      <c r="L161" s="112"/>
      <c r="M161" s="112"/>
      <c r="N161" s="112"/>
    </row>
    <row r="162" spans="1:14" x14ac:dyDescent="0.2">
      <c r="A162" s="112"/>
      <c r="B162" s="112"/>
      <c r="C162" s="112"/>
      <c r="D162" s="112"/>
      <c r="E162" s="112"/>
      <c r="F162" s="112"/>
      <c r="G162" s="112"/>
      <c r="H162" s="112"/>
      <c r="I162" s="112"/>
      <c r="J162" s="112"/>
      <c r="K162" s="112"/>
      <c r="L162" s="112"/>
      <c r="M162" s="112"/>
      <c r="N162" s="112"/>
    </row>
    <row r="163" spans="1:14" x14ac:dyDescent="0.2">
      <c r="A163" s="112"/>
      <c r="B163" s="112"/>
      <c r="C163" s="112"/>
      <c r="D163" s="112"/>
      <c r="E163" s="112"/>
      <c r="F163" s="112"/>
      <c r="G163" s="112"/>
      <c r="H163" s="112"/>
      <c r="I163" s="112"/>
      <c r="J163" s="112"/>
      <c r="K163" s="112"/>
      <c r="L163" s="112"/>
      <c r="M163" s="112"/>
      <c r="N163" s="112"/>
    </row>
    <row r="164" spans="1:14" x14ac:dyDescent="0.2">
      <c r="A164" s="112"/>
      <c r="B164" s="112"/>
      <c r="C164" s="112"/>
      <c r="D164" s="112"/>
      <c r="E164" s="112"/>
      <c r="F164" s="112"/>
      <c r="G164" s="112"/>
      <c r="H164" s="112"/>
      <c r="I164" s="112"/>
      <c r="J164" s="112"/>
      <c r="K164" s="112"/>
      <c r="L164" s="112"/>
      <c r="M164" s="112"/>
      <c r="N164" s="112"/>
    </row>
    <row r="165" spans="1:14" x14ac:dyDescent="0.2">
      <c r="A165" s="112"/>
      <c r="B165" s="112"/>
      <c r="C165" s="112"/>
      <c r="D165" s="112"/>
      <c r="E165" s="112"/>
      <c r="F165" s="112"/>
      <c r="G165" s="112"/>
      <c r="H165" s="112"/>
      <c r="I165" s="112"/>
      <c r="J165" s="112"/>
      <c r="K165" s="112"/>
      <c r="L165" s="112"/>
      <c r="M165" s="112"/>
      <c r="N165" s="112"/>
    </row>
    <row r="166" spans="1:14" x14ac:dyDescent="0.2">
      <c r="A166" s="112"/>
      <c r="B166" s="112"/>
      <c r="C166" s="112"/>
      <c r="D166" s="112"/>
      <c r="E166" s="112"/>
      <c r="F166" s="112"/>
      <c r="G166" s="112"/>
      <c r="H166" s="112"/>
      <c r="I166" s="112"/>
      <c r="J166" s="112"/>
      <c r="K166" s="112"/>
      <c r="L166" s="112"/>
      <c r="M166" s="112"/>
      <c r="N166" s="112"/>
    </row>
    <row r="167" spans="1:14" x14ac:dyDescent="0.2">
      <c r="A167" s="112"/>
      <c r="B167" s="112"/>
      <c r="C167" s="112"/>
      <c r="D167" s="112"/>
      <c r="E167" s="112"/>
      <c r="F167" s="112"/>
      <c r="G167" s="112"/>
      <c r="H167" s="112"/>
      <c r="I167" s="112"/>
      <c r="J167" s="112"/>
      <c r="K167" s="112"/>
      <c r="L167" s="112"/>
      <c r="M167" s="112"/>
      <c r="N167" s="112"/>
    </row>
    <row r="168" spans="1:14" x14ac:dyDescent="0.2">
      <c r="A168" s="112"/>
      <c r="B168" s="112"/>
      <c r="C168" s="112"/>
      <c r="D168" s="112"/>
      <c r="E168" s="112"/>
      <c r="F168" s="112"/>
      <c r="G168" s="112"/>
      <c r="H168" s="112"/>
      <c r="I168" s="112"/>
      <c r="J168" s="112"/>
      <c r="K168" s="112"/>
      <c r="L168" s="112"/>
      <c r="M168" s="112"/>
      <c r="N168" s="112"/>
    </row>
    <row r="169" spans="1:14" x14ac:dyDescent="0.2">
      <c r="A169" s="112"/>
      <c r="B169" s="112"/>
      <c r="C169" s="112"/>
      <c r="D169" s="112"/>
      <c r="E169" s="112"/>
      <c r="F169" s="112"/>
      <c r="G169" s="112"/>
      <c r="H169" s="112"/>
      <c r="I169" s="112"/>
      <c r="J169" s="112"/>
      <c r="K169" s="112"/>
      <c r="L169" s="112"/>
      <c r="M169" s="112"/>
      <c r="N169" s="112"/>
    </row>
    <row r="170" spans="1:14" x14ac:dyDescent="0.2">
      <c r="A170" s="112"/>
      <c r="B170" s="112"/>
      <c r="C170" s="112"/>
      <c r="D170" s="112"/>
      <c r="E170" s="112"/>
      <c r="F170" s="112"/>
      <c r="G170" s="112"/>
      <c r="H170" s="112"/>
      <c r="I170" s="112"/>
      <c r="J170" s="112"/>
      <c r="K170" s="112"/>
      <c r="L170" s="112"/>
      <c r="M170" s="112"/>
      <c r="N170" s="112"/>
    </row>
    <row r="171" spans="1:14" x14ac:dyDescent="0.2">
      <c r="A171" s="112"/>
      <c r="B171" s="112"/>
      <c r="C171" s="112"/>
      <c r="D171" s="112"/>
      <c r="E171" s="112"/>
      <c r="F171" s="112"/>
      <c r="G171" s="112"/>
      <c r="H171" s="112"/>
      <c r="I171" s="112"/>
      <c r="J171" s="112"/>
      <c r="K171" s="112"/>
      <c r="L171" s="112"/>
      <c r="M171" s="112"/>
      <c r="N171" s="112"/>
    </row>
    <row r="172" spans="1:14" x14ac:dyDescent="0.2">
      <c r="A172" s="112"/>
      <c r="B172" s="112"/>
      <c r="C172" s="112"/>
      <c r="D172" s="112"/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</row>
    <row r="173" spans="1:14" x14ac:dyDescent="0.2">
      <c r="A173" s="112"/>
      <c r="B173" s="112"/>
      <c r="C173" s="112"/>
      <c r="D173" s="112"/>
      <c r="E173" s="112"/>
      <c r="F173" s="112"/>
      <c r="G173" s="112"/>
      <c r="H173" s="112"/>
      <c r="I173" s="112"/>
      <c r="J173" s="112"/>
      <c r="K173" s="112"/>
      <c r="L173" s="112"/>
      <c r="M173" s="112"/>
      <c r="N173" s="112"/>
    </row>
    <row r="174" spans="1:14" x14ac:dyDescent="0.2">
      <c r="A174" s="112"/>
      <c r="B174" s="112"/>
      <c r="C174" s="112"/>
      <c r="D174" s="112"/>
      <c r="E174" s="112"/>
      <c r="F174" s="112"/>
      <c r="G174" s="112"/>
      <c r="H174" s="112"/>
      <c r="I174" s="112"/>
      <c r="J174" s="112"/>
      <c r="K174" s="112"/>
      <c r="L174" s="112"/>
      <c r="M174" s="112"/>
      <c r="N174" s="112"/>
    </row>
    <row r="175" spans="1:14" x14ac:dyDescent="0.2">
      <c r="A175" s="112"/>
      <c r="B175" s="112"/>
      <c r="C175" s="112"/>
      <c r="D175" s="112"/>
      <c r="E175" s="112"/>
      <c r="F175" s="112"/>
      <c r="G175" s="112"/>
      <c r="H175" s="112"/>
      <c r="I175" s="112"/>
      <c r="J175" s="112"/>
      <c r="K175" s="112"/>
      <c r="L175" s="112"/>
      <c r="M175" s="112"/>
      <c r="N175" s="112"/>
    </row>
    <row r="176" spans="1:14" x14ac:dyDescent="0.2">
      <c r="A176" s="112"/>
      <c r="B176" s="112"/>
      <c r="C176" s="112"/>
      <c r="D176" s="112"/>
      <c r="E176" s="112"/>
      <c r="F176" s="112"/>
      <c r="G176" s="112"/>
      <c r="H176" s="112"/>
      <c r="I176" s="112"/>
      <c r="J176" s="112"/>
      <c r="K176" s="112"/>
      <c r="L176" s="112"/>
      <c r="M176" s="112"/>
      <c r="N176" s="112"/>
    </row>
    <row r="177" spans="1:14" x14ac:dyDescent="0.2">
      <c r="A177" s="112"/>
      <c r="B177" s="112"/>
      <c r="C177" s="112"/>
      <c r="D177" s="112"/>
      <c r="E177" s="112"/>
      <c r="F177" s="112"/>
      <c r="G177" s="112"/>
      <c r="H177" s="112"/>
      <c r="I177" s="112"/>
      <c r="J177" s="112"/>
      <c r="K177" s="112"/>
      <c r="L177" s="112"/>
      <c r="M177" s="112"/>
      <c r="N177" s="112"/>
    </row>
    <row r="178" spans="1:14" x14ac:dyDescent="0.2">
      <c r="A178" s="112"/>
      <c r="B178" s="112"/>
      <c r="C178" s="112"/>
      <c r="D178" s="112"/>
      <c r="E178" s="112"/>
      <c r="F178" s="112"/>
      <c r="G178" s="112"/>
      <c r="H178" s="112"/>
      <c r="I178" s="112"/>
      <c r="J178" s="112"/>
      <c r="K178" s="112"/>
      <c r="L178" s="112"/>
      <c r="M178" s="112"/>
      <c r="N178" s="112"/>
    </row>
    <row r="179" spans="1:14" x14ac:dyDescent="0.2">
      <c r="A179" s="112"/>
      <c r="B179" s="112"/>
      <c r="C179" s="112"/>
      <c r="D179" s="112"/>
      <c r="E179" s="112"/>
      <c r="F179" s="112"/>
      <c r="G179" s="112"/>
      <c r="H179" s="112"/>
      <c r="I179" s="112"/>
      <c r="J179" s="112"/>
      <c r="K179" s="112"/>
      <c r="L179" s="112"/>
      <c r="M179" s="112"/>
      <c r="N179" s="112"/>
    </row>
    <row r="180" spans="1:14" x14ac:dyDescent="0.2">
      <c r="A180" s="112"/>
      <c r="B180" s="112"/>
      <c r="C180" s="112"/>
      <c r="D180" s="112"/>
      <c r="E180" s="112"/>
      <c r="F180" s="112"/>
      <c r="G180" s="112"/>
      <c r="H180" s="112"/>
      <c r="I180" s="112"/>
      <c r="J180" s="112"/>
      <c r="K180" s="112"/>
      <c r="L180" s="112"/>
      <c r="M180" s="112"/>
      <c r="N180" s="112"/>
    </row>
    <row r="181" spans="1:14" x14ac:dyDescent="0.2">
      <c r="A181" s="112"/>
      <c r="B181" s="112"/>
      <c r="C181" s="112"/>
      <c r="D181" s="112"/>
      <c r="E181" s="112"/>
      <c r="F181" s="112"/>
      <c r="G181" s="112"/>
      <c r="H181" s="112"/>
      <c r="I181" s="112"/>
      <c r="J181" s="112"/>
      <c r="K181" s="112"/>
      <c r="L181" s="112"/>
      <c r="M181" s="112"/>
      <c r="N181" s="112"/>
    </row>
    <row r="182" spans="1:14" x14ac:dyDescent="0.2">
      <c r="A182" s="112"/>
      <c r="B182" s="112"/>
      <c r="C182" s="112"/>
      <c r="D182" s="112"/>
      <c r="E182" s="112"/>
      <c r="F182" s="112"/>
      <c r="G182" s="112"/>
      <c r="H182" s="112"/>
      <c r="I182" s="112"/>
      <c r="J182" s="112"/>
      <c r="K182" s="112"/>
      <c r="L182" s="112"/>
      <c r="M182" s="112"/>
      <c r="N182" s="112"/>
    </row>
    <row r="183" spans="1:14" x14ac:dyDescent="0.2">
      <c r="A183" s="112"/>
      <c r="B183" s="112"/>
      <c r="C183" s="112"/>
      <c r="D183" s="112"/>
      <c r="E183" s="112"/>
      <c r="F183" s="112"/>
      <c r="G183" s="112"/>
      <c r="H183" s="112"/>
      <c r="I183" s="112"/>
      <c r="J183" s="112"/>
      <c r="K183" s="112"/>
      <c r="L183" s="112"/>
      <c r="M183" s="112"/>
      <c r="N183" s="112"/>
    </row>
    <row r="184" spans="1:14" x14ac:dyDescent="0.2">
      <c r="A184" s="112"/>
      <c r="B184" s="112"/>
      <c r="C184" s="112"/>
      <c r="D184" s="112"/>
      <c r="E184" s="112"/>
      <c r="F184" s="112"/>
      <c r="G184" s="112"/>
      <c r="H184" s="112"/>
      <c r="I184" s="112"/>
      <c r="J184" s="112"/>
      <c r="K184" s="112"/>
      <c r="L184" s="112"/>
      <c r="M184" s="112"/>
      <c r="N184" s="112"/>
    </row>
    <row r="185" spans="1:14" x14ac:dyDescent="0.2">
      <c r="A185" s="112"/>
      <c r="B185" s="112"/>
      <c r="C185" s="112"/>
      <c r="D185" s="112"/>
      <c r="E185" s="112"/>
      <c r="F185" s="112"/>
      <c r="G185" s="112"/>
      <c r="H185" s="112"/>
      <c r="I185" s="112"/>
      <c r="J185" s="112"/>
      <c r="K185" s="112"/>
      <c r="L185" s="112"/>
      <c r="M185" s="112"/>
      <c r="N185" s="112"/>
    </row>
    <row r="186" spans="1:14" x14ac:dyDescent="0.2">
      <c r="A186" s="112"/>
      <c r="B186" s="112"/>
      <c r="C186" s="112"/>
      <c r="D186" s="112"/>
      <c r="E186" s="112"/>
      <c r="F186" s="112"/>
      <c r="G186" s="112"/>
      <c r="H186" s="112"/>
      <c r="I186" s="112"/>
      <c r="J186" s="112"/>
      <c r="K186" s="112"/>
      <c r="L186" s="112"/>
      <c r="M186" s="112"/>
      <c r="N186" s="112"/>
    </row>
    <row r="187" spans="1:14" x14ac:dyDescent="0.2">
      <c r="A187" s="112"/>
      <c r="B187" s="112"/>
      <c r="C187" s="112"/>
      <c r="D187" s="112"/>
      <c r="E187" s="112"/>
      <c r="F187" s="112"/>
      <c r="G187" s="112"/>
      <c r="H187" s="112"/>
      <c r="I187" s="112"/>
      <c r="J187" s="112"/>
      <c r="K187" s="112"/>
      <c r="L187" s="112"/>
      <c r="M187" s="112"/>
      <c r="N187" s="112"/>
    </row>
    <row r="188" spans="1:14" x14ac:dyDescent="0.2">
      <c r="A188" s="112"/>
      <c r="B188" s="112"/>
      <c r="C188" s="112"/>
      <c r="D188" s="112"/>
      <c r="E188" s="112"/>
      <c r="F188" s="112"/>
      <c r="G188" s="112"/>
      <c r="H188" s="112"/>
      <c r="I188" s="112"/>
      <c r="J188" s="112"/>
      <c r="K188" s="112"/>
      <c r="L188" s="112"/>
      <c r="M188" s="112"/>
      <c r="N188" s="112"/>
    </row>
    <row r="189" spans="1:14" x14ac:dyDescent="0.2">
      <c r="A189" s="112"/>
      <c r="B189" s="112"/>
      <c r="C189" s="112"/>
      <c r="D189" s="112"/>
      <c r="E189" s="112"/>
      <c r="F189" s="112"/>
      <c r="G189" s="112"/>
      <c r="H189" s="112"/>
      <c r="I189" s="112"/>
      <c r="J189" s="112"/>
      <c r="K189" s="112"/>
      <c r="L189" s="112"/>
      <c r="M189" s="112"/>
      <c r="N189" s="112"/>
    </row>
    <row r="190" spans="1:14" x14ac:dyDescent="0.2">
      <c r="A190" s="112"/>
      <c r="B190" s="112"/>
      <c r="C190" s="112"/>
      <c r="D190" s="112"/>
      <c r="E190" s="112"/>
      <c r="F190" s="112"/>
      <c r="G190" s="112"/>
      <c r="H190" s="112"/>
      <c r="I190" s="112"/>
      <c r="J190" s="112"/>
      <c r="K190" s="112"/>
      <c r="L190" s="112"/>
      <c r="M190" s="112"/>
      <c r="N190" s="112"/>
    </row>
    <row r="191" spans="1:14" x14ac:dyDescent="0.2">
      <c r="A191" s="112"/>
      <c r="B191" s="112"/>
      <c r="C191" s="112"/>
      <c r="D191" s="112"/>
      <c r="E191" s="112"/>
      <c r="F191" s="112"/>
      <c r="G191" s="112"/>
      <c r="H191" s="112"/>
      <c r="I191" s="112"/>
      <c r="J191" s="112"/>
      <c r="K191" s="112"/>
      <c r="L191" s="112"/>
      <c r="M191" s="112"/>
      <c r="N191" s="112"/>
    </row>
    <row r="192" spans="1:14" x14ac:dyDescent="0.2">
      <c r="A192" s="112"/>
      <c r="B192" s="112"/>
      <c r="C192" s="112"/>
      <c r="D192" s="112"/>
      <c r="E192" s="112"/>
      <c r="F192" s="112"/>
      <c r="G192" s="112"/>
      <c r="H192" s="112"/>
      <c r="I192" s="112"/>
      <c r="J192" s="112"/>
      <c r="K192" s="112"/>
      <c r="L192" s="112"/>
      <c r="M192" s="112"/>
      <c r="N192" s="112"/>
    </row>
    <row r="193" spans="1:14" x14ac:dyDescent="0.2">
      <c r="A193" s="112"/>
      <c r="B193" s="112"/>
      <c r="C193" s="112"/>
      <c r="D193" s="112"/>
      <c r="E193" s="112"/>
      <c r="F193" s="112"/>
      <c r="G193" s="112"/>
      <c r="H193" s="112"/>
      <c r="I193" s="112"/>
      <c r="J193" s="112"/>
      <c r="K193" s="112"/>
      <c r="L193" s="112"/>
      <c r="M193" s="112"/>
      <c r="N193" s="112"/>
    </row>
    <row r="194" spans="1:14" x14ac:dyDescent="0.2">
      <c r="A194" s="112"/>
      <c r="B194" s="112"/>
      <c r="C194" s="112"/>
      <c r="D194" s="112"/>
      <c r="E194" s="112"/>
      <c r="F194" s="112"/>
      <c r="G194" s="112"/>
      <c r="H194" s="112"/>
      <c r="I194" s="112"/>
      <c r="J194" s="112"/>
      <c r="K194" s="112"/>
      <c r="L194" s="112"/>
      <c r="M194" s="112"/>
      <c r="N194" s="112"/>
    </row>
    <row r="195" spans="1:14" x14ac:dyDescent="0.2">
      <c r="A195" s="112"/>
      <c r="B195" s="112"/>
      <c r="C195" s="112"/>
      <c r="D195" s="112"/>
      <c r="E195" s="112"/>
      <c r="F195" s="112"/>
      <c r="G195" s="112"/>
      <c r="H195" s="112"/>
      <c r="I195" s="112"/>
      <c r="J195" s="112"/>
      <c r="K195" s="112"/>
      <c r="L195" s="112"/>
      <c r="M195" s="112"/>
      <c r="N195" s="112"/>
    </row>
    <row r="196" spans="1:14" x14ac:dyDescent="0.2">
      <c r="A196" s="112"/>
      <c r="B196" s="112"/>
      <c r="C196" s="112"/>
      <c r="D196" s="112"/>
      <c r="E196" s="112"/>
      <c r="F196" s="112"/>
      <c r="G196" s="112"/>
      <c r="H196" s="112"/>
      <c r="I196" s="112"/>
      <c r="J196" s="112"/>
      <c r="K196" s="112"/>
      <c r="L196" s="112"/>
      <c r="M196" s="112"/>
      <c r="N196" s="112"/>
    </row>
    <row r="197" spans="1:14" x14ac:dyDescent="0.2">
      <c r="A197" s="112"/>
      <c r="B197" s="112"/>
      <c r="C197" s="112"/>
      <c r="D197" s="112"/>
      <c r="E197" s="112"/>
      <c r="F197" s="112"/>
      <c r="G197" s="112"/>
      <c r="H197" s="112"/>
      <c r="I197" s="112"/>
      <c r="J197" s="112"/>
      <c r="K197" s="112"/>
      <c r="L197" s="112"/>
      <c r="M197" s="112"/>
      <c r="N197" s="112"/>
    </row>
    <row r="198" spans="1:14" x14ac:dyDescent="0.2">
      <c r="A198" s="112"/>
      <c r="B198" s="112"/>
      <c r="C198" s="112"/>
      <c r="D198" s="112"/>
      <c r="E198" s="112"/>
      <c r="F198" s="112"/>
      <c r="G198" s="112"/>
      <c r="H198" s="112"/>
      <c r="I198" s="112"/>
      <c r="J198" s="112"/>
      <c r="K198" s="112"/>
      <c r="L198" s="112"/>
      <c r="M198" s="112"/>
      <c r="N198" s="112"/>
    </row>
    <row r="199" spans="1:14" x14ac:dyDescent="0.2">
      <c r="A199" s="112"/>
      <c r="B199" s="112"/>
      <c r="C199" s="112"/>
      <c r="D199" s="112"/>
      <c r="E199" s="112"/>
      <c r="F199" s="112"/>
      <c r="G199" s="112"/>
      <c r="H199" s="112"/>
      <c r="I199" s="112"/>
      <c r="J199" s="112"/>
      <c r="K199" s="112"/>
      <c r="L199" s="112"/>
      <c r="M199" s="112"/>
      <c r="N199" s="112"/>
    </row>
    <row r="200" spans="1:14" x14ac:dyDescent="0.2">
      <c r="A200" s="112"/>
      <c r="B200" s="112"/>
      <c r="C200" s="112"/>
      <c r="D200" s="112"/>
      <c r="E200" s="112"/>
      <c r="F200" s="112"/>
      <c r="G200" s="112"/>
      <c r="H200" s="112"/>
      <c r="I200" s="112"/>
      <c r="J200" s="112"/>
      <c r="K200" s="112"/>
      <c r="L200" s="112"/>
      <c r="M200" s="112"/>
      <c r="N200" s="112"/>
    </row>
    <row r="201" spans="1:14" x14ac:dyDescent="0.2">
      <c r="A201" s="112"/>
      <c r="B201" s="112"/>
      <c r="C201" s="112"/>
      <c r="D201" s="112"/>
      <c r="E201" s="112"/>
      <c r="F201" s="112"/>
      <c r="G201" s="112"/>
      <c r="H201" s="112"/>
      <c r="I201" s="112"/>
      <c r="J201" s="112"/>
      <c r="K201" s="112"/>
      <c r="L201" s="112"/>
      <c r="M201" s="112"/>
      <c r="N201" s="112"/>
    </row>
    <row r="202" spans="1:14" x14ac:dyDescent="0.2">
      <c r="A202" s="112"/>
      <c r="B202" s="112"/>
      <c r="C202" s="112"/>
      <c r="D202" s="112"/>
      <c r="E202" s="112"/>
      <c r="F202" s="112"/>
      <c r="G202" s="112"/>
      <c r="H202" s="112"/>
      <c r="I202" s="112"/>
      <c r="J202" s="112"/>
      <c r="K202" s="112"/>
      <c r="L202" s="112"/>
      <c r="M202" s="112"/>
      <c r="N202" s="112"/>
    </row>
    <row r="203" spans="1:14" x14ac:dyDescent="0.2">
      <c r="A203" s="112"/>
      <c r="B203" s="112"/>
      <c r="C203" s="112"/>
      <c r="D203" s="112"/>
      <c r="E203" s="112"/>
      <c r="F203" s="112"/>
      <c r="G203" s="112"/>
      <c r="H203" s="112"/>
      <c r="I203" s="112"/>
      <c r="J203" s="112"/>
      <c r="K203" s="112"/>
      <c r="L203" s="112"/>
      <c r="M203" s="112"/>
      <c r="N203" s="112"/>
    </row>
    <row r="204" spans="1:14" x14ac:dyDescent="0.2">
      <c r="A204" s="112"/>
      <c r="B204" s="112"/>
      <c r="C204" s="112"/>
      <c r="D204" s="112"/>
      <c r="E204" s="112"/>
      <c r="F204" s="112"/>
      <c r="G204" s="112"/>
      <c r="H204" s="112"/>
      <c r="I204" s="112"/>
      <c r="J204" s="112"/>
      <c r="K204" s="112"/>
      <c r="L204" s="112"/>
      <c r="M204" s="112"/>
      <c r="N204" s="112"/>
    </row>
    <row r="205" spans="1:14" x14ac:dyDescent="0.2">
      <c r="A205" s="112"/>
      <c r="B205" s="112"/>
      <c r="C205" s="112"/>
      <c r="D205" s="112"/>
      <c r="E205" s="112"/>
      <c r="F205" s="112"/>
      <c r="G205" s="112"/>
      <c r="H205" s="112"/>
      <c r="I205" s="112"/>
      <c r="J205" s="112"/>
      <c r="K205" s="112"/>
      <c r="L205" s="112"/>
      <c r="M205" s="112"/>
      <c r="N205" s="112"/>
    </row>
    <row r="206" spans="1:14" x14ac:dyDescent="0.2">
      <c r="A206" s="112"/>
      <c r="B206" s="112"/>
      <c r="C206" s="112"/>
      <c r="D206" s="112"/>
      <c r="E206" s="112"/>
      <c r="F206" s="112"/>
      <c r="G206" s="112"/>
      <c r="H206" s="112"/>
      <c r="I206" s="112"/>
      <c r="J206" s="112"/>
      <c r="K206" s="112"/>
      <c r="L206" s="112"/>
      <c r="M206" s="112"/>
      <c r="N206" s="112"/>
    </row>
    <row r="207" spans="1:14" x14ac:dyDescent="0.2">
      <c r="A207" s="112"/>
      <c r="B207" s="112"/>
      <c r="C207" s="112"/>
      <c r="D207" s="112"/>
      <c r="E207" s="112"/>
      <c r="F207" s="112"/>
      <c r="G207" s="112"/>
      <c r="H207" s="112"/>
      <c r="I207" s="112"/>
      <c r="J207" s="112"/>
      <c r="K207" s="112"/>
      <c r="L207" s="112"/>
      <c r="M207" s="112"/>
      <c r="N207" s="112"/>
    </row>
    <row r="208" spans="1:14" x14ac:dyDescent="0.2">
      <c r="A208" s="112"/>
      <c r="B208" s="112"/>
      <c r="C208" s="112"/>
      <c r="D208" s="112"/>
      <c r="E208" s="112"/>
      <c r="F208" s="112"/>
      <c r="G208" s="112"/>
      <c r="H208" s="112"/>
      <c r="I208" s="112"/>
      <c r="J208" s="112"/>
      <c r="K208" s="112"/>
      <c r="L208" s="112"/>
      <c r="M208" s="112"/>
      <c r="N208" s="112"/>
    </row>
    <row r="209" spans="1:14" x14ac:dyDescent="0.2">
      <c r="A209" s="112"/>
      <c r="B209" s="112"/>
      <c r="C209" s="112"/>
      <c r="D209" s="112"/>
      <c r="E209" s="112"/>
      <c r="F209" s="112"/>
      <c r="G209" s="112"/>
      <c r="H209" s="112"/>
      <c r="I209" s="112"/>
      <c r="J209" s="112"/>
      <c r="K209" s="112"/>
      <c r="L209" s="112"/>
      <c r="M209" s="112"/>
      <c r="N209" s="112"/>
    </row>
    <row r="210" spans="1:14" x14ac:dyDescent="0.2">
      <c r="A210" s="112"/>
      <c r="B210" s="112"/>
      <c r="C210" s="112"/>
      <c r="D210" s="112"/>
      <c r="E210" s="112"/>
      <c r="F210" s="112"/>
      <c r="G210" s="112"/>
      <c r="H210" s="112"/>
      <c r="I210" s="112"/>
      <c r="J210" s="112"/>
      <c r="K210" s="112"/>
      <c r="L210" s="112"/>
      <c r="M210" s="112"/>
      <c r="N210" s="112"/>
    </row>
    <row r="211" spans="1:14" x14ac:dyDescent="0.2">
      <c r="A211" s="112"/>
      <c r="B211" s="112"/>
      <c r="C211" s="112"/>
      <c r="D211" s="112"/>
      <c r="E211" s="112"/>
      <c r="F211" s="112"/>
      <c r="G211" s="112"/>
      <c r="H211" s="112"/>
      <c r="I211" s="112"/>
      <c r="J211" s="112"/>
      <c r="K211" s="112"/>
      <c r="L211" s="112"/>
      <c r="M211" s="112"/>
      <c r="N211" s="112"/>
    </row>
    <row r="212" spans="1:14" x14ac:dyDescent="0.2">
      <c r="A212" s="112"/>
      <c r="B212" s="112"/>
      <c r="C212" s="112"/>
      <c r="D212" s="112"/>
      <c r="E212" s="112"/>
      <c r="F212" s="112"/>
      <c r="G212" s="112"/>
      <c r="H212" s="112"/>
      <c r="I212" s="112"/>
      <c r="J212" s="112"/>
      <c r="K212" s="112"/>
      <c r="L212" s="112"/>
      <c r="M212" s="112"/>
      <c r="N212" s="112"/>
    </row>
    <row r="213" spans="1:14" x14ac:dyDescent="0.2">
      <c r="A213" s="112"/>
      <c r="B213" s="112"/>
      <c r="C213" s="112"/>
      <c r="D213" s="112"/>
      <c r="E213" s="112"/>
      <c r="F213" s="112"/>
      <c r="G213" s="112"/>
      <c r="H213" s="112"/>
      <c r="I213" s="112"/>
      <c r="J213" s="112"/>
      <c r="K213" s="112"/>
      <c r="L213" s="112"/>
      <c r="M213" s="112"/>
      <c r="N213" s="112"/>
    </row>
    <row r="214" spans="1:14" x14ac:dyDescent="0.2">
      <c r="A214" s="112"/>
      <c r="B214" s="112"/>
      <c r="C214" s="112"/>
      <c r="D214" s="112"/>
      <c r="E214" s="112"/>
      <c r="F214" s="112"/>
      <c r="G214" s="112"/>
      <c r="H214" s="112"/>
      <c r="I214" s="112"/>
      <c r="J214" s="112"/>
      <c r="K214" s="112"/>
      <c r="L214" s="112"/>
      <c r="M214" s="112"/>
      <c r="N214" s="112"/>
    </row>
    <row r="215" spans="1:14" x14ac:dyDescent="0.2">
      <c r="A215" s="112"/>
      <c r="B215" s="112"/>
      <c r="C215" s="112"/>
      <c r="D215" s="112"/>
      <c r="E215" s="112"/>
      <c r="F215" s="112"/>
      <c r="G215" s="112"/>
      <c r="H215" s="112"/>
      <c r="I215" s="112"/>
      <c r="J215" s="112"/>
      <c r="K215" s="112"/>
      <c r="L215" s="112"/>
      <c r="M215" s="112"/>
      <c r="N215" s="112"/>
    </row>
    <row r="216" spans="1:14" x14ac:dyDescent="0.2">
      <c r="A216" s="112"/>
      <c r="B216" s="112"/>
      <c r="C216" s="112"/>
      <c r="D216" s="112"/>
      <c r="E216" s="112"/>
      <c r="F216" s="112"/>
      <c r="G216" s="112"/>
      <c r="H216" s="112"/>
      <c r="I216" s="112"/>
      <c r="J216" s="112"/>
      <c r="K216" s="112"/>
      <c r="L216" s="112"/>
      <c r="M216" s="112"/>
      <c r="N216" s="112"/>
    </row>
  </sheetData>
  <mergeCells count="6">
    <mergeCell ref="G7:H7"/>
    <mergeCell ref="B7:C7"/>
    <mergeCell ref="B4:C4"/>
    <mergeCell ref="B5:C5"/>
    <mergeCell ref="F3:H4"/>
    <mergeCell ref="F5:H5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306</v>
      </c>
      <c r="C2" s="89" t="s">
        <v>307</v>
      </c>
      <c r="D2" s="89"/>
      <c r="E2" s="89" t="s">
        <v>308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310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324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332</v>
      </c>
      <c r="D6" s="89" t="s">
        <v>170</v>
      </c>
      <c r="E6" s="89" t="s">
        <v>4</v>
      </c>
      <c r="F6" s="89" t="s">
        <v>21</v>
      </c>
      <c r="G6" s="89" t="s">
        <v>332</v>
      </c>
      <c r="H6" s="89" t="s">
        <v>21</v>
      </c>
      <c r="I6" s="89" t="s">
        <v>333</v>
      </c>
      <c r="J6" s="89" t="s">
        <v>264</v>
      </c>
      <c r="K6" s="89" t="s">
        <v>264</v>
      </c>
      <c r="L6" s="89" t="s">
        <v>92</v>
      </c>
      <c r="M6" s="89" t="s">
        <v>334</v>
      </c>
      <c r="N6" s="89" t="s">
        <v>335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 t="s">
        <v>331</v>
      </c>
      <c r="C7" s="89" t="s">
        <v>332</v>
      </c>
      <c r="D7" s="89" t="s">
        <v>53</v>
      </c>
      <c r="E7" s="89" t="s">
        <v>5</v>
      </c>
      <c r="F7" s="89" t="s">
        <v>22</v>
      </c>
      <c r="G7" s="89" t="s">
        <v>332</v>
      </c>
      <c r="H7" s="89" t="s">
        <v>22</v>
      </c>
      <c r="I7" s="89" t="s">
        <v>337</v>
      </c>
      <c r="J7" s="89" t="s">
        <v>338</v>
      </c>
      <c r="K7" s="89" t="s">
        <v>338</v>
      </c>
      <c r="L7" s="89" t="s">
        <v>339</v>
      </c>
      <c r="M7" s="89" t="s">
        <v>334</v>
      </c>
      <c r="N7" s="89" t="s">
        <v>340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 t="s">
        <v>331</v>
      </c>
      <c r="C8" s="89" t="s">
        <v>332</v>
      </c>
      <c r="D8" s="89" t="s">
        <v>170</v>
      </c>
      <c r="E8" s="89" t="s">
        <v>6</v>
      </c>
      <c r="F8" s="89" t="s">
        <v>23</v>
      </c>
      <c r="G8" s="89" t="s">
        <v>332</v>
      </c>
      <c r="H8" s="89" t="s">
        <v>23</v>
      </c>
      <c r="I8" s="89" t="s">
        <v>333</v>
      </c>
      <c r="J8" s="89" t="s">
        <v>264</v>
      </c>
      <c r="K8" s="89" t="s">
        <v>264</v>
      </c>
      <c r="L8" s="89" t="s">
        <v>342</v>
      </c>
      <c r="M8" s="89" t="s">
        <v>334</v>
      </c>
      <c r="N8" s="89" t="s">
        <v>343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 t="s">
        <v>331</v>
      </c>
      <c r="C9" s="89" t="s">
        <v>272</v>
      </c>
      <c r="D9" s="89" t="s">
        <v>130</v>
      </c>
      <c r="E9" s="89" t="s">
        <v>7</v>
      </c>
      <c r="F9" s="89" t="s">
        <v>24</v>
      </c>
      <c r="G9" s="89" t="s">
        <v>272</v>
      </c>
      <c r="H9" s="89" t="s">
        <v>24</v>
      </c>
      <c r="I9" s="89" t="s">
        <v>333</v>
      </c>
      <c r="J9" s="89" t="s">
        <v>264</v>
      </c>
      <c r="K9" s="89" t="s">
        <v>264</v>
      </c>
      <c r="L9" s="89" t="s">
        <v>277</v>
      </c>
      <c r="M9" s="89" t="s">
        <v>334</v>
      </c>
      <c r="N9" s="89" t="s">
        <v>340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 t="s">
        <v>331</v>
      </c>
      <c r="C10" s="89" t="s">
        <v>36</v>
      </c>
      <c r="D10" s="89" t="s">
        <v>269</v>
      </c>
      <c r="E10" s="89" t="s">
        <v>42</v>
      </c>
      <c r="F10" s="89" t="s">
        <v>35</v>
      </c>
      <c r="G10" s="89" t="s">
        <v>36</v>
      </c>
      <c r="H10" s="89" t="s">
        <v>35</v>
      </c>
      <c r="I10" s="89" t="s">
        <v>333</v>
      </c>
      <c r="J10" s="89" t="s">
        <v>272</v>
      </c>
      <c r="K10" s="89" t="s">
        <v>272</v>
      </c>
      <c r="L10" s="89" t="s">
        <v>17</v>
      </c>
      <c r="M10" s="89" t="s">
        <v>334</v>
      </c>
      <c r="N10" s="89" t="s">
        <v>346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</row>
    <row r="14" spans="1:17" x14ac:dyDescent="0.2">
      <c r="A14" s="89" t="s">
        <v>350</v>
      </c>
      <c r="B14" s="89" t="s">
        <v>331</v>
      </c>
      <c r="C14" s="89" t="s">
        <v>351</v>
      </c>
      <c r="D14" s="89" t="s">
        <v>35</v>
      </c>
      <c r="E14" s="89" t="s">
        <v>8</v>
      </c>
      <c r="F14" s="89" t="s">
        <v>25</v>
      </c>
      <c r="G14" s="89" t="s">
        <v>351</v>
      </c>
      <c r="H14" s="89" t="s">
        <v>25</v>
      </c>
      <c r="I14" s="89" t="s">
        <v>333</v>
      </c>
      <c r="J14" s="89" t="s">
        <v>264</v>
      </c>
      <c r="K14" s="89" t="s">
        <v>264</v>
      </c>
      <c r="L14" s="89" t="s">
        <v>111</v>
      </c>
      <c r="M14" s="89" t="s">
        <v>334</v>
      </c>
      <c r="N14" s="89" t="s">
        <v>352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272</v>
      </c>
      <c r="D15" s="89" t="s">
        <v>130</v>
      </c>
      <c r="E15" s="89" t="s">
        <v>9</v>
      </c>
      <c r="F15" s="89" t="s">
        <v>26</v>
      </c>
      <c r="G15" s="89" t="s">
        <v>272</v>
      </c>
      <c r="H15" s="89" t="s">
        <v>130</v>
      </c>
      <c r="I15" s="89" t="s">
        <v>333</v>
      </c>
      <c r="J15" s="89" t="s">
        <v>264</v>
      </c>
      <c r="K15" s="89" t="s">
        <v>264</v>
      </c>
      <c r="L15" s="89" t="s">
        <v>264</v>
      </c>
      <c r="M15" s="89" t="s">
        <v>334</v>
      </c>
      <c r="N15" s="89" t="s">
        <v>334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 t="s">
        <v>331</v>
      </c>
      <c r="C16" s="89" t="s">
        <v>332</v>
      </c>
      <c r="D16" s="89" t="s">
        <v>170</v>
      </c>
      <c r="E16" s="89" t="s">
        <v>10</v>
      </c>
      <c r="F16" s="89" t="s">
        <v>27</v>
      </c>
      <c r="G16" s="89" t="s">
        <v>332</v>
      </c>
      <c r="H16" s="89" t="s">
        <v>170</v>
      </c>
      <c r="I16" s="89" t="s">
        <v>333</v>
      </c>
      <c r="J16" s="89" t="s">
        <v>264</v>
      </c>
      <c r="K16" s="89" t="s">
        <v>264</v>
      </c>
      <c r="L16" s="89" t="s">
        <v>264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 t="s">
        <v>331</v>
      </c>
      <c r="C17" s="89" t="s">
        <v>36</v>
      </c>
      <c r="D17" s="89" t="s">
        <v>253</v>
      </c>
      <c r="E17" s="89" t="s">
        <v>11</v>
      </c>
      <c r="F17" s="89" t="s">
        <v>28</v>
      </c>
      <c r="G17" s="89" t="s">
        <v>36</v>
      </c>
      <c r="H17" s="89" t="s">
        <v>253</v>
      </c>
      <c r="I17" s="89" t="s">
        <v>333</v>
      </c>
      <c r="J17" s="89" t="s">
        <v>264</v>
      </c>
      <c r="K17" s="89" t="s">
        <v>264</v>
      </c>
      <c r="L17" s="89" t="s">
        <v>264</v>
      </c>
      <c r="M17" s="89" t="s">
        <v>334</v>
      </c>
      <c r="N17" s="89" t="s">
        <v>334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 t="s">
        <v>331</v>
      </c>
      <c r="C18" s="89" t="s">
        <v>332</v>
      </c>
      <c r="D18" s="89" t="s">
        <v>53</v>
      </c>
      <c r="E18" s="89" t="s">
        <v>12</v>
      </c>
      <c r="F18" s="89" t="s">
        <v>29</v>
      </c>
      <c r="G18" s="89" t="s">
        <v>332</v>
      </c>
      <c r="H18" s="89" t="s">
        <v>29</v>
      </c>
      <c r="I18" s="89" t="s">
        <v>337</v>
      </c>
      <c r="J18" s="89" t="s">
        <v>338</v>
      </c>
      <c r="K18" s="89" t="s">
        <v>338</v>
      </c>
      <c r="L18" s="89" t="s">
        <v>4</v>
      </c>
      <c r="M18" s="89" t="s">
        <v>334</v>
      </c>
      <c r="N18" s="89" t="s">
        <v>357</v>
      </c>
      <c r="O18" s="89" t="s">
        <v>334</v>
      </c>
      <c r="P18" s="89" t="s">
        <v>334</v>
      </c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</row>
    <row r="21" spans="1:17" x14ac:dyDescent="0.2">
      <c r="A21" s="89" t="s">
        <v>360</v>
      </c>
      <c r="B21" s="89"/>
      <c r="C21" s="89" t="s">
        <v>19</v>
      </c>
      <c r="D21" s="89" t="s">
        <v>230</v>
      </c>
      <c r="E21" s="89" t="s">
        <v>13</v>
      </c>
      <c r="F21" s="89" t="s">
        <v>30</v>
      </c>
      <c r="G21" s="89" t="s">
        <v>19</v>
      </c>
      <c r="H21" s="89" t="s">
        <v>30</v>
      </c>
      <c r="I21" s="89" t="s">
        <v>333</v>
      </c>
      <c r="J21" s="89" t="s">
        <v>264</v>
      </c>
      <c r="K21" s="89" t="s">
        <v>264</v>
      </c>
      <c r="L21" s="89" t="s">
        <v>118</v>
      </c>
      <c r="M21" s="89" t="s">
        <v>334</v>
      </c>
      <c r="N21" s="89" t="s">
        <v>361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 t="s">
        <v>331</v>
      </c>
      <c r="C22" s="89" t="s">
        <v>332</v>
      </c>
      <c r="D22" s="89" t="s">
        <v>132</v>
      </c>
      <c r="E22" s="89" t="s">
        <v>14</v>
      </c>
      <c r="F22" s="89" t="s">
        <v>31</v>
      </c>
      <c r="G22" s="89" t="s">
        <v>332</v>
      </c>
      <c r="H22" s="89" t="s">
        <v>31</v>
      </c>
      <c r="I22" s="89" t="s">
        <v>333</v>
      </c>
      <c r="J22" s="89" t="s">
        <v>36</v>
      </c>
      <c r="K22" s="89" t="s">
        <v>36</v>
      </c>
      <c r="L22" s="89" t="s">
        <v>363</v>
      </c>
      <c r="M22" s="89" t="s">
        <v>334</v>
      </c>
      <c r="N22" s="89" t="s">
        <v>364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 t="s">
        <v>331</v>
      </c>
      <c r="C23" s="89" t="s">
        <v>351</v>
      </c>
      <c r="D23" s="89" t="s">
        <v>35</v>
      </c>
      <c r="E23" s="89" t="s">
        <v>15</v>
      </c>
      <c r="F23" s="89" t="s">
        <v>32</v>
      </c>
      <c r="G23" s="89" t="s">
        <v>351</v>
      </c>
      <c r="H23" s="89" t="s">
        <v>32</v>
      </c>
      <c r="I23" s="89" t="s">
        <v>333</v>
      </c>
      <c r="J23" s="89" t="s">
        <v>264</v>
      </c>
      <c r="K23" s="89" t="s">
        <v>264</v>
      </c>
      <c r="L23" s="89" t="s">
        <v>366</v>
      </c>
      <c r="M23" s="89" t="s">
        <v>334</v>
      </c>
      <c r="N23" s="89" t="s">
        <v>367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 t="s">
        <v>331</v>
      </c>
      <c r="C24" s="89" t="s">
        <v>272</v>
      </c>
      <c r="D24" s="89" t="s">
        <v>230</v>
      </c>
      <c r="E24" s="89" t="s">
        <v>9</v>
      </c>
      <c r="F24" s="89" t="s">
        <v>33</v>
      </c>
      <c r="G24" s="89" t="s">
        <v>272</v>
      </c>
      <c r="H24" s="89" t="s">
        <v>33</v>
      </c>
      <c r="I24" s="89" t="s">
        <v>333</v>
      </c>
      <c r="J24" s="89" t="s">
        <v>272</v>
      </c>
      <c r="K24" s="89" t="s">
        <v>272</v>
      </c>
      <c r="L24" s="89" t="s">
        <v>13</v>
      </c>
      <c r="M24" s="89" t="s">
        <v>334</v>
      </c>
      <c r="N24" s="89" t="s">
        <v>369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 t="s">
        <v>331</v>
      </c>
      <c r="C25" s="89" t="s">
        <v>332</v>
      </c>
      <c r="D25" s="89" t="s">
        <v>53</v>
      </c>
      <c r="E25" s="89" t="s">
        <v>16</v>
      </c>
      <c r="F25" s="89" t="s">
        <v>34</v>
      </c>
      <c r="G25" s="89" t="s">
        <v>332</v>
      </c>
      <c r="H25" s="89" t="s">
        <v>34</v>
      </c>
      <c r="I25" s="89" t="s">
        <v>337</v>
      </c>
      <c r="J25" s="89" t="s">
        <v>338</v>
      </c>
      <c r="K25" s="89" t="s">
        <v>338</v>
      </c>
      <c r="L25" s="89" t="s">
        <v>371</v>
      </c>
      <c r="M25" s="89" t="s">
        <v>334</v>
      </c>
      <c r="N25" s="89" t="s">
        <v>372</v>
      </c>
      <c r="O25" s="89" t="s">
        <v>334</v>
      </c>
      <c r="P25" s="89" t="s">
        <v>334</v>
      </c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17</v>
      </c>
      <c r="D27" s="89" t="s">
        <v>35</v>
      </c>
      <c r="E27" s="89" t="s">
        <v>17</v>
      </c>
      <c r="F27" s="89" t="s">
        <v>35</v>
      </c>
      <c r="G27" s="89" t="s">
        <v>17</v>
      </c>
      <c r="H27" s="89" t="s">
        <v>35</v>
      </c>
      <c r="I27" s="89" t="s">
        <v>333</v>
      </c>
      <c r="J27" s="89" t="s">
        <v>36</v>
      </c>
      <c r="K27" s="89" t="s">
        <v>36</v>
      </c>
      <c r="L27" s="89" t="s">
        <v>36</v>
      </c>
      <c r="M27" s="89" t="s">
        <v>334</v>
      </c>
      <c r="N27" s="89" t="s">
        <v>334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332</v>
      </c>
      <c r="D28" s="89" t="s">
        <v>269</v>
      </c>
      <c r="E28" s="89" t="s">
        <v>18</v>
      </c>
      <c r="F28" s="89" t="s">
        <v>43</v>
      </c>
      <c r="G28" s="89" t="s">
        <v>332</v>
      </c>
      <c r="H28" s="89" t="s">
        <v>43</v>
      </c>
      <c r="I28" s="89" t="s">
        <v>333</v>
      </c>
      <c r="J28" s="89" t="s">
        <v>17</v>
      </c>
      <c r="K28" s="89" t="s">
        <v>17</v>
      </c>
      <c r="L28" s="89" t="s">
        <v>376</v>
      </c>
      <c r="M28" s="89" t="s">
        <v>334</v>
      </c>
      <c r="N28" s="89" t="s">
        <v>377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 t="s">
        <v>331</v>
      </c>
      <c r="C29" s="89" t="s">
        <v>332</v>
      </c>
      <c r="D29" s="89" t="s">
        <v>230</v>
      </c>
      <c r="E29" s="89" t="s">
        <v>6</v>
      </c>
      <c r="F29" s="89" t="s">
        <v>37</v>
      </c>
      <c r="G29" s="89" t="s">
        <v>332</v>
      </c>
      <c r="H29" s="89" t="s">
        <v>230</v>
      </c>
      <c r="I29" s="89" t="s">
        <v>333</v>
      </c>
      <c r="J29" s="89" t="s">
        <v>119</v>
      </c>
      <c r="K29" s="89" t="s">
        <v>119</v>
      </c>
      <c r="L29" s="89" t="s">
        <v>119</v>
      </c>
      <c r="M29" s="89" t="s">
        <v>334</v>
      </c>
      <c r="N29" s="89" t="s">
        <v>334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 t="s">
        <v>331</v>
      </c>
      <c r="C30" s="89" t="s">
        <v>19</v>
      </c>
      <c r="D30" s="89" t="s">
        <v>230</v>
      </c>
      <c r="E30" s="89" t="s">
        <v>19</v>
      </c>
      <c r="F30" s="89" t="s">
        <v>38</v>
      </c>
      <c r="G30" s="89" t="s">
        <v>19</v>
      </c>
      <c r="H30" s="89" t="s">
        <v>230</v>
      </c>
      <c r="I30" s="89" t="s">
        <v>333</v>
      </c>
      <c r="J30" s="89" t="s">
        <v>264</v>
      </c>
      <c r="K30" s="89" t="s">
        <v>264</v>
      </c>
      <c r="L30" s="89" t="s">
        <v>264</v>
      </c>
      <c r="M30" s="89" t="s">
        <v>334</v>
      </c>
      <c r="N30" s="89" t="s">
        <v>334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 t="s">
        <v>331</v>
      </c>
      <c r="C31" s="89" t="s">
        <v>351</v>
      </c>
      <c r="D31" s="89" t="s">
        <v>35</v>
      </c>
      <c r="E31" s="89" t="s">
        <v>20</v>
      </c>
      <c r="F31" s="89" t="s">
        <v>39</v>
      </c>
      <c r="G31" s="89" t="s">
        <v>351</v>
      </c>
      <c r="H31" s="89" t="s">
        <v>39</v>
      </c>
      <c r="I31" s="89" t="s">
        <v>333</v>
      </c>
      <c r="J31" s="89" t="s">
        <v>264</v>
      </c>
      <c r="K31" s="89" t="s">
        <v>264</v>
      </c>
      <c r="L31" s="89" t="s">
        <v>252</v>
      </c>
      <c r="M31" s="89" t="s">
        <v>334</v>
      </c>
      <c r="N31" s="89" t="s">
        <v>346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 t="s">
        <v>331</v>
      </c>
      <c r="C34" s="89" t="s">
        <v>351</v>
      </c>
      <c r="D34" s="89" t="s">
        <v>35</v>
      </c>
      <c r="E34" s="89" t="s">
        <v>8</v>
      </c>
      <c r="F34" s="89" t="s">
        <v>40</v>
      </c>
      <c r="G34" s="89" t="s">
        <v>351</v>
      </c>
      <c r="H34" s="89" t="s">
        <v>40</v>
      </c>
      <c r="I34" s="89" t="s">
        <v>333</v>
      </c>
      <c r="J34" s="89" t="s">
        <v>264</v>
      </c>
      <c r="K34" s="89" t="s">
        <v>264</v>
      </c>
      <c r="L34" s="89" t="s">
        <v>384</v>
      </c>
      <c r="M34" s="89" t="s">
        <v>334</v>
      </c>
      <c r="N34" s="89" t="s">
        <v>385</v>
      </c>
      <c r="O34" s="89" t="s">
        <v>334</v>
      </c>
      <c r="P34" s="89" t="s">
        <v>334</v>
      </c>
      <c r="Q34" s="89"/>
    </row>
    <row r="35" spans="1:17" x14ac:dyDescent="0.2">
      <c r="A35" s="89" t="s">
        <v>386</v>
      </c>
      <c r="B35" s="89" t="s">
        <v>331</v>
      </c>
      <c r="C35" s="89" t="s">
        <v>332</v>
      </c>
      <c r="D35" s="89" t="s">
        <v>53</v>
      </c>
      <c r="E35" s="89" t="s">
        <v>10</v>
      </c>
      <c r="F35" s="89" t="s">
        <v>41</v>
      </c>
      <c r="G35" s="89" t="s">
        <v>332</v>
      </c>
      <c r="H35" s="89" t="s">
        <v>41</v>
      </c>
      <c r="I35" s="89" t="s">
        <v>337</v>
      </c>
      <c r="J35" s="89" t="s">
        <v>338</v>
      </c>
      <c r="K35" s="89" t="s">
        <v>338</v>
      </c>
      <c r="L35" s="89" t="s">
        <v>387</v>
      </c>
      <c r="M35" s="89" t="s">
        <v>334</v>
      </c>
      <c r="N35" s="89" t="s">
        <v>388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400</v>
      </c>
      <c r="B40" s="89" t="s">
        <v>400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408</v>
      </c>
      <c r="H44" s="89" t="s">
        <v>409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410</v>
      </c>
      <c r="B45" s="89" t="s">
        <v>411</v>
      </c>
      <c r="C45" s="89" t="s">
        <v>412</v>
      </c>
      <c r="D45" s="89" t="s">
        <v>334</v>
      </c>
      <c r="E45" s="89"/>
      <c r="F45" s="89" t="s">
        <v>413</v>
      </c>
      <c r="G45" s="89" t="s">
        <v>413</v>
      </c>
      <c r="H45" s="89" t="s">
        <v>272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412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414</v>
      </c>
      <c r="C2" s="89" t="s">
        <v>415</v>
      </c>
      <c r="D2" s="89" t="s">
        <v>416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417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</row>
    <row r="7" spans="1:17" x14ac:dyDescent="0.2">
      <c r="A7" s="89" t="s">
        <v>336</v>
      </c>
      <c r="B7" s="89" t="s">
        <v>331</v>
      </c>
      <c r="C7" s="89" t="s">
        <v>274</v>
      </c>
      <c r="D7" s="89" t="s">
        <v>228</v>
      </c>
      <c r="E7" s="89" t="s">
        <v>200</v>
      </c>
      <c r="F7" s="89" t="s">
        <v>211</v>
      </c>
      <c r="G7" s="89" t="s">
        <v>274</v>
      </c>
      <c r="H7" s="89" t="s">
        <v>228</v>
      </c>
      <c r="I7" s="89" t="s">
        <v>333</v>
      </c>
      <c r="J7" s="89" t="s">
        <v>119</v>
      </c>
      <c r="K7" s="89" t="s">
        <v>264</v>
      </c>
      <c r="L7" s="89" t="s">
        <v>119</v>
      </c>
      <c r="M7" s="89" t="s">
        <v>334</v>
      </c>
      <c r="N7" s="89" t="s">
        <v>419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 t="s">
        <v>331</v>
      </c>
      <c r="C8" s="89" t="s">
        <v>264</v>
      </c>
      <c r="D8" s="89" t="s">
        <v>228</v>
      </c>
      <c r="E8" s="89" t="s">
        <v>201</v>
      </c>
      <c r="F8" s="89" t="s">
        <v>212</v>
      </c>
      <c r="G8" s="89" t="s">
        <v>264</v>
      </c>
      <c r="H8" s="89" t="s">
        <v>228</v>
      </c>
      <c r="I8" s="89" t="s">
        <v>333</v>
      </c>
      <c r="J8" s="89" t="s">
        <v>17</v>
      </c>
      <c r="K8" s="89" t="s">
        <v>264</v>
      </c>
      <c r="L8" s="89" t="s">
        <v>17</v>
      </c>
      <c r="M8" s="89" t="s">
        <v>334</v>
      </c>
      <c r="N8" s="89" t="s">
        <v>420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</row>
    <row r="10" spans="1:17" x14ac:dyDescent="0.2">
      <c r="A10" s="89" t="s">
        <v>345</v>
      </c>
      <c r="B10" s="89" t="s">
        <v>331</v>
      </c>
      <c r="C10" s="89" t="s">
        <v>274</v>
      </c>
      <c r="D10" s="89" t="s">
        <v>63</v>
      </c>
      <c r="E10" s="89" t="s">
        <v>202</v>
      </c>
      <c r="F10" s="89" t="s">
        <v>213</v>
      </c>
      <c r="G10" s="89" t="s">
        <v>274</v>
      </c>
      <c r="H10" s="89" t="s">
        <v>63</v>
      </c>
      <c r="I10" s="89" t="s">
        <v>337</v>
      </c>
      <c r="J10" s="89" t="s">
        <v>421</v>
      </c>
      <c r="K10" s="89" t="s">
        <v>421</v>
      </c>
      <c r="L10" s="89" t="s">
        <v>421</v>
      </c>
      <c r="M10" s="89" t="s">
        <v>334</v>
      </c>
      <c r="N10" s="89" t="s">
        <v>334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 t="s">
        <v>331</v>
      </c>
      <c r="C11" s="89" t="s">
        <v>274</v>
      </c>
      <c r="D11" s="89" t="s">
        <v>130</v>
      </c>
      <c r="E11" s="89" t="s">
        <v>203</v>
      </c>
      <c r="F11" s="89" t="s">
        <v>214</v>
      </c>
      <c r="G11" s="89" t="s">
        <v>274</v>
      </c>
      <c r="H11" s="89" t="s">
        <v>130</v>
      </c>
      <c r="I11" s="89" t="s">
        <v>333</v>
      </c>
      <c r="J11" s="89" t="s">
        <v>274</v>
      </c>
      <c r="K11" s="89" t="s">
        <v>264</v>
      </c>
      <c r="L11" s="89" t="s">
        <v>274</v>
      </c>
      <c r="M11" s="89" t="s">
        <v>334</v>
      </c>
      <c r="N11" s="89" t="s">
        <v>422</v>
      </c>
      <c r="O11" s="89" t="s">
        <v>334</v>
      </c>
      <c r="P11" s="89" t="s">
        <v>334</v>
      </c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274</v>
      </c>
      <c r="D13" s="89" t="s">
        <v>63</v>
      </c>
      <c r="E13" s="89" t="s">
        <v>200</v>
      </c>
      <c r="F13" s="89" t="s">
        <v>186</v>
      </c>
      <c r="G13" s="89" t="s">
        <v>274</v>
      </c>
      <c r="H13" s="89" t="s">
        <v>63</v>
      </c>
      <c r="I13" s="89" t="s">
        <v>337</v>
      </c>
      <c r="J13" s="89" t="s">
        <v>421</v>
      </c>
      <c r="K13" s="89" t="s">
        <v>421</v>
      </c>
      <c r="L13" s="89" t="s">
        <v>421</v>
      </c>
      <c r="M13" s="89" t="s">
        <v>334</v>
      </c>
      <c r="N13" s="89" t="s">
        <v>334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331</v>
      </c>
      <c r="C14" s="89" t="s">
        <v>264</v>
      </c>
      <c r="D14" s="89" t="s">
        <v>228</v>
      </c>
      <c r="E14" s="89" t="s">
        <v>204</v>
      </c>
      <c r="F14" s="89" t="s">
        <v>215</v>
      </c>
      <c r="G14" s="89" t="s">
        <v>264</v>
      </c>
      <c r="H14" s="89" t="s">
        <v>215</v>
      </c>
      <c r="I14" s="89" t="s">
        <v>333</v>
      </c>
      <c r="J14" s="89" t="s">
        <v>17</v>
      </c>
      <c r="K14" s="89" t="s">
        <v>264</v>
      </c>
      <c r="L14" s="89" t="s">
        <v>423</v>
      </c>
      <c r="M14" s="89" t="s">
        <v>334</v>
      </c>
      <c r="N14" s="89" t="s">
        <v>424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274</v>
      </c>
      <c r="D15" s="89" t="s">
        <v>63</v>
      </c>
      <c r="E15" s="89" t="s">
        <v>205</v>
      </c>
      <c r="F15" s="89" t="s">
        <v>216</v>
      </c>
      <c r="G15" s="89" t="s">
        <v>274</v>
      </c>
      <c r="H15" s="89" t="s">
        <v>63</v>
      </c>
      <c r="I15" s="89" t="s">
        <v>337</v>
      </c>
      <c r="J15" s="89" t="s">
        <v>421</v>
      </c>
      <c r="K15" s="89" t="s">
        <v>421</v>
      </c>
      <c r="L15" s="89" t="s">
        <v>421</v>
      </c>
      <c r="M15" s="89" t="s">
        <v>334</v>
      </c>
      <c r="N15" s="89" t="s">
        <v>334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</row>
    <row r="17" spans="1:17" x14ac:dyDescent="0.2">
      <c r="A17" s="89" t="s">
        <v>355</v>
      </c>
      <c r="B17" s="89" t="s">
        <v>331</v>
      </c>
      <c r="C17" s="89" t="s">
        <v>264</v>
      </c>
      <c r="D17" s="89" t="s">
        <v>228</v>
      </c>
      <c r="E17" s="89" t="s">
        <v>95</v>
      </c>
      <c r="F17" s="89" t="s">
        <v>217</v>
      </c>
      <c r="G17" s="89" t="s">
        <v>264</v>
      </c>
      <c r="H17" s="89" t="s">
        <v>217</v>
      </c>
      <c r="I17" s="89" t="s">
        <v>333</v>
      </c>
      <c r="J17" s="89" t="s">
        <v>17</v>
      </c>
      <c r="K17" s="89" t="s">
        <v>264</v>
      </c>
      <c r="L17" s="89" t="s">
        <v>425</v>
      </c>
      <c r="M17" s="89" t="s">
        <v>334</v>
      </c>
      <c r="N17" s="89" t="s">
        <v>426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 t="s">
        <v>331</v>
      </c>
      <c r="C19" s="89" t="s">
        <v>274</v>
      </c>
      <c r="D19" s="89" t="s">
        <v>130</v>
      </c>
      <c r="E19" s="89" t="s">
        <v>116</v>
      </c>
      <c r="F19" s="89" t="s">
        <v>214</v>
      </c>
      <c r="G19" s="89" t="s">
        <v>116</v>
      </c>
      <c r="H19" s="89" t="s">
        <v>130</v>
      </c>
      <c r="I19" s="89" t="s">
        <v>333</v>
      </c>
      <c r="J19" s="89" t="s">
        <v>274</v>
      </c>
      <c r="K19" s="89" t="s">
        <v>248</v>
      </c>
      <c r="L19" s="89" t="s">
        <v>248</v>
      </c>
      <c r="M19" s="89" t="s">
        <v>334</v>
      </c>
      <c r="N19" s="89" t="s">
        <v>334</v>
      </c>
      <c r="O19" s="89" t="s">
        <v>334</v>
      </c>
      <c r="P19" s="89" t="s">
        <v>334</v>
      </c>
      <c r="Q19" s="89"/>
    </row>
    <row r="20" spans="1:17" x14ac:dyDescent="0.2">
      <c r="A20" s="89" t="s">
        <v>359</v>
      </c>
      <c r="B20" s="89" t="s">
        <v>331</v>
      </c>
      <c r="C20" s="89" t="s">
        <v>274</v>
      </c>
      <c r="D20" s="89" t="s">
        <v>63</v>
      </c>
      <c r="E20" s="89" t="s">
        <v>205</v>
      </c>
      <c r="F20" s="89" t="s">
        <v>186</v>
      </c>
      <c r="G20" s="89" t="s">
        <v>274</v>
      </c>
      <c r="H20" s="89" t="s">
        <v>63</v>
      </c>
      <c r="I20" s="89" t="s">
        <v>337</v>
      </c>
      <c r="J20" s="89" t="s">
        <v>421</v>
      </c>
      <c r="K20" s="89" t="s">
        <v>421</v>
      </c>
      <c r="L20" s="89" t="s">
        <v>421</v>
      </c>
      <c r="M20" s="89" t="s">
        <v>334</v>
      </c>
      <c r="N20" s="89" t="s">
        <v>334</v>
      </c>
      <c r="O20" s="89" t="s">
        <v>334</v>
      </c>
      <c r="P20" s="89" t="s">
        <v>334</v>
      </c>
      <c r="Q20" s="89"/>
    </row>
    <row r="21" spans="1:17" x14ac:dyDescent="0.2">
      <c r="A21" s="89" t="s">
        <v>360</v>
      </c>
      <c r="B21" s="89"/>
      <c r="C21" s="89" t="s">
        <v>264</v>
      </c>
      <c r="D21" s="89" t="s">
        <v>228</v>
      </c>
      <c r="E21" s="89" t="s">
        <v>206</v>
      </c>
      <c r="F21" s="89" t="s">
        <v>211</v>
      </c>
      <c r="G21" s="89" t="s">
        <v>264</v>
      </c>
      <c r="H21" s="89" t="s">
        <v>211</v>
      </c>
      <c r="I21" s="89" t="s">
        <v>333</v>
      </c>
      <c r="J21" s="89" t="s">
        <v>17</v>
      </c>
      <c r="K21" s="89" t="s">
        <v>264</v>
      </c>
      <c r="L21" s="89" t="s">
        <v>427</v>
      </c>
      <c r="M21" s="89" t="s">
        <v>334</v>
      </c>
      <c r="N21" s="89" t="s">
        <v>428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</row>
    <row r="23" spans="1:17" x14ac:dyDescent="0.2">
      <c r="A23" s="89" t="s">
        <v>365</v>
      </c>
      <c r="B23" s="89" t="s">
        <v>331</v>
      </c>
      <c r="C23" s="89" t="s">
        <v>274</v>
      </c>
      <c r="D23" s="89" t="s">
        <v>228</v>
      </c>
      <c r="E23" s="89" t="s">
        <v>207</v>
      </c>
      <c r="F23" s="89" t="s">
        <v>218</v>
      </c>
      <c r="G23" s="89" t="s">
        <v>274</v>
      </c>
      <c r="H23" s="89" t="s">
        <v>218</v>
      </c>
      <c r="I23" s="89" t="s">
        <v>333</v>
      </c>
      <c r="J23" s="89" t="s">
        <v>119</v>
      </c>
      <c r="K23" s="89" t="s">
        <v>264</v>
      </c>
      <c r="L23" s="89" t="s">
        <v>429</v>
      </c>
      <c r="M23" s="89" t="s">
        <v>334</v>
      </c>
      <c r="N23" s="89" t="s">
        <v>430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 t="s">
        <v>331</v>
      </c>
      <c r="C24" s="89" t="s">
        <v>264</v>
      </c>
      <c r="D24" s="89" t="s">
        <v>228</v>
      </c>
      <c r="E24" s="89" t="s">
        <v>208</v>
      </c>
      <c r="F24" s="89" t="s">
        <v>219</v>
      </c>
      <c r="G24" s="89" t="s">
        <v>264</v>
      </c>
      <c r="H24" s="89" t="s">
        <v>219</v>
      </c>
      <c r="I24" s="89" t="s">
        <v>333</v>
      </c>
      <c r="J24" s="89" t="s">
        <v>17</v>
      </c>
      <c r="K24" s="89" t="s">
        <v>264</v>
      </c>
      <c r="L24" s="89" t="s">
        <v>431</v>
      </c>
      <c r="M24" s="89" t="s">
        <v>334</v>
      </c>
      <c r="N24" s="89" t="s">
        <v>432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 t="s">
        <v>331</v>
      </c>
      <c r="C26" s="89" t="s">
        <v>19</v>
      </c>
      <c r="D26" s="89" t="s">
        <v>130</v>
      </c>
      <c r="E26" s="89" t="s">
        <v>44</v>
      </c>
      <c r="F26" s="89" t="s">
        <v>144</v>
      </c>
      <c r="G26" s="89" t="s">
        <v>19</v>
      </c>
      <c r="H26" s="89" t="s">
        <v>144</v>
      </c>
      <c r="I26" s="89" t="s">
        <v>333</v>
      </c>
      <c r="J26" s="89" t="s">
        <v>256</v>
      </c>
      <c r="K26" s="89" t="s">
        <v>256</v>
      </c>
      <c r="L26" s="89" t="s">
        <v>49</v>
      </c>
      <c r="M26" s="89" t="s">
        <v>433</v>
      </c>
      <c r="N26" s="89" t="s">
        <v>334</v>
      </c>
      <c r="O26" s="89" t="s">
        <v>334</v>
      </c>
      <c r="P26" s="89" t="s">
        <v>334</v>
      </c>
      <c r="Q26" s="89"/>
    </row>
    <row r="27" spans="1:17" x14ac:dyDescent="0.2">
      <c r="A27" s="89" t="s">
        <v>374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">
      <c r="A28" s="89" t="s">
        <v>375</v>
      </c>
      <c r="B28" s="89" t="s">
        <v>331</v>
      </c>
      <c r="C28" s="89" t="s">
        <v>274</v>
      </c>
      <c r="D28" s="89" t="s">
        <v>130</v>
      </c>
      <c r="E28" s="89" t="s">
        <v>207</v>
      </c>
      <c r="F28" s="89" t="s">
        <v>220</v>
      </c>
      <c r="G28" s="89" t="s">
        <v>274</v>
      </c>
      <c r="H28" s="89" t="s">
        <v>220</v>
      </c>
      <c r="I28" s="89" t="s">
        <v>333</v>
      </c>
      <c r="J28" s="89" t="s">
        <v>274</v>
      </c>
      <c r="K28" s="89" t="s">
        <v>264</v>
      </c>
      <c r="L28" s="89" t="s">
        <v>251</v>
      </c>
      <c r="M28" s="89" t="s">
        <v>334</v>
      </c>
      <c r="N28" s="89" t="s">
        <v>434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 t="s">
        <v>331</v>
      </c>
      <c r="C29" s="89" t="s">
        <v>274</v>
      </c>
      <c r="D29" s="89" t="s">
        <v>63</v>
      </c>
      <c r="E29" s="89" t="s">
        <v>207</v>
      </c>
      <c r="F29" s="89" t="s">
        <v>221</v>
      </c>
      <c r="G29" s="89" t="s">
        <v>274</v>
      </c>
      <c r="H29" s="89" t="s">
        <v>63</v>
      </c>
      <c r="I29" s="89" t="s">
        <v>337</v>
      </c>
      <c r="J29" s="89" t="s">
        <v>421</v>
      </c>
      <c r="K29" s="89" t="s">
        <v>421</v>
      </c>
      <c r="L29" s="89" t="s">
        <v>421</v>
      </c>
      <c r="M29" s="89" t="s">
        <v>334</v>
      </c>
      <c r="N29" s="89" t="s">
        <v>334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">
      <c r="A31" s="89" t="s">
        <v>380</v>
      </c>
      <c r="B31" s="89" t="s">
        <v>331</v>
      </c>
      <c r="C31" s="89" t="s">
        <v>264</v>
      </c>
      <c r="D31" s="89" t="s">
        <v>228</v>
      </c>
      <c r="E31" s="89" t="s">
        <v>208</v>
      </c>
      <c r="F31" s="89" t="s">
        <v>218</v>
      </c>
      <c r="G31" s="89" t="s">
        <v>264</v>
      </c>
      <c r="H31" s="89" t="s">
        <v>218</v>
      </c>
      <c r="I31" s="89" t="s">
        <v>333</v>
      </c>
      <c r="J31" s="89" t="s">
        <v>17</v>
      </c>
      <c r="K31" s="89" t="s">
        <v>264</v>
      </c>
      <c r="L31" s="89" t="s">
        <v>342</v>
      </c>
      <c r="M31" s="89" t="s">
        <v>334</v>
      </c>
      <c r="N31" s="89" t="s">
        <v>343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 t="s">
        <v>331</v>
      </c>
      <c r="C32" s="89" t="s">
        <v>274</v>
      </c>
      <c r="D32" s="89" t="s">
        <v>130</v>
      </c>
      <c r="E32" s="89" t="s">
        <v>209</v>
      </c>
      <c r="F32" s="89" t="s">
        <v>222</v>
      </c>
      <c r="G32" s="89" t="s">
        <v>274</v>
      </c>
      <c r="H32" s="89" t="s">
        <v>222</v>
      </c>
      <c r="I32" s="89" t="s">
        <v>333</v>
      </c>
      <c r="J32" s="89" t="s">
        <v>274</v>
      </c>
      <c r="K32" s="89" t="s">
        <v>264</v>
      </c>
      <c r="L32" s="89" t="s">
        <v>110</v>
      </c>
      <c r="M32" s="89" t="s">
        <v>334</v>
      </c>
      <c r="N32" s="89" t="s">
        <v>435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264</v>
      </c>
      <c r="D35" s="89" t="s">
        <v>228</v>
      </c>
      <c r="E35" s="89" t="s">
        <v>210</v>
      </c>
      <c r="F35" s="89" t="s">
        <v>223</v>
      </c>
      <c r="G35" s="89" t="s">
        <v>264</v>
      </c>
      <c r="H35" s="89" t="s">
        <v>228</v>
      </c>
      <c r="I35" s="89" t="s">
        <v>333</v>
      </c>
      <c r="J35" s="89" t="s">
        <v>17</v>
      </c>
      <c r="K35" s="89" t="s">
        <v>264</v>
      </c>
      <c r="L35" s="89" t="s">
        <v>17</v>
      </c>
      <c r="M35" s="89" t="s">
        <v>334</v>
      </c>
      <c r="N35" s="89" t="s">
        <v>420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436</v>
      </c>
      <c r="B40" s="89" t="s">
        <v>436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438</v>
      </c>
      <c r="B45" s="89" t="s">
        <v>439</v>
      </c>
      <c r="C45" s="89" t="s">
        <v>440</v>
      </c>
      <c r="D45" s="89" t="s">
        <v>433</v>
      </c>
      <c r="E45" s="89"/>
      <c r="F45" s="89" t="s">
        <v>441</v>
      </c>
      <c r="G45" s="89" t="s">
        <v>334</v>
      </c>
      <c r="H45" s="89" t="s">
        <v>441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440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442</v>
      </c>
      <c r="C2" s="89" t="s">
        <v>443</v>
      </c>
      <c r="D2" s="89"/>
      <c r="E2" s="89" t="s">
        <v>444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417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264</v>
      </c>
      <c r="D6" s="89" t="s">
        <v>228</v>
      </c>
      <c r="E6" s="89" t="s">
        <v>224</v>
      </c>
      <c r="F6" s="89" t="s">
        <v>226</v>
      </c>
      <c r="G6" s="89" t="s">
        <v>264</v>
      </c>
      <c r="H6" s="89" t="s">
        <v>228</v>
      </c>
      <c r="I6" s="89" t="s">
        <v>333</v>
      </c>
      <c r="J6" s="89" t="s">
        <v>17</v>
      </c>
      <c r="K6" s="89" t="s">
        <v>264</v>
      </c>
      <c r="L6" s="89" t="s">
        <v>17</v>
      </c>
      <c r="M6" s="89" t="s">
        <v>334</v>
      </c>
      <c r="N6" s="89" t="s">
        <v>420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 t="s">
        <v>331</v>
      </c>
      <c r="C7" s="89" t="s">
        <v>264</v>
      </c>
      <c r="D7" s="89" t="s">
        <v>63</v>
      </c>
      <c r="E7" s="89" t="s">
        <v>204</v>
      </c>
      <c r="F7" s="89" t="s">
        <v>227</v>
      </c>
      <c r="G7" s="89" t="s">
        <v>264</v>
      </c>
      <c r="H7" s="89" t="s">
        <v>63</v>
      </c>
      <c r="I7" s="89" t="s">
        <v>337</v>
      </c>
      <c r="J7" s="89" t="s">
        <v>445</v>
      </c>
      <c r="K7" s="89" t="s">
        <v>445</v>
      </c>
      <c r="L7" s="89" t="s">
        <v>445</v>
      </c>
      <c r="M7" s="89" t="s">
        <v>334</v>
      </c>
      <c r="N7" s="89" t="s">
        <v>334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</row>
    <row r="9" spans="1:17" x14ac:dyDescent="0.2">
      <c r="A9" s="89" t="s">
        <v>344</v>
      </c>
      <c r="B9" s="89" t="s">
        <v>331</v>
      </c>
      <c r="C9" s="89" t="s">
        <v>264</v>
      </c>
      <c r="D9" s="89" t="s">
        <v>228</v>
      </c>
      <c r="E9" s="89" t="s">
        <v>224</v>
      </c>
      <c r="F9" s="89" t="s">
        <v>228</v>
      </c>
      <c r="G9" s="89" t="s">
        <v>264</v>
      </c>
      <c r="H9" s="89" t="s">
        <v>228</v>
      </c>
      <c r="I9" s="89" t="s">
        <v>333</v>
      </c>
      <c r="J9" s="89" t="s">
        <v>17</v>
      </c>
      <c r="K9" s="89" t="s">
        <v>264</v>
      </c>
      <c r="L9" s="89" t="s">
        <v>17</v>
      </c>
      <c r="M9" s="89" t="s">
        <v>334</v>
      </c>
      <c r="N9" s="89" t="s">
        <v>420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 t="s">
        <v>331</v>
      </c>
      <c r="C10" s="89" t="s">
        <v>264</v>
      </c>
      <c r="D10" s="89" t="s">
        <v>228</v>
      </c>
      <c r="E10" s="89" t="s">
        <v>204</v>
      </c>
      <c r="F10" s="89" t="s">
        <v>229</v>
      </c>
      <c r="G10" s="89" t="s">
        <v>264</v>
      </c>
      <c r="H10" s="89" t="s">
        <v>228</v>
      </c>
      <c r="I10" s="89" t="s">
        <v>333</v>
      </c>
      <c r="J10" s="89" t="s">
        <v>17</v>
      </c>
      <c r="K10" s="89" t="s">
        <v>264</v>
      </c>
      <c r="L10" s="89" t="s">
        <v>17</v>
      </c>
      <c r="M10" s="89" t="s">
        <v>334</v>
      </c>
      <c r="N10" s="89" t="s">
        <v>420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 t="s">
        <v>331</v>
      </c>
      <c r="C12" s="89" t="s">
        <v>264</v>
      </c>
      <c r="D12" s="89" t="s">
        <v>130</v>
      </c>
      <c r="E12" s="89" t="s">
        <v>181</v>
      </c>
      <c r="F12" s="89" t="s">
        <v>130</v>
      </c>
      <c r="G12" s="89" t="s">
        <v>264</v>
      </c>
      <c r="H12" s="89" t="s">
        <v>130</v>
      </c>
      <c r="I12" s="89" t="s">
        <v>333</v>
      </c>
      <c r="J12" s="89" t="s">
        <v>272</v>
      </c>
      <c r="K12" s="89" t="s">
        <v>264</v>
      </c>
      <c r="L12" s="89" t="s">
        <v>272</v>
      </c>
      <c r="M12" s="89" t="s">
        <v>334</v>
      </c>
      <c r="N12" s="89" t="s">
        <v>446</v>
      </c>
      <c r="O12" s="89" t="s">
        <v>334</v>
      </c>
      <c r="P12" s="89" t="s">
        <v>334</v>
      </c>
      <c r="Q12" s="89"/>
    </row>
    <row r="13" spans="1:17" x14ac:dyDescent="0.2">
      <c r="A13" s="89" t="s">
        <v>349</v>
      </c>
      <c r="B13" s="89" t="s">
        <v>331</v>
      </c>
      <c r="C13" s="89" t="s">
        <v>264</v>
      </c>
      <c r="D13" s="89" t="s">
        <v>228</v>
      </c>
      <c r="E13" s="89" t="s">
        <v>204</v>
      </c>
      <c r="F13" s="89" t="s">
        <v>228</v>
      </c>
      <c r="G13" s="89" t="s">
        <v>264</v>
      </c>
      <c r="H13" s="89" t="s">
        <v>228</v>
      </c>
      <c r="I13" s="89" t="s">
        <v>333</v>
      </c>
      <c r="J13" s="89" t="s">
        <v>17</v>
      </c>
      <c r="K13" s="89" t="s">
        <v>264</v>
      </c>
      <c r="L13" s="89" t="s">
        <v>17</v>
      </c>
      <c r="M13" s="89" t="s">
        <v>334</v>
      </c>
      <c r="N13" s="89" t="s">
        <v>420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</row>
    <row r="15" spans="1:17" x14ac:dyDescent="0.2">
      <c r="A15" s="89" t="s">
        <v>353</v>
      </c>
      <c r="B15" s="89" t="s">
        <v>331</v>
      </c>
      <c r="C15" s="89" t="s">
        <v>264</v>
      </c>
      <c r="D15" s="89" t="s">
        <v>228</v>
      </c>
      <c r="E15" s="89" t="s">
        <v>88</v>
      </c>
      <c r="F15" s="89" t="s">
        <v>226</v>
      </c>
      <c r="G15" s="89" t="s">
        <v>264</v>
      </c>
      <c r="H15" s="89" t="s">
        <v>228</v>
      </c>
      <c r="I15" s="89" t="s">
        <v>333</v>
      </c>
      <c r="J15" s="89" t="s">
        <v>17</v>
      </c>
      <c r="K15" s="89" t="s">
        <v>264</v>
      </c>
      <c r="L15" s="89" t="s">
        <v>17</v>
      </c>
      <c r="M15" s="89" t="s">
        <v>334</v>
      </c>
      <c r="N15" s="89" t="s">
        <v>420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 t="s">
        <v>331</v>
      </c>
      <c r="C16" s="89" t="s">
        <v>264</v>
      </c>
      <c r="D16" s="89" t="s">
        <v>228</v>
      </c>
      <c r="E16" s="89" t="s">
        <v>225</v>
      </c>
      <c r="F16" s="89" t="s">
        <v>223</v>
      </c>
      <c r="G16" s="89" t="s">
        <v>264</v>
      </c>
      <c r="H16" s="89" t="s">
        <v>228</v>
      </c>
      <c r="I16" s="89" t="s">
        <v>333</v>
      </c>
      <c r="J16" s="89" t="s">
        <v>17</v>
      </c>
      <c r="K16" s="89" t="s">
        <v>264</v>
      </c>
      <c r="L16" s="89" t="s">
        <v>17</v>
      </c>
      <c r="M16" s="89" t="s">
        <v>334</v>
      </c>
      <c r="N16" s="89" t="s">
        <v>420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</row>
    <row r="18" spans="1:17" x14ac:dyDescent="0.2">
      <c r="A18" s="89" t="s">
        <v>356</v>
      </c>
      <c r="B18" s="89" t="s">
        <v>331</v>
      </c>
      <c r="C18" s="89" t="s">
        <v>264</v>
      </c>
      <c r="D18" s="89" t="s">
        <v>130</v>
      </c>
      <c r="E18" s="89" t="s">
        <v>224</v>
      </c>
      <c r="F18" s="89" t="s">
        <v>230</v>
      </c>
      <c r="G18" s="89" t="s">
        <v>264</v>
      </c>
      <c r="H18" s="89" t="s">
        <v>230</v>
      </c>
      <c r="I18" s="89" t="s">
        <v>333</v>
      </c>
      <c r="J18" s="89" t="s">
        <v>272</v>
      </c>
      <c r="K18" s="89" t="s">
        <v>264</v>
      </c>
      <c r="L18" s="89" t="s">
        <v>19</v>
      </c>
      <c r="M18" s="89" t="s">
        <v>334</v>
      </c>
      <c r="N18" s="89" t="s">
        <v>447</v>
      </c>
      <c r="O18" s="89" t="s">
        <v>334</v>
      </c>
      <c r="P18" s="89" t="s">
        <v>334</v>
      </c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331</v>
      </c>
      <c r="C20" s="89" t="s">
        <v>264</v>
      </c>
      <c r="D20" s="89" t="s">
        <v>228</v>
      </c>
      <c r="E20" s="89" t="s">
        <v>224</v>
      </c>
      <c r="F20" s="89" t="s">
        <v>228</v>
      </c>
      <c r="G20" s="89" t="s">
        <v>264</v>
      </c>
      <c r="H20" s="89" t="s">
        <v>228</v>
      </c>
      <c r="I20" s="89" t="s">
        <v>333</v>
      </c>
      <c r="J20" s="89" t="s">
        <v>17</v>
      </c>
      <c r="K20" s="89" t="s">
        <v>264</v>
      </c>
      <c r="L20" s="89" t="s">
        <v>17</v>
      </c>
      <c r="M20" s="89" t="s">
        <v>334</v>
      </c>
      <c r="N20" s="89" t="s">
        <v>420</v>
      </c>
      <c r="O20" s="89" t="s">
        <v>334</v>
      </c>
      <c r="P20" s="89" t="s">
        <v>334</v>
      </c>
      <c r="Q20" s="89"/>
    </row>
    <row r="21" spans="1:17" x14ac:dyDescent="0.2">
      <c r="A21" s="89" t="s">
        <v>448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</row>
    <row r="22" spans="1:17" x14ac:dyDescent="0.2">
      <c r="A22" s="89" t="s">
        <v>362</v>
      </c>
      <c r="B22" s="89" t="s">
        <v>331</v>
      </c>
      <c r="C22" s="89" t="s">
        <v>264</v>
      </c>
      <c r="D22" s="89" t="s">
        <v>228</v>
      </c>
      <c r="E22" s="89" t="s">
        <v>88</v>
      </c>
      <c r="F22" s="89" t="s">
        <v>218</v>
      </c>
      <c r="G22" s="89" t="s">
        <v>264</v>
      </c>
      <c r="H22" s="89" t="s">
        <v>218</v>
      </c>
      <c r="I22" s="89" t="s">
        <v>333</v>
      </c>
      <c r="J22" s="89" t="s">
        <v>17</v>
      </c>
      <c r="K22" s="89" t="s">
        <v>264</v>
      </c>
      <c r="L22" s="89" t="s">
        <v>342</v>
      </c>
      <c r="M22" s="89" t="s">
        <v>334</v>
      </c>
      <c r="N22" s="89" t="s">
        <v>343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 t="s">
        <v>331</v>
      </c>
      <c r="C23" s="89" t="s">
        <v>264</v>
      </c>
      <c r="D23" s="89" t="s">
        <v>63</v>
      </c>
      <c r="E23" s="89" t="s">
        <v>224</v>
      </c>
      <c r="F23" s="89" t="s">
        <v>216</v>
      </c>
      <c r="G23" s="89" t="s">
        <v>264</v>
      </c>
      <c r="H23" s="89" t="s">
        <v>216</v>
      </c>
      <c r="I23" s="89" t="s">
        <v>337</v>
      </c>
      <c r="J23" s="89" t="s">
        <v>445</v>
      </c>
      <c r="K23" s="89" t="s">
        <v>445</v>
      </c>
      <c r="L23" s="89" t="s">
        <v>449</v>
      </c>
      <c r="M23" s="89" t="s">
        <v>450</v>
      </c>
      <c r="N23" s="89" t="s">
        <v>334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</row>
    <row r="25" spans="1:17" x14ac:dyDescent="0.2">
      <c r="A25" s="89" t="s">
        <v>370</v>
      </c>
      <c r="B25" s="89" t="s">
        <v>331</v>
      </c>
      <c r="C25" s="89" t="s">
        <v>264</v>
      </c>
      <c r="D25" s="89" t="s">
        <v>130</v>
      </c>
      <c r="E25" s="89" t="s">
        <v>88</v>
      </c>
      <c r="F25" s="89" t="s">
        <v>231</v>
      </c>
      <c r="G25" s="89" t="s">
        <v>264</v>
      </c>
      <c r="H25" s="89" t="s">
        <v>231</v>
      </c>
      <c r="I25" s="89" t="s">
        <v>333</v>
      </c>
      <c r="J25" s="89" t="s">
        <v>272</v>
      </c>
      <c r="K25" s="89" t="s">
        <v>264</v>
      </c>
      <c r="L25" s="89" t="s">
        <v>92</v>
      </c>
      <c r="M25" s="89" t="s">
        <v>334</v>
      </c>
      <c r="N25" s="89" t="s">
        <v>335</v>
      </c>
      <c r="O25" s="89" t="s">
        <v>334</v>
      </c>
      <c r="P25" s="89" t="s">
        <v>334</v>
      </c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264</v>
      </c>
      <c r="D27" s="89" t="s">
        <v>228</v>
      </c>
      <c r="E27" s="89" t="s">
        <v>204</v>
      </c>
      <c r="F27" s="89" t="s">
        <v>228</v>
      </c>
      <c r="G27" s="89" t="s">
        <v>264</v>
      </c>
      <c r="H27" s="89" t="s">
        <v>228</v>
      </c>
      <c r="I27" s="89" t="s">
        <v>333</v>
      </c>
      <c r="J27" s="89" t="s">
        <v>17</v>
      </c>
      <c r="K27" s="89" t="s">
        <v>264</v>
      </c>
      <c r="L27" s="89" t="s">
        <v>17</v>
      </c>
      <c r="M27" s="89" t="s">
        <v>334</v>
      </c>
      <c r="N27" s="89" t="s">
        <v>420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264</v>
      </c>
      <c r="D28" s="89" t="s">
        <v>63</v>
      </c>
      <c r="E28" s="89" t="s">
        <v>224</v>
      </c>
      <c r="F28" s="89" t="s">
        <v>63</v>
      </c>
      <c r="G28" s="89" t="s">
        <v>264</v>
      </c>
      <c r="H28" s="89" t="s">
        <v>63</v>
      </c>
      <c r="I28" s="89" t="s">
        <v>337</v>
      </c>
      <c r="J28" s="89" t="s">
        <v>445</v>
      </c>
      <c r="K28" s="89" t="s">
        <v>445</v>
      </c>
      <c r="L28" s="89" t="s">
        <v>445</v>
      </c>
      <c r="M28" s="89" t="s">
        <v>334</v>
      </c>
      <c r="N28" s="89" t="s">
        <v>334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 t="s">
        <v>331</v>
      </c>
      <c r="C29" s="89" t="s">
        <v>264</v>
      </c>
      <c r="D29" s="89" t="s">
        <v>228</v>
      </c>
      <c r="E29" s="89" t="s">
        <v>88</v>
      </c>
      <c r="F29" s="89" t="s">
        <v>226</v>
      </c>
      <c r="G29" s="89" t="s">
        <v>264</v>
      </c>
      <c r="H29" s="89" t="s">
        <v>228</v>
      </c>
      <c r="I29" s="89" t="s">
        <v>333</v>
      </c>
      <c r="J29" s="89" t="s">
        <v>17</v>
      </c>
      <c r="K29" s="89" t="s">
        <v>264</v>
      </c>
      <c r="L29" s="89" t="s">
        <v>17</v>
      </c>
      <c r="M29" s="89" t="s">
        <v>334</v>
      </c>
      <c r="N29" s="89" t="s">
        <v>420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 t="s">
        <v>331</v>
      </c>
      <c r="C30" s="89" t="s">
        <v>264</v>
      </c>
      <c r="D30" s="89" t="s">
        <v>228</v>
      </c>
      <c r="E30" s="89" t="s">
        <v>224</v>
      </c>
      <c r="F30" s="89" t="s">
        <v>232</v>
      </c>
      <c r="G30" s="89" t="s">
        <v>264</v>
      </c>
      <c r="H30" s="89" t="s">
        <v>228</v>
      </c>
      <c r="I30" s="89" t="s">
        <v>333</v>
      </c>
      <c r="J30" s="89" t="s">
        <v>17</v>
      </c>
      <c r="K30" s="89" t="s">
        <v>264</v>
      </c>
      <c r="L30" s="89" t="s">
        <v>17</v>
      </c>
      <c r="M30" s="89" t="s">
        <v>334</v>
      </c>
      <c r="N30" s="89" t="s">
        <v>420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 t="s">
        <v>331</v>
      </c>
      <c r="C33" s="89" t="s">
        <v>264</v>
      </c>
      <c r="D33" s="89" t="s">
        <v>130</v>
      </c>
      <c r="E33" s="89" t="s">
        <v>224</v>
      </c>
      <c r="F33" s="89" t="s">
        <v>130</v>
      </c>
      <c r="G33" s="89" t="s">
        <v>264</v>
      </c>
      <c r="H33" s="89" t="s">
        <v>130</v>
      </c>
      <c r="I33" s="89" t="s">
        <v>333</v>
      </c>
      <c r="J33" s="89" t="s">
        <v>272</v>
      </c>
      <c r="K33" s="89" t="s">
        <v>264</v>
      </c>
      <c r="L33" s="89" t="s">
        <v>272</v>
      </c>
      <c r="M33" s="89" t="s">
        <v>334</v>
      </c>
      <c r="N33" s="89" t="s">
        <v>446</v>
      </c>
      <c r="O33" s="89" t="s">
        <v>334</v>
      </c>
      <c r="P33" s="89" t="s">
        <v>334</v>
      </c>
      <c r="Q33" s="89"/>
    </row>
    <row r="34" spans="1:17" x14ac:dyDescent="0.2">
      <c r="A34" s="89" t="s">
        <v>383</v>
      </c>
      <c r="B34" s="89" t="s">
        <v>331</v>
      </c>
      <c r="C34" s="89" t="s">
        <v>264</v>
      </c>
      <c r="D34" s="89" t="s">
        <v>130</v>
      </c>
      <c r="E34" s="89" t="s">
        <v>204</v>
      </c>
      <c r="F34" s="89" t="s">
        <v>214</v>
      </c>
      <c r="G34" s="89" t="s">
        <v>264</v>
      </c>
      <c r="H34" s="89" t="s">
        <v>214</v>
      </c>
      <c r="I34" s="89" t="s">
        <v>333</v>
      </c>
      <c r="J34" s="89" t="s">
        <v>272</v>
      </c>
      <c r="K34" s="89" t="s">
        <v>264</v>
      </c>
      <c r="L34" s="89" t="s">
        <v>108</v>
      </c>
      <c r="M34" s="89" t="s">
        <v>334</v>
      </c>
      <c r="N34" s="89" t="s">
        <v>451</v>
      </c>
      <c r="O34" s="89" t="s">
        <v>334</v>
      </c>
      <c r="P34" s="89" t="s">
        <v>334</v>
      </c>
      <c r="Q34" s="89"/>
    </row>
    <row r="35" spans="1:17" x14ac:dyDescent="0.2">
      <c r="A35" s="89" t="s">
        <v>386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436</v>
      </c>
      <c r="B40" s="89" t="s">
        <v>436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452</v>
      </c>
      <c r="B45" s="89" t="s">
        <v>453</v>
      </c>
      <c r="C45" s="89" t="s">
        <v>454</v>
      </c>
      <c r="D45" s="89" t="s">
        <v>450</v>
      </c>
      <c r="E45" s="89"/>
      <c r="F45" s="89" t="s">
        <v>455</v>
      </c>
      <c r="G45" s="89" t="s">
        <v>334</v>
      </c>
      <c r="H45" s="89" t="s">
        <v>455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454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456</v>
      </c>
      <c r="C2" s="89" t="s">
        <v>457</v>
      </c>
      <c r="D2" s="89"/>
      <c r="E2" s="89" t="s">
        <v>458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459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332</v>
      </c>
      <c r="D6" s="89" t="s">
        <v>53</v>
      </c>
      <c r="E6" s="89" t="s">
        <v>5</v>
      </c>
      <c r="F6" s="89" t="s">
        <v>121</v>
      </c>
      <c r="G6" s="89" t="s">
        <v>332</v>
      </c>
      <c r="H6" s="89" t="s">
        <v>121</v>
      </c>
      <c r="I6" s="89" t="s">
        <v>337</v>
      </c>
      <c r="J6" s="89" t="s">
        <v>338</v>
      </c>
      <c r="K6" s="89" t="s">
        <v>338</v>
      </c>
      <c r="L6" s="89" t="s">
        <v>460</v>
      </c>
      <c r="M6" s="89" t="s">
        <v>461</v>
      </c>
      <c r="N6" s="89" t="s">
        <v>334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 t="s">
        <v>331</v>
      </c>
      <c r="C7" s="89" t="s">
        <v>19</v>
      </c>
      <c r="D7" s="89" t="s">
        <v>230</v>
      </c>
      <c r="E7" s="89" t="s">
        <v>110</v>
      </c>
      <c r="F7" s="89" t="s">
        <v>122</v>
      </c>
      <c r="G7" s="89" t="s">
        <v>19</v>
      </c>
      <c r="H7" s="89" t="s">
        <v>122</v>
      </c>
      <c r="I7" s="89" t="s">
        <v>333</v>
      </c>
      <c r="J7" s="89" t="s">
        <v>264</v>
      </c>
      <c r="K7" s="89" t="s">
        <v>264</v>
      </c>
      <c r="L7" s="89" t="s">
        <v>207</v>
      </c>
      <c r="M7" s="89" t="s">
        <v>334</v>
      </c>
      <c r="N7" s="89" t="s">
        <v>462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</row>
    <row r="9" spans="1:17" x14ac:dyDescent="0.2">
      <c r="A9" s="89" t="s">
        <v>344</v>
      </c>
      <c r="B9" s="89" t="s">
        <v>331</v>
      </c>
      <c r="C9" s="89" t="s">
        <v>19</v>
      </c>
      <c r="D9" s="89" t="s">
        <v>132</v>
      </c>
      <c r="E9" s="89" t="s">
        <v>111</v>
      </c>
      <c r="F9" s="89" t="s">
        <v>123</v>
      </c>
      <c r="G9" s="89" t="s">
        <v>19</v>
      </c>
      <c r="H9" s="89" t="s">
        <v>132</v>
      </c>
      <c r="I9" s="89" t="s">
        <v>333</v>
      </c>
      <c r="J9" s="89" t="s">
        <v>463</v>
      </c>
      <c r="K9" s="89" t="s">
        <v>463</v>
      </c>
      <c r="L9" s="89" t="s">
        <v>463</v>
      </c>
      <c r="M9" s="89" t="s">
        <v>334</v>
      </c>
      <c r="N9" s="89" t="s">
        <v>334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</row>
    <row r="11" spans="1:17" x14ac:dyDescent="0.2">
      <c r="A11" s="89" t="s">
        <v>347</v>
      </c>
      <c r="B11" s="89" t="s">
        <v>331</v>
      </c>
      <c r="C11" s="89" t="s">
        <v>58</v>
      </c>
      <c r="D11" s="89" t="s">
        <v>35</v>
      </c>
      <c r="E11" s="89" t="s">
        <v>112</v>
      </c>
      <c r="F11" s="89" t="s">
        <v>52</v>
      </c>
      <c r="G11" s="89" t="s">
        <v>58</v>
      </c>
      <c r="H11" s="89" t="s">
        <v>52</v>
      </c>
      <c r="I11" s="89" t="s">
        <v>337</v>
      </c>
      <c r="J11" s="89" t="s">
        <v>338</v>
      </c>
      <c r="K11" s="89" t="s">
        <v>338</v>
      </c>
      <c r="L11" s="89" t="s">
        <v>464</v>
      </c>
      <c r="M11" s="89" t="s">
        <v>465</v>
      </c>
      <c r="N11" s="89" t="s">
        <v>334</v>
      </c>
      <c r="O11" s="89" t="s">
        <v>334</v>
      </c>
      <c r="P11" s="89" t="s">
        <v>334</v>
      </c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332</v>
      </c>
      <c r="D13" s="89" t="s">
        <v>170</v>
      </c>
      <c r="E13" s="89" t="s">
        <v>113</v>
      </c>
      <c r="F13" s="89" t="s">
        <v>124</v>
      </c>
      <c r="G13" s="89" t="s">
        <v>332</v>
      </c>
      <c r="H13" s="89" t="s">
        <v>124</v>
      </c>
      <c r="I13" s="89" t="s">
        <v>333</v>
      </c>
      <c r="J13" s="89" t="s">
        <v>264</v>
      </c>
      <c r="K13" s="89" t="s">
        <v>264</v>
      </c>
      <c r="L13" s="89" t="s">
        <v>466</v>
      </c>
      <c r="M13" s="89" t="s">
        <v>334</v>
      </c>
      <c r="N13" s="89" t="s">
        <v>465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393</v>
      </c>
      <c r="C14" s="89" t="s">
        <v>264</v>
      </c>
      <c r="D14" s="89" t="s">
        <v>132</v>
      </c>
      <c r="E14" s="89"/>
      <c r="F14" s="89"/>
      <c r="G14" s="89"/>
      <c r="H14" s="89"/>
      <c r="I14" s="89"/>
      <c r="J14" s="89" t="s">
        <v>264</v>
      </c>
      <c r="K14" s="89"/>
      <c r="L14" s="89"/>
      <c r="M14" s="89"/>
      <c r="N14" s="89"/>
      <c r="O14" s="89"/>
      <c r="P14" s="89"/>
      <c r="Q14" s="89"/>
    </row>
    <row r="15" spans="1:17" x14ac:dyDescent="0.2">
      <c r="A15" s="89" t="s">
        <v>353</v>
      </c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</row>
    <row r="16" spans="1:17" x14ac:dyDescent="0.2">
      <c r="A16" s="89" t="s">
        <v>354</v>
      </c>
      <c r="B16" s="89" t="s">
        <v>331</v>
      </c>
      <c r="C16" s="89" t="s">
        <v>19</v>
      </c>
      <c r="D16" s="89" t="s">
        <v>230</v>
      </c>
      <c r="E16" s="89" t="s">
        <v>114</v>
      </c>
      <c r="F16" s="89" t="s">
        <v>125</v>
      </c>
      <c r="G16" s="89" t="s">
        <v>19</v>
      </c>
      <c r="H16" s="89" t="s">
        <v>125</v>
      </c>
      <c r="I16" s="89" t="s">
        <v>333</v>
      </c>
      <c r="J16" s="89" t="s">
        <v>264</v>
      </c>
      <c r="K16" s="89" t="s">
        <v>264</v>
      </c>
      <c r="L16" s="89" t="s">
        <v>270</v>
      </c>
      <c r="M16" s="89" t="s">
        <v>334</v>
      </c>
      <c r="N16" s="89" t="s">
        <v>467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</row>
    <row r="18" spans="1:17" x14ac:dyDescent="0.2">
      <c r="A18" s="89" t="s">
        <v>356</v>
      </c>
      <c r="B18" s="89" t="s">
        <v>331</v>
      </c>
      <c r="C18" s="89" t="s">
        <v>19</v>
      </c>
      <c r="D18" s="89" t="s">
        <v>184</v>
      </c>
      <c r="E18" s="89" t="s">
        <v>115</v>
      </c>
      <c r="F18" s="89" t="s">
        <v>126</v>
      </c>
      <c r="G18" s="89" t="s">
        <v>19</v>
      </c>
      <c r="H18" s="89" t="s">
        <v>184</v>
      </c>
      <c r="I18" s="89" t="s">
        <v>337</v>
      </c>
      <c r="J18" s="89" t="s">
        <v>445</v>
      </c>
      <c r="K18" s="89" t="s">
        <v>445</v>
      </c>
      <c r="L18" s="89" t="s">
        <v>445</v>
      </c>
      <c r="M18" s="89" t="s">
        <v>334</v>
      </c>
      <c r="N18" s="89" t="s">
        <v>334</v>
      </c>
      <c r="O18" s="89" t="s">
        <v>334</v>
      </c>
      <c r="P18" s="89" t="s">
        <v>334</v>
      </c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393</v>
      </c>
      <c r="C20" s="89" t="s">
        <v>264</v>
      </c>
      <c r="D20" s="89" t="s">
        <v>132</v>
      </c>
      <c r="E20" s="89"/>
      <c r="F20" s="89"/>
      <c r="G20" s="89"/>
      <c r="H20" s="89"/>
      <c r="I20" s="89"/>
      <c r="J20" s="89" t="s">
        <v>264</v>
      </c>
      <c r="K20" s="89"/>
      <c r="L20" s="89"/>
      <c r="M20" s="89"/>
      <c r="N20" s="89"/>
      <c r="O20" s="89"/>
      <c r="P20" s="89"/>
      <c r="Q20" s="89"/>
    </row>
    <row r="21" spans="1:17" x14ac:dyDescent="0.2">
      <c r="A21" s="89" t="s">
        <v>448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</row>
    <row r="22" spans="1:17" x14ac:dyDescent="0.2">
      <c r="A22" s="89" t="s">
        <v>362</v>
      </c>
      <c r="B22" s="89" t="s">
        <v>331</v>
      </c>
      <c r="C22" s="89" t="s">
        <v>332</v>
      </c>
      <c r="D22" s="89" t="s">
        <v>170</v>
      </c>
      <c r="E22" s="89" t="s">
        <v>12</v>
      </c>
      <c r="F22" s="89" t="s">
        <v>127</v>
      </c>
      <c r="G22" s="89" t="s">
        <v>332</v>
      </c>
      <c r="H22" s="89" t="s">
        <v>127</v>
      </c>
      <c r="I22" s="89" t="s">
        <v>333</v>
      </c>
      <c r="J22" s="89" t="s">
        <v>264</v>
      </c>
      <c r="K22" s="89" t="s">
        <v>264</v>
      </c>
      <c r="L22" s="89" t="s">
        <v>271</v>
      </c>
      <c r="M22" s="89" t="s">
        <v>334</v>
      </c>
      <c r="N22" s="89" t="s">
        <v>377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 t="s">
        <v>331</v>
      </c>
      <c r="C23" s="89" t="s">
        <v>19</v>
      </c>
      <c r="D23" s="89" t="s">
        <v>230</v>
      </c>
      <c r="E23" s="89" t="s">
        <v>116</v>
      </c>
      <c r="F23" s="89" t="s">
        <v>122</v>
      </c>
      <c r="G23" s="89" t="s">
        <v>19</v>
      </c>
      <c r="H23" s="89" t="s">
        <v>230</v>
      </c>
      <c r="I23" s="89" t="s">
        <v>333</v>
      </c>
      <c r="J23" s="89" t="s">
        <v>264</v>
      </c>
      <c r="K23" s="89" t="s">
        <v>264</v>
      </c>
      <c r="L23" s="89" t="s">
        <v>264</v>
      </c>
      <c r="M23" s="89" t="s">
        <v>334</v>
      </c>
      <c r="N23" s="89" t="s">
        <v>334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</row>
    <row r="25" spans="1:17" x14ac:dyDescent="0.2">
      <c r="A25" s="89" t="s">
        <v>370</v>
      </c>
      <c r="B25" s="89" t="s">
        <v>331</v>
      </c>
      <c r="C25" s="89" t="s">
        <v>19</v>
      </c>
      <c r="D25" s="89" t="s">
        <v>130</v>
      </c>
      <c r="E25" s="89" t="s">
        <v>117</v>
      </c>
      <c r="F25" s="89" t="s">
        <v>128</v>
      </c>
      <c r="G25" s="89" t="s">
        <v>19</v>
      </c>
      <c r="H25" s="89" t="s">
        <v>128</v>
      </c>
      <c r="I25" s="89" t="s">
        <v>333</v>
      </c>
      <c r="J25" s="89" t="s">
        <v>256</v>
      </c>
      <c r="K25" s="89" t="s">
        <v>256</v>
      </c>
      <c r="L25" s="89" t="s">
        <v>246</v>
      </c>
      <c r="M25" s="89" t="s">
        <v>465</v>
      </c>
      <c r="N25" s="89" t="s">
        <v>334</v>
      </c>
      <c r="O25" s="89" t="s">
        <v>334</v>
      </c>
      <c r="P25" s="89" t="s">
        <v>334</v>
      </c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272</v>
      </c>
      <c r="D27" s="89" t="s">
        <v>195</v>
      </c>
      <c r="E27" s="89" t="s">
        <v>118</v>
      </c>
      <c r="F27" s="89" t="s">
        <v>59</v>
      </c>
      <c r="G27" s="89" t="s">
        <v>272</v>
      </c>
      <c r="H27" s="89" t="s">
        <v>195</v>
      </c>
      <c r="I27" s="89" t="s">
        <v>337</v>
      </c>
      <c r="J27" s="89" t="s">
        <v>338</v>
      </c>
      <c r="K27" s="89" t="s">
        <v>338</v>
      </c>
      <c r="L27" s="89" t="s">
        <v>338</v>
      </c>
      <c r="M27" s="89" t="s">
        <v>334</v>
      </c>
      <c r="N27" s="89" t="s">
        <v>334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17</v>
      </c>
      <c r="D28" s="89" t="s">
        <v>35</v>
      </c>
      <c r="E28" s="89" t="s">
        <v>119</v>
      </c>
      <c r="F28" s="89" t="s">
        <v>129</v>
      </c>
      <c r="G28" s="89" t="s">
        <v>17</v>
      </c>
      <c r="H28" s="89" t="s">
        <v>35</v>
      </c>
      <c r="I28" s="89" t="s">
        <v>333</v>
      </c>
      <c r="J28" s="89" t="s">
        <v>36</v>
      </c>
      <c r="K28" s="89" t="s">
        <v>264</v>
      </c>
      <c r="L28" s="89" t="s">
        <v>36</v>
      </c>
      <c r="M28" s="89" t="s">
        <v>334</v>
      </c>
      <c r="N28" s="89" t="s">
        <v>468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 t="s">
        <v>331</v>
      </c>
      <c r="C29" s="89" t="s">
        <v>272</v>
      </c>
      <c r="D29" s="89" t="s">
        <v>130</v>
      </c>
      <c r="E29" s="89" t="s">
        <v>120</v>
      </c>
      <c r="F29" s="89" t="s">
        <v>130</v>
      </c>
      <c r="G29" s="89" t="s">
        <v>272</v>
      </c>
      <c r="H29" s="89" t="s">
        <v>130</v>
      </c>
      <c r="I29" s="89" t="s">
        <v>333</v>
      </c>
      <c r="J29" s="89" t="s">
        <v>264</v>
      </c>
      <c r="K29" s="89" t="s">
        <v>264</v>
      </c>
      <c r="L29" s="89" t="s">
        <v>264</v>
      </c>
      <c r="M29" s="89" t="s">
        <v>334</v>
      </c>
      <c r="N29" s="89" t="s">
        <v>334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">
      <c r="A31" s="89" t="s">
        <v>380</v>
      </c>
      <c r="B31" s="89" t="s">
        <v>331</v>
      </c>
      <c r="C31" s="89" t="s">
        <v>332</v>
      </c>
      <c r="D31" s="89" t="s">
        <v>170</v>
      </c>
      <c r="E31" s="89" t="s">
        <v>89</v>
      </c>
      <c r="F31" s="89" t="s">
        <v>131</v>
      </c>
      <c r="G31" s="89" t="s">
        <v>332</v>
      </c>
      <c r="H31" s="89" t="s">
        <v>131</v>
      </c>
      <c r="I31" s="89" t="s">
        <v>333</v>
      </c>
      <c r="J31" s="89" t="s">
        <v>264</v>
      </c>
      <c r="K31" s="89" t="s">
        <v>264</v>
      </c>
      <c r="L31" s="89" t="s">
        <v>268</v>
      </c>
      <c r="M31" s="89" t="s">
        <v>334</v>
      </c>
      <c r="N31" s="89" t="s">
        <v>469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 t="s">
        <v>331</v>
      </c>
      <c r="C34" s="89" t="s">
        <v>332</v>
      </c>
      <c r="D34" s="89" t="s">
        <v>132</v>
      </c>
      <c r="E34" s="89" t="s">
        <v>4</v>
      </c>
      <c r="F34" s="89" t="s">
        <v>132</v>
      </c>
      <c r="G34" s="89" t="s">
        <v>332</v>
      </c>
      <c r="H34" s="89" t="s">
        <v>132</v>
      </c>
      <c r="I34" s="89" t="s">
        <v>333</v>
      </c>
      <c r="J34" s="89" t="s">
        <v>36</v>
      </c>
      <c r="K34" s="89" t="s">
        <v>264</v>
      </c>
      <c r="L34" s="89" t="s">
        <v>36</v>
      </c>
      <c r="M34" s="89" t="s">
        <v>334</v>
      </c>
      <c r="N34" s="89" t="s">
        <v>468</v>
      </c>
      <c r="O34" s="89" t="s">
        <v>334</v>
      </c>
      <c r="P34" s="89" t="s">
        <v>334</v>
      </c>
      <c r="Q34" s="89"/>
    </row>
    <row r="35" spans="1:17" x14ac:dyDescent="0.2">
      <c r="A35" s="89" t="s">
        <v>386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470</v>
      </c>
      <c r="B40" s="89" t="s">
        <v>471</v>
      </c>
      <c r="C40" s="89" t="s">
        <v>337</v>
      </c>
      <c r="D40" s="89" t="s">
        <v>337</v>
      </c>
      <c r="E40" s="89"/>
      <c r="F40" s="89" t="s">
        <v>472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473</v>
      </c>
      <c r="B45" s="89" t="s">
        <v>474</v>
      </c>
      <c r="C45" s="89" t="s">
        <v>475</v>
      </c>
      <c r="D45" s="89" t="s">
        <v>476</v>
      </c>
      <c r="E45" s="89"/>
      <c r="F45" s="89" t="s">
        <v>477</v>
      </c>
      <c r="G45" s="89" t="s">
        <v>334</v>
      </c>
      <c r="H45" s="89" t="s">
        <v>477</v>
      </c>
      <c r="I45" s="89" t="s">
        <v>334</v>
      </c>
      <c r="J45" s="89" t="s">
        <v>334</v>
      </c>
      <c r="K45" s="89" t="s">
        <v>478</v>
      </c>
      <c r="L45" s="89" t="s">
        <v>334</v>
      </c>
      <c r="M45" s="89" t="s">
        <v>479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480</v>
      </c>
      <c r="C2" s="89" t="s">
        <v>481</v>
      </c>
      <c r="D2" s="89" t="s">
        <v>482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483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</row>
    <row r="7" spans="1:17" x14ac:dyDescent="0.2">
      <c r="A7" s="89" t="s">
        <v>336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</row>
    <row r="8" spans="1:17" x14ac:dyDescent="0.2">
      <c r="A8" s="89" t="s">
        <v>341</v>
      </c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</row>
    <row r="9" spans="1:17" x14ac:dyDescent="0.2">
      <c r="A9" s="89" t="s">
        <v>344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</row>
    <row r="10" spans="1:17" x14ac:dyDescent="0.2">
      <c r="A10" s="89" t="s">
        <v>345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 t="s">
        <v>331</v>
      </c>
      <c r="C12" s="89"/>
      <c r="D12" s="89"/>
      <c r="E12" s="89" t="s">
        <v>484</v>
      </c>
      <c r="F12" s="89" t="s">
        <v>76</v>
      </c>
      <c r="G12" s="89" t="s">
        <v>53</v>
      </c>
      <c r="H12" s="89" t="s">
        <v>76</v>
      </c>
      <c r="I12" s="89" t="s">
        <v>337</v>
      </c>
      <c r="J12" s="89" t="s">
        <v>485</v>
      </c>
      <c r="K12" s="89" t="s">
        <v>485</v>
      </c>
      <c r="L12" s="89" t="s">
        <v>486</v>
      </c>
      <c r="M12" s="89" t="s">
        <v>487</v>
      </c>
      <c r="N12" s="89" t="s">
        <v>334</v>
      </c>
      <c r="O12" s="89" t="s">
        <v>334</v>
      </c>
      <c r="P12" s="89" t="s">
        <v>334</v>
      </c>
      <c r="Q12" s="89"/>
    </row>
    <row r="13" spans="1:17" x14ac:dyDescent="0.2">
      <c r="A13" s="89" t="s">
        <v>349</v>
      </c>
      <c r="B13" s="89" t="s">
        <v>331</v>
      </c>
      <c r="C13" s="89"/>
      <c r="D13" s="89"/>
      <c r="E13" s="89" t="s">
        <v>488</v>
      </c>
      <c r="F13" s="89" t="s">
        <v>77</v>
      </c>
      <c r="G13" s="89" t="s">
        <v>489</v>
      </c>
      <c r="H13" s="89" t="s">
        <v>77</v>
      </c>
      <c r="I13" s="89" t="s">
        <v>337</v>
      </c>
      <c r="J13" s="89" t="s">
        <v>445</v>
      </c>
      <c r="K13" s="89" t="s">
        <v>490</v>
      </c>
      <c r="L13" s="89" t="s">
        <v>490</v>
      </c>
      <c r="M13" s="89" t="s">
        <v>334</v>
      </c>
      <c r="N13" s="89" t="s">
        <v>334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</row>
    <row r="15" spans="1:17" x14ac:dyDescent="0.2">
      <c r="A15" s="89" t="s">
        <v>353</v>
      </c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</row>
    <row r="16" spans="1:17" x14ac:dyDescent="0.2">
      <c r="A16" s="89" t="s">
        <v>354</v>
      </c>
      <c r="B16" s="89" t="s">
        <v>331</v>
      </c>
      <c r="C16" s="89"/>
      <c r="D16" s="89"/>
      <c r="E16" s="89" t="s">
        <v>491</v>
      </c>
      <c r="F16" s="89" t="s">
        <v>51</v>
      </c>
      <c r="G16" s="89" t="s">
        <v>489</v>
      </c>
      <c r="H16" s="89" t="s">
        <v>51</v>
      </c>
      <c r="I16" s="89" t="s">
        <v>337</v>
      </c>
      <c r="J16" s="89" t="s">
        <v>445</v>
      </c>
      <c r="K16" s="89" t="s">
        <v>492</v>
      </c>
      <c r="L16" s="89" t="s">
        <v>492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</row>
    <row r="18" spans="1:17" x14ac:dyDescent="0.2">
      <c r="A18" s="89" t="s">
        <v>356</v>
      </c>
      <c r="B18" s="89" t="s">
        <v>331</v>
      </c>
      <c r="C18" s="89"/>
      <c r="D18" s="89"/>
      <c r="E18" s="89" t="s">
        <v>493</v>
      </c>
      <c r="F18" s="89" t="s">
        <v>101</v>
      </c>
      <c r="G18" s="89" t="s">
        <v>58</v>
      </c>
      <c r="H18" s="89" t="s">
        <v>101</v>
      </c>
      <c r="I18" s="89" t="s">
        <v>337</v>
      </c>
      <c r="J18" s="89" t="s">
        <v>338</v>
      </c>
      <c r="K18" s="89" t="s">
        <v>485</v>
      </c>
      <c r="L18" s="89" t="s">
        <v>485</v>
      </c>
      <c r="M18" s="89" t="s">
        <v>334</v>
      </c>
      <c r="N18" s="89" t="s">
        <v>334</v>
      </c>
      <c r="O18" s="89" t="s">
        <v>334</v>
      </c>
      <c r="P18" s="89" t="s">
        <v>334</v>
      </c>
      <c r="Q18" s="89"/>
    </row>
    <row r="19" spans="1:17" x14ac:dyDescent="0.2">
      <c r="A19" s="89" t="s">
        <v>358</v>
      </c>
      <c r="B19" s="89" t="s">
        <v>331</v>
      </c>
      <c r="C19" s="89"/>
      <c r="D19" s="89"/>
      <c r="E19" s="89" t="s">
        <v>126</v>
      </c>
      <c r="F19" s="89" t="s">
        <v>55</v>
      </c>
      <c r="G19" s="89" t="s">
        <v>494</v>
      </c>
      <c r="H19" s="89" t="s">
        <v>55</v>
      </c>
      <c r="I19" s="89" t="s">
        <v>337</v>
      </c>
      <c r="J19" s="89" t="s">
        <v>338</v>
      </c>
      <c r="K19" s="89" t="s">
        <v>338</v>
      </c>
      <c r="L19" s="89" t="s">
        <v>464</v>
      </c>
      <c r="M19" s="89" t="s">
        <v>465</v>
      </c>
      <c r="N19" s="89" t="s">
        <v>334</v>
      </c>
      <c r="O19" s="89" t="s">
        <v>334</v>
      </c>
      <c r="P19" s="89" t="s">
        <v>334</v>
      </c>
      <c r="Q19" s="89"/>
    </row>
    <row r="20" spans="1:17" x14ac:dyDescent="0.2">
      <c r="A20" s="89" t="s">
        <v>359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</row>
    <row r="21" spans="1:17" x14ac:dyDescent="0.2">
      <c r="A21" s="89" t="s">
        <v>360</v>
      </c>
      <c r="B21" s="89"/>
      <c r="C21" s="89"/>
      <c r="D21" s="89"/>
      <c r="E21" s="89" t="s">
        <v>495</v>
      </c>
      <c r="F21" s="89" t="s">
        <v>81</v>
      </c>
      <c r="G21" s="89" t="s">
        <v>58</v>
      </c>
      <c r="H21" s="89" t="s">
        <v>81</v>
      </c>
      <c r="I21" s="89" t="s">
        <v>337</v>
      </c>
      <c r="J21" s="89" t="s">
        <v>338</v>
      </c>
      <c r="K21" s="89" t="s">
        <v>496</v>
      </c>
      <c r="L21" s="89" t="s">
        <v>496</v>
      </c>
      <c r="M21" s="89" t="s">
        <v>334</v>
      </c>
      <c r="N21" s="89" t="s">
        <v>334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</row>
    <row r="23" spans="1:17" x14ac:dyDescent="0.2">
      <c r="A23" s="89" t="s">
        <v>365</v>
      </c>
      <c r="B23" s="89" t="s">
        <v>331</v>
      </c>
      <c r="C23" s="89"/>
      <c r="D23" s="89"/>
      <c r="E23" s="89" t="s">
        <v>161</v>
      </c>
      <c r="F23" s="89" t="s">
        <v>52</v>
      </c>
      <c r="G23" s="89" t="s">
        <v>58</v>
      </c>
      <c r="H23" s="89" t="s">
        <v>52</v>
      </c>
      <c r="I23" s="89" t="s">
        <v>337</v>
      </c>
      <c r="J23" s="89" t="s">
        <v>338</v>
      </c>
      <c r="K23" s="89" t="s">
        <v>338</v>
      </c>
      <c r="L23" s="89" t="s">
        <v>464</v>
      </c>
      <c r="M23" s="89" t="s">
        <v>465</v>
      </c>
      <c r="N23" s="89" t="s">
        <v>334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</row>
    <row r="25" spans="1:17" x14ac:dyDescent="0.2">
      <c r="A25" s="89" t="s">
        <v>370</v>
      </c>
      <c r="B25" s="89" t="s">
        <v>331</v>
      </c>
      <c r="C25" s="89"/>
      <c r="D25" s="89"/>
      <c r="E25" s="89" t="s">
        <v>497</v>
      </c>
      <c r="F25" s="89" t="s">
        <v>76</v>
      </c>
      <c r="G25" s="89" t="s">
        <v>53</v>
      </c>
      <c r="H25" s="89" t="s">
        <v>76</v>
      </c>
      <c r="I25" s="89" t="s">
        <v>337</v>
      </c>
      <c r="J25" s="89" t="s">
        <v>485</v>
      </c>
      <c r="K25" s="89" t="s">
        <v>485</v>
      </c>
      <c r="L25" s="89" t="s">
        <v>486</v>
      </c>
      <c r="M25" s="89" t="s">
        <v>487</v>
      </c>
      <c r="N25" s="89" t="s">
        <v>334</v>
      </c>
      <c r="O25" s="89" t="s">
        <v>334</v>
      </c>
      <c r="P25" s="89" t="s">
        <v>334</v>
      </c>
      <c r="Q25" s="89"/>
    </row>
    <row r="26" spans="1:17" x14ac:dyDescent="0.2">
      <c r="A26" s="89" t="s">
        <v>373</v>
      </c>
      <c r="B26" s="89" t="s">
        <v>331</v>
      </c>
      <c r="C26" s="89"/>
      <c r="D26" s="89"/>
      <c r="E26" s="89" t="s">
        <v>161</v>
      </c>
      <c r="F26" s="89" t="s">
        <v>74</v>
      </c>
      <c r="G26" s="89" t="s">
        <v>58</v>
      </c>
      <c r="H26" s="89" t="s">
        <v>74</v>
      </c>
      <c r="I26" s="89" t="s">
        <v>337</v>
      </c>
      <c r="J26" s="89" t="s">
        <v>338</v>
      </c>
      <c r="K26" s="89" t="s">
        <v>498</v>
      </c>
      <c r="L26" s="89" t="s">
        <v>498</v>
      </c>
      <c r="M26" s="89" t="s">
        <v>334</v>
      </c>
      <c r="N26" s="89" t="s">
        <v>334</v>
      </c>
      <c r="O26" s="89" t="s">
        <v>334</v>
      </c>
      <c r="P26" s="89" t="s">
        <v>334</v>
      </c>
      <c r="Q26" s="89"/>
    </row>
    <row r="27" spans="1:17" x14ac:dyDescent="0.2">
      <c r="A27" s="89" t="s">
        <v>374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">
      <c r="A28" s="89" t="s">
        <v>375</v>
      </c>
      <c r="B28" s="89" t="s">
        <v>331</v>
      </c>
      <c r="C28" s="89"/>
      <c r="D28" s="89"/>
      <c r="E28" s="89" t="s">
        <v>156</v>
      </c>
      <c r="F28" s="89" t="s">
        <v>129</v>
      </c>
      <c r="G28" s="89" t="s">
        <v>19</v>
      </c>
      <c r="H28" s="89" t="s">
        <v>35</v>
      </c>
      <c r="I28" s="89" t="s">
        <v>333</v>
      </c>
      <c r="J28" s="89" t="s">
        <v>119</v>
      </c>
      <c r="K28" s="89" t="s">
        <v>264</v>
      </c>
      <c r="L28" s="89" t="s">
        <v>119</v>
      </c>
      <c r="M28" s="89" t="s">
        <v>334</v>
      </c>
      <c r="N28" s="89" t="s">
        <v>419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">
      <c r="A30" s="89" t="s">
        <v>379</v>
      </c>
      <c r="B30" s="89" t="s">
        <v>331</v>
      </c>
      <c r="C30" s="89"/>
      <c r="D30" s="89"/>
      <c r="E30" s="89" t="s">
        <v>85</v>
      </c>
      <c r="F30" s="89" t="s">
        <v>82</v>
      </c>
      <c r="G30" s="89" t="s">
        <v>58</v>
      </c>
      <c r="H30" s="89" t="s">
        <v>82</v>
      </c>
      <c r="I30" s="89" t="s">
        <v>337</v>
      </c>
      <c r="J30" s="89" t="s">
        <v>338</v>
      </c>
      <c r="K30" s="89" t="s">
        <v>338</v>
      </c>
      <c r="L30" s="89" t="s">
        <v>499</v>
      </c>
      <c r="M30" s="89" t="s">
        <v>462</v>
      </c>
      <c r="N30" s="89" t="s">
        <v>334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 t="s">
        <v>331</v>
      </c>
      <c r="C33" s="89"/>
      <c r="D33" s="89"/>
      <c r="E33" s="89" t="s">
        <v>500</v>
      </c>
      <c r="F33" s="89" t="s">
        <v>84</v>
      </c>
      <c r="G33" s="89" t="s">
        <v>494</v>
      </c>
      <c r="H33" s="89" t="s">
        <v>84</v>
      </c>
      <c r="I33" s="89" t="s">
        <v>337</v>
      </c>
      <c r="J33" s="89" t="s">
        <v>338</v>
      </c>
      <c r="K33" s="89" t="s">
        <v>501</v>
      </c>
      <c r="L33" s="89" t="s">
        <v>501</v>
      </c>
      <c r="M33" s="89" t="s">
        <v>334</v>
      </c>
      <c r="N33" s="89" t="s">
        <v>334</v>
      </c>
      <c r="O33" s="89" t="s">
        <v>334</v>
      </c>
      <c r="P33" s="89" t="s">
        <v>334</v>
      </c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/>
      <c r="D35" s="89"/>
      <c r="E35" s="89" t="s">
        <v>164</v>
      </c>
      <c r="F35" s="89" t="s">
        <v>35</v>
      </c>
      <c r="G35" s="89" t="s">
        <v>58</v>
      </c>
      <c r="H35" s="89" t="s">
        <v>35</v>
      </c>
      <c r="I35" s="89" t="s">
        <v>337</v>
      </c>
      <c r="J35" s="89" t="s">
        <v>338</v>
      </c>
      <c r="K35" s="89" t="s">
        <v>338</v>
      </c>
      <c r="L35" s="89" t="s">
        <v>338</v>
      </c>
      <c r="M35" s="89" t="s">
        <v>334</v>
      </c>
      <c r="N35" s="89" t="s">
        <v>334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502</v>
      </c>
      <c r="B40" s="89" t="s">
        <v>502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503</v>
      </c>
      <c r="B45" s="89" t="s">
        <v>504</v>
      </c>
      <c r="C45" s="89" t="s">
        <v>505</v>
      </c>
      <c r="D45" s="89" t="s">
        <v>506</v>
      </c>
      <c r="E45" s="89"/>
      <c r="F45" s="89" t="s">
        <v>419</v>
      </c>
      <c r="G45" s="89" t="s">
        <v>334</v>
      </c>
      <c r="H45" s="89" t="s">
        <v>419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505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507</v>
      </c>
      <c r="C2" s="89" t="s">
        <v>508</v>
      </c>
      <c r="D2" s="89" t="s">
        <v>509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510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119</v>
      </c>
      <c r="D6" s="89" t="s">
        <v>489</v>
      </c>
      <c r="E6" s="89" t="s">
        <v>44</v>
      </c>
      <c r="F6" s="89" t="s">
        <v>50</v>
      </c>
      <c r="G6" s="89" t="s">
        <v>19</v>
      </c>
      <c r="H6" s="89" t="s">
        <v>489</v>
      </c>
      <c r="I6" s="89" t="s">
        <v>337</v>
      </c>
      <c r="J6" s="89" t="s">
        <v>445</v>
      </c>
      <c r="K6" s="89" t="s">
        <v>445</v>
      </c>
      <c r="L6" s="89" t="s">
        <v>485</v>
      </c>
      <c r="M6" s="89" t="s">
        <v>468</v>
      </c>
      <c r="N6" s="89" t="s">
        <v>334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</row>
    <row r="8" spans="1:17" x14ac:dyDescent="0.2">
      <c r="A8" s="89" t="s">
        <v>341</v>
      </c>
      <c r="B8" s="89" t="s">
        <v>331</v>
      </c>
      <c r="C8" s="89" t="s">
        <v>58</v>
      </c>
      <c r="D8" s="89" t="s">
        <v>35</v>
      </c>
      <c r="E8" s="89" t="s">
        <v>45</v>
      </c>
      <c r="F8" s="89" t="s">
        <v>51</v>
      </c>
      <c r="G8" s="89" t="s">
        <v>58</v>
      </c>
      <c r="H8" s="89" t="s">
        <v>51</v>
      </c>
      <c r="I8" s="89" t="s">
        <v>337</v>
      </c>
      <c r="J8" s="89" t="s">
        <v>338</v>
      </c>
      <c r="K8" s="89" t="s">
        <v>511</v>
      </c>
      <c r="L8" s="89" t="s">
        <v>511</v>
      </c>
      <c r="M8" s="89" t="s">
        <v>334</v>
      </c>
      <c r="N8" s="89" t="s">
        <v>334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</row>
    <row r="10" spans="1:17" x14ac:dyDescent="0.2">
      <c r="A10" s="89" t="s">
        <v>345</v>
      </c>
      <c r="B10" s="89" t="s">
        <v>331</v>
      </c>
      <c r="C10" s="89" t="s">
        <v>489</v>
      </c>
      <c r="D10" s="89" t="s">
        <v>35</v>
      </c>
      <c r="E10" s="89" t="s">
        <v>59</v>
      </c>
      <c r="F10" s="89" t="s">
        <v>51</v>
      </c>
      <c r="G10" s="89" t="s">
        <v>489</v>
      </c>
      <c r="H10" s="89" t="s">
        <v>51</v>
      </c>
      <c r="I10" s="89" t="s">
        <v>337</v>
      </c>
      <c r="J10" s="89" t="s">
        <v>445</v>
      </c>
      <c r="K10" s="89" t="s">
        <v>492</v>
      </c>
      <c r="L10" s="89" t="s">
        <v>492</v>
      </c>
      <c r="M10" s="89" t="s">
        <v>334</v>
      </c>
      <c r="N10" s="89" t="s">
        <v>334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 t="s">
        <v>331</v>
      </c>
      <c r="C11" s="89" t="s">
        <v>58</v>
      </c>
      <c r="D11" s="89" t="s">
        <v>35</v>
      </c>
      <c r="E11" s="89" t="s">
        <v>46</v>
      </c>
      <c r="F11" s="89" t="s">
        <v>52</v>
      </c>
      <c r="G11" s="89" t="s">
        <v>58</v>
      </c>
      <c r="H11" s="89" t="s">
        <v>52</v>
      </c>
      <c r="I11" s="89" t="s">
        <v>337</v>
      </c>
      <c r="J11" s="89" t="s">
        <v>338</v>
      </c>
      <c r="K11" s="89" t="s">
        <v>338</v>
      </c>
      <c r="L11" s="89" t="s">
        <v>464</v>
      </c>
      <c r="M11" s="89" t="s">
        <v>465</v>
      </c>
      <c r="N11" s="89" t="s">
        <v>334</v>
      </c>
      <c r="O11" s="89" t="s">
        <v>334</v>
      </c>
      <c r="P11" s="89" t="s">
        <v>334</v>
      </c>
      <c r="Q11" s="89"/>
    </row>
    <row r="12" spans="1:17" x14ac:dyDescent="0.2">
      <c r="A12" s="89" t="s">
        <v>348</v>
      </c>
      <c r="B12" s="89" t="s">
        <v>331</v>
      </c>
      <c r="C12" s="89" t="s">
        <v>332</v>
      </c>
      <c r="D12" s="89" t="s">
        <v>53</v>
      </c>
      <c r="E12" s="89" t="s">
        <v>5</v>
      </c>
      <c r="F12" s="89" t="s">
        <v>53</v>
      </c>
      <c r="G12" s="89" t="s">
        <v>332</v>
      </c>
      <c r="H12" s="89" t="s">
        <v>53</v>
      </c>
      <c r="I12" s="89" t="s">
        <v>337</v>
      </c>
      <c r="J12" s="89" t="s">
        <v>338</v>
      </c>
      <c r="K12" s="89" t="s">
        <v>338</v>
      </c>
      <c r="L12" s="89" t="s">
        <v>338</v>
      </c>
      <c r="M12" s="89" t="s">
        <v>334</v>
      </c>
      <c r="N12" s="89" t="s">
        <v>334</v>
      </c>
      <c r="O12" s="89" t="s">
        <v>334</v>
      </c>
      <c r="P12" s="89" t="s">
        <v>334</v>
      </c>
      <c r="Q12" s="89"/>
    </row>
    <row r="13" spans="1:17" x14ac:dyDescent="0.2">
      <c r="A13" s="89" t="s">
        <v>349</v>
      </c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</row>
    <row r="14" spans="1:17" x14ac:dyDescent="0.2">
      <c r="A14" s="89" t="s">
        <v>350</v>
      </c>
      <c r="B14" s="89" t="s">
        <v>331</v>
      </c>
      <c r="C14" s="89" t="s">
        <v>332</v>
      </c>
      <c r="D14" s="89" t="s">
        <v>53</v>
      </c>
      <c r="E14" s="89" t="s">
        <v>47</v>
      </c>
      <c r="F14" s="89" t="s">
        <v>53</v>
      </c>
      <c r="G14" s="89" t="s">
        <v>332</v>
      </c>
      <c r="H14" s="89" t="s">
        <v>53</v>
      </c>
      <c r="I14" s="89" t="s">
        <v>337</v>
      </c>
      <c r="J14" s="89" t="s">
        <v>338</v>
      </c>
      <c r="K14" s="89" t="s">
        <v>338</v>
      </c>
      <c r="L14" s="89" t="s">
        <v>338</v>
      </c>
      <c r="M14" s="89" t="s">
        <v>334</v>
      </c>
      <c r="N14" s="89" t="s">
        <v>334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</row>
    <row r="16" spans="1:17" x14ac:dyDescent="0.2">
      <c r="A16" s="89" t="s">
        <v>354</v>
      </c>
      <c r="B16" s="89" t="s">
        <v>331</v>
      </c>
      <c r="C16" s="89" t="s">
        <v>58</v>
      </c>
      <c r="D16" s="89" t="s">
        <v>35</v>
      </c>
      <c r="E16" s="89" t="s">
        <v>45</v>
      </c>
      <c r="F16" s="89" t="s">
        <v>51</v>
      </c>
      <c r="G16" s="89" t="s">
        <v>58</v>
      </c>
      <c r="H16" s="89" t="s">
        <v>51</v>
      </c>
      <c r="I16" s="89" t="s">
        <v>337</v>
      </c>
      <c r="J16" s="89" t="s">
        <v>338</v>
      </c>
      <c r="K16" s="89" t="s">
        <v>511</v>
      </c>
      <c r="L16" s="89" t="s">
        <v>511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 t="s">
        <v>331</v>
      </c>
      <c r="C17" s="89" t="s">
        <v>332</v>
      </c>
      <c r="D17" s="89" t="s">
        <v>170</v>
      </c>
      <c r="E17" s="89" t="s">
        <v>10</v>
      </c>
      <c r="F17" s="89" t="s">
        <v>54</v>
      </c>
      <c r="G17" s="89" t="s">
        <v>332</v>
      </c>
      <c r="H17" s="89" t="s">
        <v>170</v>
      </c>
      <c r="I17" s="89" t="s">
        <v>333</v>
      </c>
      <c r="J17" s="89" t="s">
        <v>264</v>
      </c>
      <c r="K17" s="89" t="s">
        <v>264</v>
      </c>
      <c r="L17" s="89" t="s">
        <v>264</v>
      </c>
      <c r="M17" s="89" t="s">
        <v>334</v>
      </c>
      <c r="N17" s="89" t="s">
        <v>334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 t="s">
        <v>331</v>
      </c>
      <c r="C19" s="89" t="s">
        <v>58</v>
      </c>
      <c r="D19" s="89" t="s">
        <v>512</v>
      </c>
      <c r="E19" s="89" t="s">
        <v>48</v>
      </c>
      <c r="F19" s="89" t="s">
        <v>55</v>
      </c>
      <c r="G19" s="89" t="s">
        <v>58</v>
      </c>
      <c r="H19" s="89" t="s">
        <v>55</v>
      </c>
      <c r="I19" s="89" t="s">
        <v>337</v>
      </c>
      <c r="J19" s="89" t="s">
        <v>485</v>
      </c>
      <c r="K19" s="89" t="s">
        <v>485</v>
      </c>
      <c r="L19" s="89" t="s">
        <v>513</v>
      </c>
      <c r="M19" s="89" t="s">
        <v>514</v>
      </c>
      <c r="N19" s="89" t="s">
        <v>334</v>
      </c>
      <c r="O19" s="89" t="s">
        <v>334</v>
      </c>
      <c r="P19" s="89" t="s">
        <v>334</v>
      </c>
      <c r="Q19" s="89"/>
    </row>
    <row r="20" spans="1:17" x14ac:dyDescent="0.2">
      <c r="A20" s="89" t="s">
        <v>359</v>
      </c>
      <c r="B20" s="89" t="s">
        <v>331</v>
      </c>
      <c r="C20" s="89" t="s">
        <v>264</v>
      </c>
      <c r="D20" s="89" t="s">
        <v>478</v>
      </c>
      <c r="E20" s="89" t="s">
        <v>49</v>
      </c>
      <c r="F20" s="89" t="s">
        <v>56</v>
      </c>
      <c r="G20" s="89" t="s">
        <v>264</v>
      </c>
      <c r="H20" s="89" t="s">
        <v>478</v>
      </c>
      <c r="I20" s="89" t="s">
        <v>333</v>
      </c>
      <c r="J20" s="89" t="s">
        <v>463</v>
      </c>
      <c r="K20" s="89" t="s">
        <v>463</v>
      </c>
      <c r="L20" s="89" t="s">
        <v>463</v>
      </c>
      <c r="M20" s="89" t="s">
        <v>334</v>
      </c>
      <c r="N20" s="89" t="s">
        <v>334</v>
      </c>
      <c r="O20" s="89" t="s">
        <v>334</v>
      </c>
      <c r="P20" s="89" t="s">
        <v>334</v>
      </c>
      <c r="Q20" s="89"/>
    </row>
    <row r="21" spans="1:17" x14ac:dyDescent="0.2">
      <c r="A21" s="89" t="s">
        <v>448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</row>
    <row r="22" spans="1:17" x14ac:dyDescent="0.2">
      <c r="A22" s="89" t="s">
        <v>362</v>
      </c>
      <c r="B22" s="89" t="s">
        <v>331</v>
      </c>
      <c r="C22" s="89" t="s">
        <v>58</v>
      </c>
      <c r="D22" s="89" t="s">
        <v>35</v>
      </c>
      <c r="E22" s="89" t="s">
        <v>46</v>
      </c>
      <c r="F22" s="89" t="s">
        <v>57</v>
      </c>
      <c r="G22" s="89" t="s">
        <v>58</v>
      </c>
      <c r="H22" s="89" t="s">
        <v>57</v>
      </c>
      <c r="I22" s="89" t="s">
        <v>337</v>
      </c>
      <c r="J22" s="89" t="s">
        <v>338</v>
      </c>
      <c r="K22" s="89" t="s">
        <v>338</v>
      </c>
      <c r="L22" s="89" t="s">
        <v>515</v>
      </c>
      <c r="M22" s="89" t="s">
        <v>516</v>
      </c>
      <c r="N22" s="89" t="s">
        <v>334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</row>
    <row r="24" spans="1:17" x14ac:dyDescent="0.2">
      <c r="A24" s="89" t="s">
        <v>368</v>
      </c>
      <c r="B24" s="89" t="s">
        <v>331</v>
      </c>
      <c r="C24" s="89" t="s">
        <v>332</v>
      </c>
      <c r="D24" s="89" t="s">
        <v>170</v>
      </c>
      <c r="E24" s="89" t="s">
        <v>4</v>
      </c>
      <c r="F24" s="89" t="s">
        <v>54</v>
      </c>
      <c r="G24" s="89" t="s">
        <v>332</v>
      </c>
      <c r="H24" s="89" t="s">
        <v>170</v>
      </c>
      <c r="I24" s="89" t="s">
        <v>333</v>
      </c>
      <c r="J24" s="89" t="s">
        <v>264</v>
      </c>
      <c r="K24" s="89" t="s">
        <v>264</v>
      </c>
      <c r="L24" s="89" t="s">
        <v>264</v>
      </c>
      <c r="M24" s="89" t="s">
        <v>334</v>
      </c>
      <c r="N24" s="89" t="s">
        <v>334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 t="s">
        <v>331</v>
      </c>
      <c r="C26" s="89" t="s">
        <v>19</v>
      </c>
      <c r="D26" s="89" t="s">
        <v>58</v>
      </c>
      <c r="E26" s="89" t="s">
        <v>44</v>
      </c>
      <c r="F26" s="89" t="s">
        <v>58</v>
      </c>
      <c r="G26" s="89" t="s">
        <v>19</v>
      </c>
      <c r="H26" s="89" t="s">
        <v>58</v>
      </c>
      <c r="I26" s="89" t="s">
        <v>337</v>
      </c>
      <c r="J26" s="89" t="s">
        <v>421</v>
      </c>
      <c r="K26" s="89" t="s">
        <v>421</v>
      </c>
      <c r="L26" s="89" t="s">
        <v>421</v>
      </c>
      <c r="M26" s="89" t="s">
        <v>334</v>
      </c>
      <c r="N26" s="89" t="s">
        <v>334</v>
      </c>
      <c r="O26" s="89" t="s">
        <v>334</v>
      </c>
      <c r="P26" s="89" t="s">
        <v>334</v>
      </c>
      <c r="Q26" s="89"/>
    </row>
    <row r="27" spans="1:17" x14ac:dyDescent="0.2">
      <c r="A27" s="89" t="s">
        <v>374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">
      <c r="A28" s="89" t="s">
        <v>375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</row>
    <row r="29" spans="1:17" x14ac:dyDescent="0.2">
      <c r="A29" s="89" t="s">
        <v>378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">
      <c r="A30" s="89" t="s">
        <v>379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">
      <c r="A31" s="89" t="s">
        <v>380</v>
      </c>
      <c r="B31" s="89" t="s">
        <v>517</v>
      </c>
      <c r="C31" s="89" t="s">
        <v>332</v>
      </c>
      <c r="D31" s="89" t="s">
        <v>53</v>
      </c>
      <c r="E31" s="89"/>
      <c r="F31" s="89"/>
      <c r="G31" s="89"/>
      <c r="H31" s="89"/>
      <c r="I31" s="89"/>
      <c r="J31" s="89" t="s">
        <v>338</v>
      </c>
      <c r="K31" s="89"/>
      <c r="L31" s="89"/>
      <c r="M31" s="89"/>
      <c r="N31" s="89"/>
      <c r="O31" s="89"/>
      <c r="P31" s="89"/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517</v>
      </c>
      <c r="C35" s="89" t="s">
        <v>264</v>
      </c>
      <c r="D35" s="89" t="s">
        <v>184</v>
      </c>
      <c r="E35" s="89"/>
      <c r="F35" s="89"/>
      <c r="G35" s="89"/>
      <c r="H35" s="89"/>
      <c r="I35" s="89"/>
      <c r="J35" s="89" t="s">
        <v>338</v>
      </c>
      <c r="K35" s="89"/>
      <c r="L35" s="89"/>
      <c r="M35" s="89"/>
      <c r="N35" s="89"/>
      <c r="O35" s="89"/>
      <c r="P35" s="89"/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471</v>
      </c>
      <c r="B40" s="89" t="s">
        <v>502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518</v>
      </c>
      <c r="B45" s="89" t="s">
        <v>519</v>
      </c>
      <c r="C45" s="89" t="s">
        <v>519</v>
      </c>
      <c r="D45" s="89" t="s">
        <v>419</v>
      </c>
      <c r="E45" s="89"/>
      <c r="F45" s="89" t="s">
        <v>334</v>
      </c>
      <c r="G45" s="89" t="s">
        <v>334</v>
      </c>
      <c r="H45" s="89" t="s">
        <v>334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519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520</v>
      </c>
      <c r="C2" s="89" t="s">
        <v>521</v>
      </c>
      <c r="D2" s="89" t="s">
        <v>522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523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119</v>
      </c>
      <c r="D6" s="89" t="s">
        <v>35</v>
      </c>
      <c r="E6" s="89" t="s">
        <v>60</v>
      </c>
      <c r="F6" s="89" t="s">
        <v>74</v>
      </c>
      <c r="G6" s="89" t="s">
        <v>119</v>
      </c>
      <c r="H6" s="89" t="s">
        <v>74</v>
      </c>
      <c r="I6" s="89" t="s">
        <v>333</v>
      </c>
      <c r="J6" s="89" t="s">
        <v>19</v>
      </c>
      <c r="K6" s="89" t="s">
        <v>264</v>
      </c>
      <c r="L6" s="89" t="s">
        <v>116</v>
      </c>
      <c r="M6" s="89" t="s">
        <v>334</v>
      </c>
      <c r="N6" s="89" t="s">
        <v>524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 t="s">
        <v>331</v>
      </c>
      <c r="C7" s="89" t="s">
        <v>58</v>
      </c>
      <c r="D7" s="89" t="s">
        <v>35</v>
      </c>
      <c r="E7" s="89" t="s">
        <v>85</v>
      </c>
      <c r="F7" s="89" t="s">
        <v>80</v>
      </c>
      <c r="G7" s="89" t="s">
        <v>58</v>
      </c>
      <c r="H7" s="89" t="s">
        <v>80</v>
      </c>
      <c r="I7" s="89" t="s">
        <v>337</v>
      </c>
      <c r="J7" s="89" t="s">
        <v>338</v>
      </c>
      <c r="K7" s="89" t="s">
        <v>525</v>
      </c>
      <c r="L7" s="89" t="s">
        <v>525</v>
      </c>
      <c r="M7" s="89" t="s">
        <v>334</v>
      </c>
      <c r="N7" s="89" t="s">
        <v>334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 t="s">
        <v>331</v>
      </c>
      <c r="C8" s="89" t="s">
        <v>272</v>
      </c>
      <c r="D8" s="89" t="s">
        <v>132</v>
      </c>
      <c r="E8" s="89" t="s">
        <v>86</v>
      </c>
      <c r="F8" s="89" t="s">
        <v>96</v>
      </c>
      <c r="G8" s="89" t="s">
        <v>272</v>
      </c>
      <c r="H8" s="89" t="s">
        <v>96</v>
      </c>
      <c r="I8" s="89" t="s">
        <v>333</v>
      </c>
      <c r="J8" s="89" t="s">
        <v>256</v>
      </c>
      <c r="K8" s="89" t="s">
        <v>256</v>
      </c>
      <c r="L8" s="89" t="s">
        <v>254</v>
      </c>
      <c r="M8" s="89" t="s">
        <v>526</v>
      </c>
      <c r="N8" s="89" t="s">
        <v>334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</row>
    <row r="10" spans="1:17" x14ac:dyDescent="0.2">
      <c r="A10" s="89" t="s">
        <v>345</v>
      </c>
      <c r="B10" s="89" t="s">
        <v>331</v>
      </c>
      <c r="C10" s="89" t="s">
        <v>36</v>
      </c>
      <c r="D10" s="89" t="s">
        <v>269</v>
      </c>
      <c r="E10" s="89" t="s">
        <v>108</v>
      </c>
      <c r="F10" s="89" t="s">
        <v>109</v>
      </c>
      <c r="G10" s="89" t="s">
        <v>36</v>
      </c>
      <c r="H10" s="89" t="s">
        <v>109</v>
      </c>
      <c r="I10" s="89" t="s">
        <v>333</v>
      </c>
      <c r="J10" s="89" t="s">
        <v>272</v>
      </c>
      <c r="K10" s="89" t="s">
        <v>264</v>
      </c>
      <c r="L10" s="89" t="s">
        <v>9</v>
      </c>
      <c r="M10" s="89" t="s">
        <v>334</v>
      </c>
      <c r="N10" s="89" t="s">
        <v>388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 t="s">
        <v>331</v>
      </c>
      <c r="C11" s="89" t="s">
        <v>332</v>
      </c>
      <c r="D11" s="89" t="s">
        <v>170</v>
      </c>
      <c r="E11" s="89" t="s">
        <v>5</v>
      </c>
      <c r="F11" s="89" t="s">
        <v>97</v>
      </c>
      <c r="G11" s="89" t="s">
        <v>332</v>
      </c>
      <c r="H11" s="89" t="s">
        <v>97</v>
      </c>
      <c r="I11" s="89" t="s">
        <v>333</v>
      </c>
      <c r="J11" s="89" t="s">
        <v>264</v>
      </c>
      <c r="K11" s="89" t="s">
        <v>264</v>
      </c>
      <c r="L11" s="89" t="s">
        <v>259</v>
      </c>
      <c r="M11" s="89" t="s">
        <v>334</v>
      </c>
      <c r="N11" s="89" t="s">
        <v>527</v>
      </c>
      <c r="O11" s="89" t="s">
        <v>334</v>
      </c>
      <c r="P11" s="89" t="s">
        <v>334</v>
      </c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19</v>
      </c>
      <c r="D13" s="89" t="s">
        <v>230</v>
      </c>
      <c r="E13" s="89" t="s">
        <v>87</v>
      </c>
      <c r="F13" s="89" t="s">
        <v>98</v>
      </c>
      <c r="G13" s="89" t="s">
        <v>19</v>
      </c>
      <c r="H13" s="89" t="s">
        <v>98</v>
      </c>
      <c r="I13" s="89" t="s">
        <v>333</v>
      </c>
      <c r="J13" s="89" t="s">
        <v>264</v>
      </c>
      <c r="K13" s="89" t="s">
        <v>264</v>
      </c>
      <c r="L13" s="89" t="s">
        <v>258</v>
      </c>
      <c r="M13" s="89" t="s">
        <v>334</v>
      </c>
      <c r="N13" s="89" t="s">
        <v>528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331</v>
      </c>
      <c r="C14" s="89" t="s">
        <v>264</v>
      </c>
      <c r="D14" s="89" t="s">
        <v>132</v>
      </c>
      <c r="E14" s="89" t="s">
        <v>88</v>
      </c>
      <c r="F14" s="89" t="s">
        <v>99</v>
      </c>
      <c r="G14" s="89" t="s">
        <v>264</v>
      </c>
      <c r="H14" s="89" t="s">
        <v>99</v>
      </c>
      <c r="I14" s="89" t="s">
        <v>333</v>
      </c>
      <c r="J14" s="89" t="s">
        <v>264</v>
      </c>
      <c r="K14" s="89" t="s">
        <v>264</v>
      </c>
      <c r="L14" s="89" t="s">
        <v>258</v>
      </c>
      <c r="M14" s="89" t="s">
        <v>334</v>
      </c>
      <c r="N14" s="89" t="s">
        <v>528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332</v>
      </c>
      <c r="D15" s="89" t="s">
        <v>170</v>
      </c>
      <c r="E15" s="89" t="s">
        <v>89</v>
      </c>
      <c r="F15" s="89" t="s">
        <v>100</v>
      </c>
      <c r="G15" s="89" t="s">
        <v>332</v>
      </c>
      <c r="H15" s="89" t="s">
        <v>170</v>
      </c>
      <c r="I15" s="89" t="s">
        <v>333</v>
      </c>
      <c r="J15" s="89" t="s">
        <v>264</v>
      </c>
      <c r="K15" s="89" t="s">
        <v>264</v>
      </c>
      <c r="L15" s="89" t="s">
        <v>264</v>
      </c>
      <c r="M15" s="89" t="s">
        <v>334</v>
      </c>
      <c r="N15" s="89" t="s">
        <v>334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</row>
    <row r="17" spans="1:17" x14ac:dyDescent="0.2">
      <c r="A17" s="89" t="s">
        <v>355</v>
      </c>
      <c r="B17" s="89" t="s">
        <v>393</v>
      </c>
      <c r="C17" s="89" t="s">
        <v>264</v>
      </c>
      <c r="D17" s="89" t="s">
        <v>132</v>
      </c>
      <c r="E17" s="89"/>
      <c r="F17" s="89"/>
      <c r="G17" s="89"/>
      <c r="H17" s="89"/>
      <c r="I17" s="89"/>
      <c r="J17" s="89" t="s">
        <v>264</v>
      </c>
      <c r="K17" s="89"/>
      <c r="L17" s="89"/>
      <c r="M17" s="89"/>
      <c r="N17" s="89"/>
      <c r="O17" s="89"/>
      <c r="P17" s="89"/>
      <c r="Q17" s="89"/>
    </row>
    <row r="18" spans="1:17" x14ac:dyDescent="0.2">
      <c r="A18" s="89" t="s">
        <v>356</v>
      </c>
      <c r="B18" s="89" t="s">
        <v>331</v>
      </c>
      <c r="C18" s="89" t="s">
        <v>351</v>
      </c>
      <c r="D18" s="89" t="s">
        <v>35</v>
      </c>
      <c r="E18" s="89" t="s">
        <v>90</v>
      </c>
      <c r="F18" s="89" t="s">
        <v>101</v>
      </c>
      <c r="G18" s="89" t="s">
        <v>351</v>
      </c>
      <c r="H18" s="89" t="s">
        <v>101</v>
      </c>
      <c r="I18" s="89" t="s">
        <v>333</v>
      </c>
      <c r="J18" s="89" t="s">
        <v>264</v>
      </c>
      <c r="K18" s="89" t="s">
        <v>225</v>
      </c>
      <c r="L18" s="89" t="s">
        <v>225</v>
      </c>
      <c r="M18" s="89" t="s">
        <v>334</v>
      </c>
      <c r="N18" s="89" t="s">
        <v>334</v>
      </c>
      <c r="O18" s="89" t="s">
        <v>334</v>
      </c>
      <c r="P18" s="89" t="s">
        <v>334</v>
      </c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331</v>
      </c>
      <c r="C20" s="89" t="s">
        <v>19</v>
      </c>
      <c r="D20" s="89" t="s">
        <v>230</v>
      </c>
      <c r="E20" s="89" t="s">
        <v>87</v>
      </c>
      <c r="F20" s="89" t="s">
        <v>98</v>
      </c>
      <c r="G20" s="89" t="s">
        <v>19</v>
      </c>
      <c r="H20" s="89" t="s">
        <v>98</v>
      </c>
      <c r="I20" s="89" t="s">
        <v>333</v>
      </c>
      <c r="J20" s="89" t="s">
        <v>264</v>
      </c>
      <c r="K20" s="89" t="s">
        <v>264</v>
      </c>
      <c r="L20" s="89" t="s">
        <v>258</v>
      </c>
      <c r="M20" s="89" t="s">
        <v>334</v>
      </c>
      <c r="N20" s="89" t="s">
        <v>528</v>
      </c>
      <c r="O20" s="89" t="s">
        <v>334</v>
      </c>
      <c r="P20" s="89" t="s">
        <v>334</v>
      </c>
      <c r="Q20" s="89"/>
    </row>
    <row r="21" spans="1:17" x14ac:dyDescent="0.2">
      <c r="A21" s="89" t="s">
        <v>360</v>
      </c>
      <c r="B21" s="89"/>
      <c r="C21" s="89" t="s">
        <v>332</v>
      </c>
      <c r="D21" s="89" t="s">
        <v>170</v>
      </c>
      <c r="E21" s="89" t="s">
        <v>91</v>
      </c>
      <c r="F21" s="89" t="s">
        <v>102</v>
      </c>
      <c r="G21" s="89" t="s">
        <v>332</v>
      </c>
      <c r="H21" s="89" t="s">
        <v>102</v>
      </c>
      <c r="I21" s="89" t="s">
        <v>333</v>
      </c>
      <c r="J21" s="89" t="s">
        <v>264</v>
      </c>
      <c r="K21" s="89" t="s">
        <v>264</v>
      </c>
      <c r="L21" s="89" t="s">
        <v>270</v>
      </c>
      <c r="M21" s="89" t="s">
        <v>334</v>
      </c>
      <c r="N21" s="89" t="s">
        <v>467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</row>
    <row r="23" spans="1:17" x14ac:dyDescent="0.2">
      <c r="A23" s="89" t="s">
        <v>365</v>
      </c>
      <c r="B23" s="89" t="s">
        <v>331</v>
      </c>
      <c r="C23" s="89" t="s">
        <v>252</v>
      </c>
      <c r="D23" s="89" t="s">
        <v>278</v>
      </c>
      <c r="E23" s="89" t="s">
        <v>92</v>
      </c>
      <c r="F23" s="89" t="s">
        <v>103</v>
      </c>
      <c r="G23" s="89" t="s">
        <v>252</v>
      </c>
      <c r="H23" s="89" t="s">
        <v>103</v>
      </c>
      <c r="I23" s="89" t="s">
        <v>333</v>
      </c>
      <c r="J23" s="89" t="s">
        <v>264</v>
      </c>
      <c r="K23" s="89" t="s">
        <v>264</v>
      </c>
      <c r="L23" s="89" t="s">
        <v>258</v>
      </c>
      <c r="M23" s="89" t="s">
        <v>334</v>
      </c>
      <c r="N23" s="89" t="s">
        <v>528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 t="s">
        <v>331</v>
      </c>
      <c r="C24" s="89" t="s">
        <v>332</v>
      </c>
      <c r="D24" s="89" t="s">
        <v>263</v>
      </c>
      <c r="E24" s="89" t="s">
        <v>4</v>
      </c>
      <c r="F24" s="89" t="s">
        <v>104</v>
      </c>
      <c r="G24" s="89" t="s">
        <v>332</v>
      </c>
      <c r="H24" s="89" t="s">
        <v>104</v>
      </c>
      <c r="I24" s="89" t="s">
        <v>333</v>
      </c>
      <c r="J24" s="89" t="s">
        <v>274</v>
      </c>
      <c r="K24" s="89" t="s">
        <v>264</v>
      </c>
      <c r="L24" s="89" t="s">
        <v>262</v>
      </c>
      <c r="M24" s="89" t="s">
        <v>334</v>
      </c>
      <c r="N24" s="89" t="s">
        <v>529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 t="s">
        <v>331</v>
      </c>
      <c r="C25" s="89" t="s">
        <v>351</v>
      </c>
      <c r="D25" s="89" t="s">
        <v>35</v>
      </c>
      <c r="E25" s="89" t="s">
        <v>62</v>
      </c>
      <c r="F25" s="89" t="s">
        <v>76</v>
      </c>
      <c r="G25" s="89" t="s">
        <v>351</v>
      </c>
      <c r="H25" s="89" t="s">
        <v>76</v>
      </c>
      <c r="I25" s="89" t="s">
        <v>333</v>
      </c>
      <c r="J25" s="89" t="s">
        <v>264</v>
      </c>
      <c r="K25" s="89" t="s">
        <v>203</v>
      </c>
      <c r="L25" s="89" t="s">
        <v>203</v>
      </c>
      <c r="M25" s="89" t="s">
        <v>334</v>
      </c>
      <c r="N25" s="89" t="s">
        <v>334</v>
      </c>
      <c r="O25" s="89" t="s">
        <v>334</v>
      </c>
      <c r="P25" s="89" t="s">
        <v>334</v>
      </c>
      <c r="Q25" s="89"/>
    </row>
    <row r="26" spans="1:17" x14ac:dyDescent="0.2">
      <c r="A26" s="89" t="s">
        <v>373</v>
      </c>
      <c r="B26" s="89" t="s">
        <v>331</v>
      </c>
      <c r="C26" s="89" t="s">
        <v>19</v>
      </c>
      <c r="D26" s="89" t="s">
        <v>58</v>
      </c>
      <c r="E26" s="89" t="s">
        <v>44</v>
      </c>
      <c r="F26" s="89" t="s">
        <v>58</v>
      </c>
      <c r="G26" s="89" t="s">
        <v>19</v>
      </c>
      <c r="H26" s="89" t="s">
        <v>58</v>
      </c>
      <c r="I26" s="89" t="s">
        <v>337</v>
      </c>
      <c r="J26" s="89" t="s">
        <v>421</v>
      </c>
      <c r="K26" s="89" t="s">
        <v>421</v>
      </c>
      <c r="L26" s="89" t="s">
        <v>421</v>
      </c>
      <c r="M26" s="89" t="s">
        <v>334</v>
      </c>
      <c r="N26" s="89" t="s">
        <v>334</v>
      </c>
      <c r="O26" s="89" t="s">
        <v>334</v>
      </c>
      <c r="P26" s="89" t="s">
        <v>334</v>
      </c>
      <c r="Q26" s="89"/>
    </row>
    <row r="27" spans="1:17" x14ac:dyDescent="0.2">
      <c r="A27" s="89" t="s">
        <v>374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">
      <c r="A28" s="89" t="s">
        <v>375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</row>
    <row r="29" spans="1:17" x14ac:dyDescent="0.2">
      <c r="A29" s="89" t="s">
        <v>378</v>
      </c>
      <c r="B29" s="89" t="s">
        <v>331</v>
      </c>
      <c r="C29" s="89" t="s">
        <v>351</v>
      </c>
      <c r="D29" s="89" t="s">
        <v>35</v>
      </c>
      <c r="E29" s="89" t="s">
        <v>61</v>
      </c>
      <c r="F29" s="89" t="s">
        <v>74</v>
      </c>
      <c r="G29" s="89" t="s">
        <v>351</v>
      </c>
      <c r="H29" s="89" t="s">
        <v>74</v>
      </c>
      <c r="I29" s="89" t="s">
        <v>333</v>
      </c>
      <c r="J29" s="89" t="s">
        <v>264</v>
      </c>
      <c r="K29" s="89" t="s">
        <v>210</v>
      </c>
      <c r="L29" s="89" t="s">
        <v>210</v>
      </c>
      <c r="M29" s="89" t="s">
        <v>334</v>
      </c>
      <c r="N29" s="89" t="s">
        <v>334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 t="s">
        <v>331</v>
      </c>
      <c r="C30" s="89" t="s">
        <v>332</v>
      </c>
      <c r="D30" s="89" t="s">
        <v>170</v>
      </c>
      <c r="E30" s="89" t="s">
        <v>93</v>
      </c>
      <c r="F30" s="89" t="s">
        <v>105</v>
      </c>
      <c r="G30" s="89" t="s">
        <v>332</v>
      </c>
      <c r="H30" s="89" t="s">
        <v>105</v>
      </c>
      <c r="I30" s="89" t="s">
        <v>333</v>
      </c>
      <c r="J30" s="89" t="s">
        <v>264</v>
      </c>
      <c r="K30" s="89" t="s">
        <v>264</v>
      </c>
      <c r="L30" s="89" t="s">
        <v>265</v>
      </c>
      <c r="M30" s="89" t="s">
        <v>334</v>
      </c>
      <c r="N30" s="89" t="s">
        <v>450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</row>
    <row r="32" spans="1:17" x14ac:dyDescent="0.2">
      <c r="A32" s="89" t="s">
        <v>381</v>
      </c>
      <c r="B32" s="89" t="s">
        <v>331</v>
      </c>
      <c r="C32" s="89" t="s">
        <v>351</v>
      </c>
      <c r="D32" s="89" t="s">
        <v>35</v>
      </c>
      <c r="E32" s="89" t="s">
        <v>68</v>
      </c>
      <c r="F32" s="89" t="s">
        <v>83</v>
      </c>
      <c r="G32" s="89" t="s">
        <v>351</v>
      </c>
      <c r="H32" s="89" t="s">
        <v>83</v>
      </c>
      <c r="I32" s="89" t="s">
        <v>333</v>
      </c>
      <c r="J32" s="89" t="s">
        <v>264</v>
      </c>
      <c r="K32" s="89" t="s">
        <v>209</v>
      </c>
      <c r="L32" s="89" t="s">
        <v>209</v>
      </c>
      <c r="M32" s="89" t="s">
        <v>334</v>
      </c>
      <c r="N32" s="89" t="s">
        <v>334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 t="s">
        <v>331</v>
      </c>
      <c r="C33" s="89" t="s">
        <v>225</v>
      </c>
      <c r="D33" s="89" t="s">
        <v>494</v>
      </c>
      <c r="E33" s="89" t="s">
        <v>94</v>
      </c>
      <c r="F33" s="89" t="s">
        <v>106</v>
      </c>
      <c r="G33" s="89" t="s">
        <v>225</v>
      </c>
      <c r="H33" s="89" t="s">
        <v>494</v>
      </c>
      <c r="I33" s="89" t="s">
        <v>337</v>
      </c>
      <c r="J33" s="89" t="s">
        <v>485</v>
      </c>
      <c r="K33" s="89" t="s">
        <v>485</v>
      </c>
      <c r="L33" s="89" t="s">
        <v>530</v>
      </c>
      <c r="M33" s="89" t="s">
        <v>468</v>
      </c>
      <c r="N33" s="89" t="s">
        <v>334</v>
      </c>
      <c r="O33" s="89" t="s">
        <v>334</v>
      </c>
      <c r="P33" s="89" t="s">
        <v>334</v>
      </c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264</v>
      </c>
      <c r="D35" s="89" t="s">
        <v>132</v>
      </c>
      <c r="E35" s="89" t="s">
        <v>95</v>
      </c>
      <c r="F35" s="89" t="s">
        <v>107</v>
      </c>
      <c r="G35" s="89" t="s">
        <v>264</v>
      </c>
      <c r="H35" s="89" t="s">
        <v>107</v>
      </c>
      <c r="I35" s="89" t="s">
        <v>333</v>
      </c>
      <c r="J35" s="89" t="s">
        <v>264</v>
      </c>
      <c r="K35" s="89" t="s">
        <v>264</v>
      </c>
      <c r="L35" s="89" t="s">
        <v>274</v>
      </c>
      <c r="M35" s="89" t="s">
        <v>334</v>
      </c>
      <c r="N35" s="89" t="s">
        <v>422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531</v>
      </c>
      <c r="B40" s="89" t="s">
        <v>532</v>
      </c>
      <c r="C40" s="89" t="s">
        <v>337</v>
      </c>
      <c r="D40" s="89" t="s">
        <v>337</v>
      </c>
      <c r="E40" s="89"/>
      <c r="F40" s="89" t="s">
        <v>533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534</v>
      </c>
      <c r="B45" s="89" t="s">
        <v>535</v>
      </c>
      <c r="C45" s="89" t="s">
        <v>536</v>
      </c>
      <c r="D45" s="89" t="s">
        <v>537</v>
      </c>
      <c r="E45" s="89"/>
      <c r="F45" s="89" t="s">
        <v>538</v>
      </c>
      <c r="G45" s="89" t="s">
        <v>334</v>
      </c>
      <c r="H45" s="89" t="s">
        <v>538</v>
      </c>
      <c r="I45" s="89" t="s">
        <v>334</v>
      </c>
      <c r="J45" s="89" t="s">
        <v>334</v>
      </c>
      <c r="K45" s="89" t="s">
        <v>264</v>
      </c>
      <c r="L45" s="89" t="s">
        <v>334</v>
      </c>
      <c r="M45" s="89" t="s">
        <v>539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540</v>
      </c>
      <c r="C2" s="89" t="s">
        <v>541</v>
      </c>
      <c r="D2" s="89"/>
      <c r="E2" s="89" t="s">
        <v>542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510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517</v>
      </c>
      <c r="C6" s="89" t="s">
        <v>19</v>
      </c>
      <c r="D6" s="89" t="s">
        <v>63</v>
      </c>
      <c r="E6" s="89"/>
      <c r="F6" s="89"/>
      <c r="G6" s="89"/>
      <c r="H6" s="89"/>
      <c r="I6" s="89"/>
      <c r="J6" s="89" t="s">
        <v>543</v>
      </c>
      <c r="K6" s="89"/>
      <c r="L6" s="89"/>
      <c r="M6" s="89"/>
      <c r="N6" s="89"/>
      <c r="O6" s="89"/>
      <c r="P6" s="89"/>
      <c r="Q6" s="89"/>
    </row>
    <row r="7" spans="1:17" x14ac:dyDescent="0.2">
      <c r="A7" s="89" t="s">
        <v>336</v>
      </c>
      <c r="B7" s="89" t="s">
        <v>331</v>
      </c>
      <c r="C7" s="89" t="s">
        <v>332</v>
      </c>
      <c r="D7" s="89" t="s">
        <v>53</v>
      </c>
      <c r="E7" s="89" t="s">
        <v>16</v>
      </c>
      <c r="F7" s="89" t="s">
        <v>157</v>
      </c>
      <c r="G7" s="89" t="s">
        <v>332</v>
      </c>
      <c r="H7" s="89" t="s">
        <v>157</v>
      </c>
      <c r="I7" s="89" t="s">
        <v>337</v>
      </c>
      <c r="J7" s="89" t="s">
        <v>338</v>
      </c>
      <c r="K7" s="89" t="s">
        <v>338</v>
      </c>
      <c r="L7" s="89" t="s">
        <v>544</v>
      </c>
      <c r="M7" s="89" t="s">
        <v>526</v>
      </c>
      <c r="N7" s="89" t="s">
        <v>334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 t="s">
        <v>331</v>
      </c>
      <c r="C8" s="89" t="s">
        <v>332</v>
      </c>
      <c r="D8" s="89" t="s">
        <v>545</v>
      </c>
      <c r="E8" s="89" t="s">
        <v>14</v>
      </c>
      <c r="F8" s="89" t="s">
        <v>158</v>
      </c>
      <c r="G8" s="89" t="s">
        <v>332</v>
      </c>
      <c r="H8" s="89" t="s">
        <v>158</v>
      </c>
      <c r="I8" s="89" t="s">
        <v>337</v>
      </c>
      <c r="J8" s="89" t="s">
        <v>445</v>
      </c>
      <c r="K8" s="89" t="s">
        <v>445</v>
      </c>
      <c r="L8" s="89" t="s">
        <v>546</v>
      </c>
      <c r="M8" s="89" t="s">
        <v>422</v>
      </c>
      <c r="N8" s="89" t="s">
        <v>334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</row>
    <row r="10" spans="1:17" x14ac:dyDescent="0.2">
      <c r="A10" s="89" t="s">
        <v>345</v>
      </c>
      <c r="B10" s="89" t="s">
        <v>331</v>
      </c>
      <c r="C10" s="89" t="s">
        <v>332</v>
      </c>
      <c r="D10" s="89" t="s">
        <v>547</v>
      </c>
      <c r="E10" s="89" t="s">
        <v>14</v>
      </c>
      <c r="F10" s="89" t="s">
        <v>159</v>
      </c>
      <c r="G10" s="89" t="s">
        <v>332</v>
      </c>
      <c r="H10" s="89" t="s">
        <v>547</v>
      </c>
      <c r="I10" s="89" t="s">
        <v>337</v>
      </c>
      <c r="J10" s="89" t="s">
        <v>421</v>
      </c>
      <c r="K10" s="89" t="s">
        <v>421</v>
      </c>
      <c r="L10" s="89" t="s">
        <v>421</v>
      </c>
      <c r="M10" s="89" t="s">
        <v>334</v>
      </c>
      <c r="N10" s="89" t="s">
        <v>334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332</v>
      </c>
      <c r="D13" s="89" t="s">
        <v>547</v>
      </c>
      <c r="E13" s="89" t="s">
        <v>6</v>
      </c>
      <c r="F13" s="89" t="s">
        <v>160</v>
      </c>
      <c r="G13" s="89" t="s">
        <v>332</v>
      </c>
      <c r="H13" s="89" t="s">
        <v>547</v>
      </c>
      <c r="I13" s="89" t="s">
        <v>337</v>
      </c>
      <c r="J13" s="89" t="s">
        <v>421</v>
      </c>
      <c r="K13" s="89" t="s">
        <v>421</v>
      </c>
      <c r="L13" s="89" t="s">
        <v>421</v>
      </c>
      <c r="M13" s="89" t="s">
        <v>334</v>
      </c>
      <c r="N13" s="89" t="s">
        <v>334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</row>
    <row r="15" spans="1:17" x14ac:dyDescent="0.2">
      <c r="A15" s="89" t="s">
        <v>353</v>
      </c>
      <c r="B15" s="89" t="s">
        <v>331</v>
      </c>
      <c r="C15" s="89" t="s">
        <v>19</v>
      </c>
      <c r="D15" s="89" t="s">
        <v>184</v>
      </c>
      <c r="E15" s="89" t="s">
        <v>156</v>
      </c>
      <c r="F15" s="89" t="s">
        <v>72</v>
      </c>
      <c r="G15" s="89" t="s">
        <v>19</v>
      </c>
      <c r="H15" s="89" t="s">
        <v>184</v>
      </c>
      <c r="I15" s="89" t="s">
        <v>337</v>
      </c>
      <c r="J15" s="89" t="s">
        <v>445</v>
      </c>
      <c r="K15" s="89" t="s">
        <v>445</v>
      </c>
      <c r="L15" s="89" t="s">
        <v>445</v>
      </c>
      <c r="M15" s="89" t="s">
        <v>334</v>
      </c>
      <c r="N15" s="89" t="s">
        <v>334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 t="s">
        <v>331</v>
      </c>
      <c r="C16" s="89" t="s">
        <v>332</v>
      </c>
      <c r="D16" s="89" t="s">
        <v>53</v>
      </c>
      <c r="E16" s="89" t="s">
        <v>10</v>
      </c>
      <c r="F16" s="89" t="s">
        <v>121</v>
      </c>
      <c r="G16" s="89" t="s">
        <v>332</v>
      </c>
      <c r="H16" s="89" t="s">
        <v>53</v>
      </c>
      <c r="I16" s="89" t="s">
        <v>337</v>
      </c>
      <c r="J16" s="89" t="s">
        <v>338</v>
      </c>
      <c r="K16" s="89" t="s">
        <v>338</v>
      </c>
      <c r="L16" s="89" t="s">
        <v>338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/>
      <c r="Q17" s="89"/>
    </row>
    <row r="18" spans="1:17" x14ac:dyDescent="0.2">
      <c r="A18" s="89" t="s">
        <v>356</v>
      </c>
      <c r="B18" s="89" t="s">
        <v>331</v>
      </c>
      <c r="C18" s="89" t="s">
        <v>332</v>
      </c>
      <c r="D18" s="89" t="s">
        <v>53</v>
      </c>
      <c r="E18" s="89" t="s">
        <v>10</v>
      </c>
      <c r="F18" s="89" t="s">
        <v>161</v>
      </c>
      <c r="G18" s="89" t="s">
        <v>332</v>
      </c>
      <c r="H18" s="89" t="s">
        <v>53</v>
      </c>
      <c r="I18" s="89" t="s">
        <v>337</v>
      </c>
      <c r="J18" s="89" t="s">
        <v>338</v>
      </c>
      <c r="K18" s="89" t="s">
        <v>338</v>
      </c>
      <c r="L18" s="89" t="s">
        <v>338</v>
      </c>
      <c r="M18" s="89" t="s">
        <v>334</v>
      </c>
      <c r="N18" s="89" t="s">
        <v>334</v>
      </c>
      <c r="O18" s="89" t="s">
        <v>334</v>
      </c>
      <c r="P18" s="89" t="s">
        <v>334</v>
      </c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331</v>
      </c>
      <c r="C20" s="89" t="s">
        <v>332</v>
      </c>
      <c r="D20" s="89" t="s">
        <v>53</v>
      </c>
      <c r="E20" s="89" t="s">
        <v>16</v>
      </c>
      <c r="F20" s="89" t="s">
        <v>162</v>
      </c>
      <c r="G20" s="89" t="s">
        <v>332</v>
      </c>
      <c r="H20" s="89" t="s">
        <v>53</v>
      </c>
      <c r="I20" s="89" t="s">
        <v>337</v>
      </c>
      <c r="J20" s="89" t="s">
        <v>338</v>
      </c>
      <c r="K20" s="89" t="s">
        <v>338</v>
      </c>
      <c r="L20" s="89" t="s">
        <v>338</v>
      </c>
      <c r="M20" s="89" t="s">
        <v>334</v>
      </c>
      <c r="N20" s="89" t="s">
        <v>334</v>
      </c>
      <c r="O20" s="89" t="s">
        <v>334</v>
      </c>
      <c r="P20" s="89" t="s">
        <v>334</v>
      </c>
      <c r="Q20" s="89"/>
    </row>
    <row r="21" spans="1:17" x14ac:dyDescent="0.2">
      <c r="A21" s="89" t="s">
        <v>448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</row>
    <row r="22" spans="1:17" x14ac:dyDescent="0.2">
      <c r="A22" s="89" t="s">
        <v>362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</row>
    <row r="23" spans="1:17" x14ac:dyDescent="0.2">
      <c r="A23" s="89" t="s">
        <v>365</v>
      </c>
      <c r="B23" s="89" t="s">
        <v>331</v>
      </c>
      <c r="C23" s="89" t="s">
        <v>332</v>
      </c>
      <c r="D23" s="89" t="s">
        <v>53</v>
      </c>
      <c r="E23" s="89" t="s">
        <v>4</v>
      </c>
      <c r="F23" s="89" t="s">
        <v>162</v>
      </c>
      <c r="G23" s="89" t="s">
        <v>332</v>
      </c>
      <c r="H23" s="89" t="s">
        <v>53</v>
      </c>
      <c r="I23" s="89" t="s">
        <v>337</v>
      </c>
      <c r="J23" s="89" t="s">
        <v>338</v>
      </c>
      <c r="K23" s="89" t="s">
        <v>338</v>
      </c>
      <c r="L23" s="89" t="s">
        <v>338</v>
      </c>
      <c r="M23" s="89" t="s">
        <v>334</v>
      </c>
      <c r="N23" s="89" t="s">
        <v>334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</row>
    <row r="25" spans="1:17" x14ac:dyDescent="0.2">
      <c r="A25" s="89" t="s">
        <v>370</v>
      </c>
      <c r="B25" s="89" t="s">
        <v>517</v>
      </c>
      <c r="C25" s="89" t="s">
        <v>332</v>
      </c>
      <c r="D25" s="89" t="s">
        <v>547</v>
      </c>
      <c r="E25" s="89"/>
      <c r="F25" s="89"/>
      <c r="G25" s="89"/>
      <c r="H25" s="89"/>
      <c r="I25" s="89"/>
      <c r="J25" s="89" t="s">
        <v>421</v>
      </c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332</v>
      </c>
      <c r="D27" s="89" t="s">
        <v>53</v>
      </c>
      <c r="E27" s="89" t="s">
        <v>5</v>
      </c>
      <c r="F27" s="89" t="s">
        <v>163</v>
      </c>
      <c r="G27" s="89" t="s">
        <v>332</v>
      </c>
      <c r="H27" s="89" t="s">
        <v>53</v>
      </c>
      <c r="I27" s="89" t="s">
        <v>337</v>
      </c>
      <c r="J27" s="89" t="s">
        <v>338</v>
      </c>
      <c r="K27" s="89" t="s">
        <v>338</v>
      </c>
      <c r="L27" s="89" t="s">
        <v>338</v>
      </c>
      <c r="M27" s="89" t="s">
        <v>334</v>
      </c>
      <c r="N27" s="89" t="s">
        <v>334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332</v>
      </c>
      <c r="D28" s="89" t="s">
        <v>53</v>
      </c>
      <c r="E28" s="89" t="s">
        <v>5</v>
      </c>
      <c r="F28" s="89" t="s">
        <v>164</v>
      </c>
      <c r="G28" s="89" t="s">
        <v>332</v>
      </c>
      <c r="H28" s="89" t="s">
        <v>53</v>
      </c>
      <c r="I28" s="89" t="s">
        <v>337</v>
      </c>
      <c r="J28" s="89" t="s">
        <v>338</v>
      </c>
      <c r="K28" s="89" t="s">
        <v>338</v>
      </c>
      <c r="L28" s="89" t="s">
        <v>338</v>
      </c>
      <c r="M28" s="89" t="s">
        <v>334</v>
      </c>
      <c r="N28" s="89" t="s">
        <v>334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">
      <c r="A30" s="89" t="s">
        <v>379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">
      <c r="A31" s="89" t="s">
        <v>380</v>
      </c>
      <c r="B31" s="89" t="s">
        <v>331</v>
      </c>
      <c r="C31" s="89" t="s">
        <v>332</v>
      </c>
      <c r="D31" s="89" t="s">
        <v>53</v>
      </c>
      <c r="E31" s="89" t="s">
        <v>10</v>
      </c>
      <c r="F31" s="89" t="s">
        <v>121</v>
      </c>
      <c r="G31" s="89" t="s">
        <v>332</v>
      </c>
      <c r="H31" s="89" t="s">
        <v>53</v>
      </c>
      <c r="I31" s="89" t="s">
        <v>337</v>
      </c>
      <c r="J31" s="89" t="s">
        <v>338</v>
      </c>
      <c r="K31" s="89" t="s">
        <v>338</v>
      </c>
      <c r="L31" s="89" t="s">
        <v>338</v>
      </c>
      <c r="M31" s="89" t="s">
        <v>334</v>
      </c>
      <c r="N31" s="89" t="s">
        <v>334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 t="s">
        <v>331</v>
      </c>
      <c r="C32" s="89" t="s">
        <v>332</v>
      </c>
      <c r="D32" s="89" t="s">
        <v>53</v>
      </c>
      <c r="E32" s="89" t="s">
        <v>4</v>
      </c>
      <c r="F32" s="89" t="s">
        <v>163</v>
      </c>
      <c r="G32" s="89" t="s">
        <v>332</v>
      </c>
      <c r="H32" s="89" t="s">
        <v>53</v>
      </c>
      <c r="I32" s="89" t="s">
        <v>337</v>
      </c>
      <c r="J32" s="89" t="s">
        <v>338</v>
      </c>
      <c r="K32" s="89" t="s">
        <v>338</v>
      </c>
      <c r="L32" s="89" t="s">
        <v>338</v>
      </c>
      <c r="M32" s="89" t="s">
        <v>334</v>
      </c>
      <c r="N32" s="89" t="s">
        <v>334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332</v>
      </c>
      <c r="D35" s="89" t="s">
        <v>53</v>
      </c>
      <c r="E35" s="89" t="s">
        <v>14</v>
      </c>
      <c r="F35" s="89" t="s">
        <v>165</v>
      </c>
      <c r="G35" s="89" t="s">
        <v>332</v>
      </c>
      <c r="H35" s="89" t="s">
        <v>165</v>
      </c>
      <c r="I35" s="89" t="s">
        <v>337</v>
      </c>
      <c r="J35" s="89" t="s">
        <v>338</v>
      </c>
      <c r="K35" s="89" t="s">
        <v>338</v>
      </c>
      <c r="L35" s="89" t="s">
        <v>548</v>
      </c>
      <c r="M35" s="89" t="s">
        <v>549</v>
      </c>
      <c r="N35" s="89" t="s">
        <v>334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550</v>
      </c>
      <c r="B40" s="89" t="s">
        <v>551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552</v>
      </c>
      <c r="B45" s="89" t="s">
        <v>553</v>
      </c>
      <c r="C45" s="89" t="s">
        <v>553</v>
      </c>
      <c r="D45" s="89" t="s">
        <v>524</v>
      </c>
      <c r="E45" s="89"/>
      <c r="F45" s="89" t="s">
        <v>334</v>
      </c>
      <c r="G45" s="89" t="s">
        <v>334</v>
      </c>
      <c r="H45" s="89" t="s">
        <v>334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553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554</v>
      </c>
      <c r="C2" s="89" t="s">
        <v>555</v>
      </c>
      <c r="D2" s="89" t="s">
        <v>556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557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324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393</v>
      </c>
      <c r="C6" s="89" t="s">
        <v>264</v>
      </c>
      <c r="D6" s="89" t="s">
        <v>132</v>
      </c>
      <c r="E6" s="89"/>
      <c r="F6" s="89"/>
      <c r="G6" s="89"/>
      <c r="H6" s="89"/>
      <c r="I6" s="89"/>
      <c r="J6" s="89" t="s">
        <v>264</v>
      </c>
      <c r="K6" s="89"/>
      <c r="L6" s="89"/>
      <c r="M6" s="89"/>
      <c r="N6" s="89"/>
      <c r="O6" s="89"/>
      <c r="P6" s="89"/>
      <c r="Q6" s="89"/>
    </row>
    <row r="7" spans="1:17" x14ac:dyDescent="0.2">
      <c r="A7" s="89" t="s">
        <v>336</v>
      </c>
      <c r="B7" s="89" t="s">
        <v>331</v>
      </c>
      <c r="C7" s="89" t="s">
        <v>272</v>
      </c>
      <c r="D7" s="89" t="s">
        <v>130</v>
      </c>
      <c r="E7" s="89" t="s">
        <v>133</v>
      </c>
      <c r="F7" s="89" t="s">
        <v>141</v>
      </c>
      <c r="G7" s="89" t="s">
        <v>272</v>
      </c>
      <c r="H7" s="89" t="s">
        <v>141</v>
      </c>
      <c r="I7" s="89" t="s">
        <v>333</v>
      </c>
      <c r="J7" s="89" t="s">
        <v>264</v>
      </c>
      <c r="K7" s="89" t="s">
        <v>264</v>
      </c>
      <c r="L7" s="89" t="s">
        <v>273</v>
      </c>
      <c r="M7" s="89" t="s">
        <v>334</v>
      </c>
      <c r="N7" s="89" t="s">
        <v>558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 t="s">
        <v>331</v>
      </c>
      <c r="C8" s="89" t="s">
        <v>19</v>
      </c>
      <c r="D8" s="89" t="s">
        <v>230</v>
      </c>
      <c r="E8" s="89" t="s">
        <v>42</v>
      </c>
      <c r="F8" s="89" t="s">
        <v>122</v>
      </c>
      <c r="G8" s="89" t="s">
        <v>19</v>
      </c>
      <c r="H8" s="89" t="s">
        <v>122</v>
      </c>
      <c r="I8" s="89" t="s">
        <v>333</v>
      </c>
      <c r="J8" s="89" t="s">
        <v>264</v>
      </c>
      <c r="K8" s="89" t="s">
        <v>264</v>
      </c>
      <c r="L8" s="89" t="s">
        <v>207</v>
      </c>
      <c r="M8" s="89" t="s">
        <v>334</v>
      </c>
      <c r="N8" s="89" t="s">
        <v>462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 t="s">
        <v>331</v>
      </c>
      <c r="C9" s="89" t="s">
        <v>332</v>
      </c>
      <c r="D9" s="89" t="s">
        <v>170</v>
      </c>
      <c r="E9" s="89" t="s">
        <v>12</v>
      </c>
      <c r="F9" s="89" t="s">
        <v>142</v>
      </c>
      <c r="G9" s="89" t="s">
        <v>332</v>
      </c>
      <c r="H9" s="89" t="s">
        <v>142</v>
      </c>
      <c r="I9" s="89" t="s">
        <v>333</v>
      </c>
      <c r="J9" s="89" t="s">
        <v>264</v>
      </c>
      <c r="K9" s="89" t="s">
        <v>264</v>
      </c>
      <c r="L9" s="89" t="s">
        <v>249</v>
      </c>
      <c r="M9" s="89" t="s">
        <v>334</v>
      </c>
      <c r="N9" s="89" t="s">
        <v>559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 t="s">
        <v>331</v>
      </c>
      <c r="C10" s="89" t="s">
        <v>272</v>
      </c>
      <c r="D10" s="89" t="s">
        <v>130</v>
      </c>
      <c r="E10" s="89" t="s">
        <v>120</v>
      </c>
      <c r="F10" s="89" t="s">
        <v>143</v>
      </c>
      <c r="G10" s="89" t="s">
        <v>272</v>
      </c>
      <c r="H10" s="89" t="s">
        <v>143</v>
      </c>
      <c r="I10" s="89" t="s">
        <v>333</v>
      </c>
      <c r="J10" s="89" t="s">
        <v>264</v>
      </c>
      <c r="K10" s="89" t="s">
        <v>264</v>
      </c>
      <c r="L10" s="89" t="s">
        <v>259</v>
      </c>
      <c r="M10" s="89" t="s">
        <v>334</v>
      </c>
      <c r="N10" s="89" t="s">
        <v>527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272</v>
      </c>
      <c r="D13" s="89" t="s">
        <v>130</v>
      </c>
      <c r="E13" s="89" t="s">
        <v>120</v>
      </c>
      <c r="F13" s="89" t="s">
        <v>144</v>
      </c>
      <c r="G13" s="89" t="s">
        <v>272</v>
      </c>
      <c r="H13" s="89" t="s">
        <v>130</v>
      </c>
      <c r="I13" s="89" t="s">
        <v>333</v>
      </c>
      <c r="J13" s="89" t="s">
        <v>264</v>
      </c>
      <c r="K13" s="89" t="s">
        <v>264</v>
      </c>
      <c r="L13" s="89" t="s">
        <v>264</v>
      </c>
      <c r="M13" s="89" t="s">
        <v>334</v>
      </c>
      <c r="N13" s="89" t="s">
        <v>334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331</v>
      </c>
      <c r="C14" s="89" t="s">
        <v>19</v>
      </c>
      <c r="D14" s="89" t="s">
        <v>230</v>
      </c>
      <c r="E14" s="89" t="s">
        <v>117</v>
      </c>
      <c r="F14" s="89" t="s">
        <v>145</v>
      </c>
      <c r="G14" s="89" t="s">
        <v>19</v>
      </c>
      <c r="H14" s="89" t="s">
        <v>230</v>
      </c>
      <c r="I14" s="89" t="s">
        <v>333</v>
      </c>
      <c r="J14" s="89" t="s">
        <v>264</v>
      </c>
      <c r="K14" s="89" t="s">
        <v>264</v>
      </c>
      <c r="L14" s="89" t="s">
        <v>264</v>
      </c>
      <c r="M14" s="89" t="s">
        <v>334</v>
      </c>
      <c r="N14" s="89" t="s">
        <v>334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332</v>
      </c>
      <c r="D15" s="89" t="s">
        <v>170</v>
      </c>
      <c r="E15" s="89" t="s">
        <v>16</v>
      </c>
      <c r="F15" s="89" t="s">
        <v>146</v>
      </c>
      <c r="G15" s="89" t="s">
        <v>332</v>
      </c>
      <c r="H15" s="89" t="s">
        <v>146</v>
      </c>
      <c r="I15" s="89" t="s">
        <v>333</v>
      </c>
      <c r="J15" s="89" t="s">
        <v>264</v>
      </c>
      <c r="K15" s="89" t="s">
        <v>264</v>
      </c>
      <c r="L15" s="89" t="s">
        <v>276</v>
      </c>
      <c r="M15" s="89" t="s">
        <v>334</v>
      </c>
      <c r="N15" s="89" t="s">
        <v>560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 t="s">
        <v>331</v>
      </c>
      <c r="C16" s="89" t="s">
        <v>36</v>
      </c>
      <c r="D16" s="89" t="s">
        <v>253</v>
      </c>
      <c r="E16" s="89" t="s">
        <v>134</v>
      </c>
      <c r="F16" s="89" t="s">
        <v>147</v>
      </c>
      <c r="G16" s="89" t="s">
        <v>36</v>
      </c>
      <c r="H16" s="89" t="s">
        <v>253</v>
      </c>
      <c r="I16" s="89" t="s">
        <v>333</v>
      </c>
      <c r="J16" s="89" t="s">
        <v>264</v>
      </c>
      <c r="K16" s="89" t="s">
        <v>264</v>
      </c>
      <c r="L16" s="89" t="s">
        <v>264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 t="s">
        <v>331</v>
      </c>
      <c r="C17" s="89" t="s">
        <v>19</v>
      </c>
      <c r="D17" s="89" t="s">
        <v>35</v>
      </c>
      <c r="E17" s="89" t="s">
        <v>135</v>
      </c>
      <c r="F17" s="89" t="s">
        <v>79</v>
      </c>
      <c r="G17" s="89" t="s">
        <v>19</v>
      </c>
      <c r="H17" s="89" t="s">
        <v>35</v>
      </c>
      <c r="I17" s="89" t="s">
        <v>333</v>
      </c>
      <c r="J17" s="89" t="s">
        <v>119</v>
      </c>
      <c r="K17" s="89" t="s">
        <v>119</v>
      </c>
      <c r="L17" s="89" t="s">
        <v>119</v>
      </c>
      <c r="M17" s="89" t="s">
        <v>334</v>
      </c>
      <c r="N17" s="89" t="s">
        <v>334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331</v>
      </c>
      <c r="C20" s="89" t="s">
        <v>332</v>
      </c>
      <c r="D20" s="89" t="s">
        <v>132</v>
      </c>
      <c r="E20" s="89" t="s">
        <v>16</v>
      </c>
      <c r="F20" s="89" t="s">
        <v>148</v>
      </c>
      <c r="G20" s="89" t="s">
        <v>332</v>
      </c>
      <c r="H20" s="89" t="s">
        <v>148</v>
      </c>
      <c r="I20" s="89" t="s">
        <v>333</v>
      </c>
      <c r="J20" s="89" t="s">
        <v>36</v>
      </c>
      <c r="K20" s="89" t="s">
        <v>36</v>
      </c>
      <c r="L20" s="89" t="s">
        <v>245</v>
      </c>
      <c r="M20" s="89" t="s">
        <v>334</v>
      </c>
      <c r="N20" s="89" t="s">
        <v>476</v>
      </c>
      <c r="O20" s="89" t="s">
        <v>334</v>
      </c>
      <c r="P20" s="89" t="s">
        <v>334</v>
      </c>
      <c r="Q20" s="89"/>
    </row>
    <row r="21" spans="1:17" x14ac:dyDescent="0.2">
      <c r="A21" s="89" t="s">
        <v>360</v>
      </c>
      <c r="B21" s="89"/>
      <c r="C21" s="89" t="s">
        <v>272</v>
      </c>
      <c r="D21" s="89" t="s">
        <v>130</v>
      </c>
      <c r="E21" s="89" t="s">
        <v>118</v>
      </c>
      <c r="F21" s="89" t="s">
        <v>149</v>
      </c>
      <c r="G21" s="89" t="s">
        <v>272</v>
      </c>
      <c r="H21" s="89" t="s">
        <v>130</v>
      </c>
      <c r="I21" s="89" t="s">
        <v>333</v>
      </c>
      <c r="J21" s="89" t="s">
        <v>264</v>
      </c>
      <c r="K21" s="89" t="s">
        <v>264</v>
      </c>
      <c r="L21" s="89" t="s">
        <v>264</v>
      </c>
      <c r="M21" s="89" t="s">
        <v>334</v>
      </c>
      <c r="N21" s="89" t="s">
        <v>334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</row>
    <row r="23" spans="1:17" x14ac:dyDescent="0.2">
      <c r="A23" s="89" t="s">
        <v>365</v>
      </c>
      <c r="B23" s="89" t="s">
        <v>331</v>
      </c>
      <c r="C23" s="89" t="s">
        <v>272</v>
      </c>
      <c r="D23" s="89" t="s">
        <v>130</v>
      </c>
      <c r="E23" s="89" t="s">
        <v>136</v>
      </c>
      <c r="F23" s="89" t="s">
        <v>150</v>
      </c>
      <c r="G23" s="89" t="s">
        <v>272</v>
      </c>
      <c r="H23" s="89" t="s">
        <v>150</v>
      </c>
      <c r="I23" s="89" t="s">
        <v>333</v>
      </c>
      <c r="J23" s="89" t="s">
        <v>264</v>
      </c>
      <c r="K23" s="89" t="s">
        <v>264</v>
      </c>
      <c r="L23" s="89" t="s">
        <v>9</v>
      </c>
      <c r="M23" s="89" t="s">
        <v>334</v>
      </c>
      <c r="N23" s="89" t="s">
        <v>388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 t="s">
        <v>331</v>
      </c>
      <c r="C24" s="89" t="s">
        <v>351</v>
      </c>
      <c r="D24" s="89" t="s">
        <v>35</v>
      </c>
      <c r="E24" s="89" t="s">
        <v>69</v>
      </c>
      <c r="F24" s="89" t="s">
        <v>52</v>
      </c>
      <c r="G24" s="89" t="s">
        <v>351</v>
      </c>
      <c r="H24" s="89" t="s">
        <v>52</v>
      </c>
      <c r="I24" s="89" t="s">
        <v>333</v>
      </c>
      <c r="J24" s="89" t="s">
        <v>264</v>
      </c>
      <c r="K24" s="89" t="s">
        <v>264</v>
      </c>
      <c r="L24" s="89" t="s">
        <v>466</v>
      </c>
      <c r="M24" s="89" t="s">
        <v>334</v>
      </c>
      <c r="N24" s="89" t="s">
        <v>465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 t="s">
        <v>331</v>
      </c>
      <c r="C25" s="89" t="s">
        <v>332</v>
      </c>
      <c r="D25" s="89" t="s">
        <v>170</v>
      </c>
      <c r="E25" s="89" t="s">
        <v>16</v>
      </c>
      <c r="F25" s="89" t="s">
        <v>151</v>
      </c>
      <c r="G25" s="89" t="s">
        <v>332</v>
      </c>
      <c r="H25" s="89" t="s">
        <v>151</v>
      </c>
      <c r="I25" s="89" t="s">
        <v>333</v>
      </c>
      <c r="J25" s="89" t="s">
        <v>264</v>
      </c>
      <c r="K25" s="89" t="s">
        <v>264</v>
      </c>
      <c r="L25" s="89" t="s">
        <v>431</v>
      </c>
      <c r="M25" s="89" t="s">
        <v>334</v>
      </c>
      <c r="N25" s="89" t="s">
        <v>432</v>
      </c>
      <c r="O25" s="89" t="s">
        <v>334</v>
      </c>
      <c r="P25" s="89" t="s">
        <v>334</v>
      </c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19</v>
      </c>
      <c r="D27" s="89" t="s">
        <v>230</v>
      </c>
      <c r="E27" s="89" t="s">
        <v>137</v>
      </c>
      <c r="F27" s="89" t="s">
        <v>152</v>
      </c>
      <c r="G27" s="89" t="s">
        <v>19</v>
      </c>
      <c r="H27" s="89" t="s">
        <v>152</v>
      </c>
      <c r="I27" s="89" t="s">
        <v>333</v>
      </c>
      <c r="J27" s="89" t="s">
        <v>264</v>
      </c>
      <c r="K27" s="89" t="s">
        <v>264</v>
      </c>
      <c r="L27" s="89" t="s">
        <v>268</v>
      </c>
      <c r="M27" s="89" t="s">
        <v>334</v>
      </c>
      <c r="N27" s="89" t="s">
        <v>469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272</v>
      </c>
      <c r="D28" s="89" t="s">
        <v>230</v>
      </c>
      <c r="E28" s="89" t="s">
        <v>118</v>
      </c>
      <c r="F28" s="89" t="s">
        <v>122</v>
      </c>
      <c r="G28" s="89" t="s">
        <v>272</v>
      </c>
      <c r="H28" s="89" t="s">
        <v>230</v>
      </c>
      <c r="I28" s="89" t="s">
        <v>333</v>
      </c>
      <c r="J28" s="89" t="s">
        <v>272</v>
      </c>
      <c r="K28" s="89" t="s">
        <v>272</v>
      </c>
      <c r="L28" s="89" t="s">
        <v>272</v>
      </c>
      <c r="M28" s="89" t="s">
        <v>334</v>
      </c>
      <c r="N28" s="89" t="s">
        <v>334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">
      <c r="A30" s="89" t="s">
        <v>379</v>
      </c>
      <c r="B30" s="89" t="s">
        <v>331</v>
      </c>
      <c r="C30" s="89" t="s">
        <v>272</v>
      </c>
      <c r="D30" s="89" t="s">
        <v>230</v>
      </c>
      <c r="E30" s="89" t="s">
        <v>138</v>
      </c>
      <c r="F30" s="89" t="s">
        <v>153</v>
      </c>
      <c r="G30" s="89" t="s">
        <v>272</v>
      </c>
      <c r="H30" s="89" t="s">
        <v>153</v>
      </c>
      <c r="I30" s="89" t="s">
        <v>333</v>
      </c>
      <c r="J30" s="89" t="s">
        <v>272</v>
      </c>
      <c r="K30" s="89" t="s">
        <v>272</v>
      </c>
      <c r="L30" s="89" t="s">
        <v>111</v>
      </c>
      <c r="M30" s="89" t="s">
        <v>334</v>
      </c>
      <c r="N30" s="89" t="s">
        <v>561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 t="s">
        <v>331</v>
      </c>
      <c r="C31" s="89" t="s">
        <v>264</v>
      </c>
      <c r="D31" s="89" t="s">
        <v>132</v>
      </c>
      <c r="E31" s="89" t="s">
        <v>139</v>
      </c>
      <c r="F31" s="89" t="s">
        <v>96</v>
      </c>
      <c r="G31" s="89" t="s">
        <v>264</v>
      </c>
      <c r="H31" s="89" t="s">
        <v>96</v>
      </c>
      <c r="I31" s="89" t="s">
        <v>333</v>
      </c>
      <c r="J31" s="89" t="s">
        <v>264</v>
      </c>
      <c r="K31" s="89" t="s">
        <v>264</v>
      </c>
      <c r="L31" s="89" t="s">
        <v>267</v>
      </c>
      <c r="M31" s="89" t="s">
        <v>334</v>
      </c>
      <c r="N31" s="89" t="s">
        <v>526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 t="s">
        <v>331</v>
      </c>
      <c r="C32" s="89" t="s">
        <v>272</v>
      </c>
      <c r="D32" s="89" t="s">
        <v>130</v>
      </c>
      <c r="E32" s="89" t="s">
        <v>140</v>
      </c>
      <c r="F32" s="89" t="s">
        <v>154</v>
      </c>
      <c r="G32" s="89" t="s">
        <v>272</v>
      </c>
      <c r="H32" s="89" t="s">
        <v>154</v>
      </c>
      <c r="I32" s="89" t="s">
        <v>333</v>
      </c>
      <c r="J32" s="89" t="s">
        <v>264</v>
      </c>
      <c r="K32" s="89" t="s">
        <v>264</v>
      </c>
      <c r="L32" s="89" t="s">
        <v>261</v>
      </c>
      <c r="M32" s="89" t="s">
        <v>334</v>
      </c>
      <c r="N32" s="89" t="s">
        <v>562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19</v>
      </c>
      <c r="D35" s="89" t="s">
        <v>230</v>
      </c>
      <c r="E35" s="89" t="s">
        <v>135</v>
      </c>
      <c r="F35" s="89" t="s">
        <v>155</v>
      </c>
      <c r="G35" s="89" t="s">
        <v>19</v>
      </c>
      <c r="H35" s="89" t="s">
        <v>155</v>
      </c>
      <c r="I35" s="89" t="s">
        <v>333</v>
      </c>
      <c r="J35" s="89" t="s">
        <v>264</v>
      </c>
      <c r="K35" s="89" t="s">
        <v>264</v>
      </c>
      <c r="L35" s="89" t="s">
        <v>259</v>
      </c>
      <c r="M35" s="89" t="s">
        <v>334</v>
      </c>
      <c r="N35" s="89" t="s">
        <v>527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531</v>
      </c>
      <c r="B40" s="89" t="s">
        <v>532</v>
      </c>
      <c r="C40" s="89" t="s">
        <v>337</v>
      </c>
      <c r="D40" s="89" t="s">
        <v>337</v>
      </c>
      <c r="E40" s="89"/>
      <c r="F40" s="89" t="s">
        <v>533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408</v>
      </c>
      <c r="H44" s="89" t="s">
        <v>409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563</v>
      </c>
      <c r="B45" s="89" t="s">
        <v>564</v>
      </c>
      <c r="C45" s="89" t="s">
        <v>565</v>
      </c>
      <c r="D45" s="89" t="s">
        <v>334</v>
      </c>
      <c r="E45" s="89"/>
      <c r="F45" s="89" t="s">
        <v>119</v>
      </c>
      <c r="G45" s="89" t="s">
        <v>119</v>
      </c>
      <c r="H45" s="89" t="s">
        <v>334</v>
      </c>
      <c r="I45" s="89" t="s">
        <v>334</v>
      </c>
      <c r="J45" s="89" t="s">
        <v>334</v>
      </c>
      <c r="K45" s="89" t="s">
        <v>264</v>
      </c>
      <c r="L45" s="89" t="s">
        <v>334</v>
      </c>
      <c r="M45" s="89" t="s">
        <v>566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567</v>
      </c>
      <c r="C2" s="89" t="s">
        <v>568</v>
      </c>
      <c r="D2" s="89"/>
      <c r="E2" s="89" t="s">
        <v>569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570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19</v>
      </c>
      <c r="D6" s="89" t="s">
        <v>184</v>
      </c>
      <c r="E6" s="89" t="s">
        <v>156</v>
      </c>
      <c r="F6" s="89" t="s">
        <v>188</v>
      </c>
      <c r="G6" s="89" t="s">
        <v>19</v>
      </c>
      <c r="H6" s="89" t="s">
        <v>188</v>
      </c>
      <c r="I6" s="89" t="s">
        <v>337</v>
      </c>
      <c r="J6" s="89" t="s">
        <v>445</v>
      </c>
      <c r="K6" s="89" t="s">
        <v>445</v>
      </c>
      <c r="L6" s="89" t="s">
        <v>571</v>
      </c>
      <c r="M6" s="89" t="s">
        <v>572</v>
      </c>
      <c r="N6" s="89" t="s">
        <v>334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</row>
    <row r="8" spans="1:17" x14ac:dyDescent="0.2">
      <c r="A8" s="89" t="s">
        <v>341</v>
      </c>
      <c r="B8" s="89" t="s">
        <v>331</v>
      </c>
      <c r="C8" s="89" t="s">
        <v>19</v>
      </c>
      <c r="D8" s="89" t="s">
        <v>184</v>
      </c>
      <c r="E8" s="89" t="s">
        <v>135</v>
      </c>
      <c r="F8" s="89" t="s">
        <v>189</v>
      </c>
      <c r="G8" s="89" t="s">
        <v>19</v>
      </c>
      <c r="H8" s="89" t="s">
        <v>189</v>
      </c>
      <c r="I8" s="89" t="s">
        <v>337</v>
      </c>
      <c r="J8" s="89" t="s">
        <v>445</v>
      </c>
      <c r="K8" s="89" t="s">
        <v>445</v>
      </c>
      <c r="L8" s="89" t="s">
        <v>573</v>
      </c>
      <c r="M8" s="89" t="s">
        <v>574</v>
      </c>
      <c r="N8" s="89" t="s">
        <v>334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 t="s">
        <v>331</v>
      </c>
      <c r="C9" s="89" t="s">
        <v>19</v>
      </c>
      <c r="D9" s="89" t="s">
        <v>184</v>
      </c>
      <c r="E9" s="89" t="s">
        <v>135</v>
      </c>
      <c r="F9" s="89" t="s">
        <v>190</v>
      </c>
      <c r="G9" s="89" t="s">
        <v>19</v>
      </c>
      <c r="H9" s="89" t="s">
        <v>190</v>
      </c>
      <c r="I9" s="89" t="s">
        <v>337</v>
      </c>
      <c r="J9" s="89" t="s">
        <v>445</v>
      </c>
      <c r="K9" s="89" t="s">
        <v>445</v>
      </c>
      <c r="L9" s="89" t="s">
        <v>449</v>
      </c>
      <c r="M9" s="89" t="s">
        <v>450</v>
      </c>
      <c r="N9" s="89" t="s">
        <v>334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</row>
    <row r="14" spans="1:17" x14ac:dyDescent="0.2">
      <c r="A14" s="89" t="s">
        <v>350</v>
      </c>
      <c r="B14" s="89" t="s">
        <v>331</v>
      </c>
      <c r="C14" s="89" t="s">
        <v>19</v>
      </c>
      <c r="D14" s="89" t="s">
        <v>184</v>
      </c>
      <c r="E14" s="89" t="s">
        <v>117</v>
      </c>
      <c r="F14" s="89" t="s">
        <v>191</v>
      </c>
      <c r="G14" s="89" t="s">
        <v>19</v>
      </c>
      <c r="H14" s="89" t="s">
        <v>191</v>
      </c>
      <c r="I14" s="89" t="s">
        <v>337</v>
      </c>
      <c r="J14" s="89" t="s">
        <v>445</v>
      </c>
      <c r="K14" s="89" t="s">
        <v>445</v>
      </c>
      <c r="L14" s="89" t="s">
        <v>515</v>
      </c>
      <c r="M14" s="89" t="s">
        <v>575</v>
      </c>
      <c r="N14" s="89" t="s">
        <v>334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</row>
    <row r="16" spans="1:17" x14ac:dyDescent="0.2">
      <c r="A16" s="89" t="s">
        <v>354</v>
      </c>
      <c r="B16" s="89" t="s">
        <v>331</v>
      </c>
      <c r="C16" s="89" t="s">
        <v>19</v>
      </c>
      <c r="D16" s="89" t="s">
        <v>184</v>
      </c>
      <c r="E16" s="89" t="s">
        <v>167</v>
      </c>
      <c r="F16" s="89" t="s">
        <v>192</v>
      </c>
      <c r="G16" s="89" t="s">
        <v>19</v>
      </c>
      <c r="H16" s="89" t="s">
        <v>192</v>
      </c>
      <c r="I16" s="89" t="s">
        <v>337</v>
      </c>
      <c r="J16" s="89" t="s">
        <v>445</v>
      </c>
      <c r="K16" s="89" t="s">
        <v>445</v>
      </c>
      <c r="L16" s="89" t="s">
        <v>576</v>
      </c>
      <c r="M16" s="89" t="s">
        <v>527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 t="s">
        <v>331</v>
      </c>
      <c r="C17" s="89" t="s">
        <v>19</v>
      </c>
      <c r="D17" s="89" t="s">
        <v>184</v>
      </c>
      <c r="E17" s="89" t="s">
        <v>117</v>
      </c>
      <c r="F17" s="89" t="s">
        <v>193</v>
      </c>
      <c r="G17" s="89" t="s">
        <v>19</v>
      </c>
      <c r="H17" s="89" t="s">
        <v>193</v>
      </c>
      <c r="I17" s="89" t="s">
        <v>337</v>
      </c>
      <c r="J17" s="89" t="s">
        <v>445</v>
      </c>
      <c r="K17" s="89" t="s">
        <v>445</v>
      </c>
      <c r="L17" s="89" t="s">
        <v>577</v>
      </c>
      <c r="M17" s="89" t="s">
        <v>578</v>
      </c>
      <c r="N17" s="89" t="s">
        <v>334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</row>
    <row r="21" spans="1:17" x14ac:dyDescent="0.2">
      <c r="A21" s="89" t="s">
        <v>360</v>
      </c>
      <c r="B21" s="89"/>
      <c r="C21" s="89" t="s">
        <v>19</v>
      </c>
      <c r="D21" s="89" t="s">
        <v>184</v>
      </c>
      <c r="E21" s="89" t="s">
        <v>117</v>
      </c>
      <c r="F21" s="89" t="s">
        <v>194</v>
      </c>
      <c r="G21" s="89" t="s">
        <v>19</v>
      </c>
      <c r="H21" s="89" t="s">
        <v>194</v>
      </c>
      <c r="I21" s="89" t="s">
        <v>337</v>
      </c>
      <c r="J21" s="89" t="s">
        <v>445</v>
      </c>
      <c r="K21" s="89" t="s">
        <v>445</v>
      </c>
      <c r="L21" s="89" t="s">
        <v>579</v>
      </c>
      <c r="M21" s="89" t="s">
        <v>467</v>
      </c>
      <c r="N21" s="89" t="s">
        <v>334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 t="s">
        <v>331</v>
      </c>
      <c r="C22" s="89" t="s">
        <v>19</v>
      </c>
      <c r="D22" s="89" t="s">
        <v>184</v>
      </c>
      <c r="E22" s="89" t="s">
        <v>115</v>
      </c>
      <c r="F22" s="89" t="s">
        <v>195</v>
      </c>
      <c r="G22" s="89" t="s">
        <v>19</v>
      </c>
      <c r="H22" s="89" t="s">
        <v>195</v>
      </c>
      <c r="I22" s="89" t="s">
        <v>337</v>
      </c>
      <c r="J22" s="89" t="s">
        <v>445</v>
      </c>
      <c r="K22" s="89" t="s">
        <v>445</v>
      </c>
      <c r="L22" s="89" t="s">
        <v>580</v>
      </c>
      <c r="M22" s="89" t="s">
        <v>446</v>
      </c>
      <c r="N22" s="89" t="s">
        <v>334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</row>
    <row r="24" spans="1:17" x14ac:dyDescent="0.2">
      <c r="A24" s="89" t="s">
        <v>368</v>
      </c>
      <c r="B24" s="89" t="s">
        <v>331</v>
      </c>
      <c r="C24" s="89" t="s">
        <v>19</v>
      </c>
      <c r="D24" s="89" t="s">
        <v>184</v>
      </c>
      <c r="E24" s="89" t="s">
        <v>44</v>
      </c>
      <c r="F24" s="89" t="s">
        <v>196</v>
      </c>
      <c r="G24" s="89" t="s">
        <v>19</v>
      </c>
      <c r="H24" s="89" t="s">
        <v>196</v>
      </c>
      <c r="I24" s="89" t="s">
        <v>337</v>
      </c>
      <c r="J24" s="89" t="s">
        <v>445</v>
      </c>
      <c r="K24" s="89" t="s">
        <v>445</v>
      </c>
      <c r="L24" s="89" t="s">
        <v>387</v>
      </c>
      <c r="M24" s="89" t="s">
        <v>581</v>
      </c>
      <c r="N24" s="89" t="s">
        <v>334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19</v>
      </c>
      <c r="D27" s="89" t="s">
        <v>184</v>
      </c>
      <c r="E27" s="89" t="s">
        <v>187</v>
      </c>
      <c r="F27" s="89" t="s">
        <v>197</v>
      </c>
      <c r="G27" s="89" t="s">
        <v>19</v>
      </c>
      <c r="H27" s="89" t="s">
        <v>197</v>
      </c>
      <c r="I27" s="89" t="s">
        <v>337</v>
      </c>
      <c r="J27" s="89" t="s">
        <v>445</v>
      </c>
      <c r="K27" s="89" t="s">
        <v>445</v>
      </c>
      <c r="L27" s="89" t="s">
        <v>582</v>
      </c>
      <c r="M27" s="89" t="s">
        <v>559</v>
      </c>
      <c r="N27" s="89" t="s">
        <v>334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</row>
    <row r="29" spans="1:17" x14ac:dyDescent="0.2">
      <c r="A29" s="89" t="s">
        <v>378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">
      <c r="A30" s="89" t="s">
        <v>379</v>
      </c>
      <c r="B30" s="89" t="s">
        <v>517</v>
      </c>
      <c r="C30" s="89" t="s">
        <v>19</v>
      </c>
      <c r="D30" s="89" t="s">
        <v>184</v>
      </c>
      <c r="E30" s="89"/>
      <c r="F30" s="89"/>
      <c r="G30" s="89"/>
      <c r="H30" s="89"/>
      <c r="I30" s="89"/>
      <c r="J30" s="89" t="s">
        <v>445</v>
      </c>
      <c r="K30" s="89"/>
      <c r="L30" s="89"/>
      <c r="M30" s="89"/>
      <c r="N30" s="89"/>
      <c r="O30" s="89"/>
      <c r="P30" s="89"/>
      <c r="Q30" s="89"/>
    </row>
    <row r="31" spans="1:17" x14ac:dyDescent="0.2">
      <c r="A31" s="89" t="s">
        <v>380</v>
      </c>
      <c r="B31" s="89" t="s">
        <v>331</v>
      </c>
      <c r="C31" s="89" t="s">
        <v>19</v>
      </c>
      <c r="D31" s="89" t="s">
        <v>198</v>
      </c>
      <c r="E31" s="89" t="s">
        <v>117</v>
      </c>
      <c r="F31" s="89" t="s">
        <v>198</v>
      </c>
      <c r="G31" s="89" t="s">
        <v>19</v>
      </c>
      <c r="H31" s="89" t="s">
        <v>198</v>
      </c>
      <c r="I31" s="89" t="s">
        <v>583</v>
      </c>
      <c r="J31" s="89" t="s">
        <v>338</v>
      </c>
      <c r="K31" s="89" t="s">
        <v>543</v>
      </c>
      <c r="L31" s="89" t="s">
        <v>543</v>
      </c>
      <c r="M31" s="89" t="s">
        <v>334</v>
      </c>
      <c r="N31" s="89" t="s">
        <v>334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19</v>
      </c>
      <c r="D35" s="89" t="s">
        <v>184</v>
      </c>
      <c r="E35" s="89" t="s">
        <v>135</v>
      </c>
      <c r="F35" s="89" t="s">
        <v>199</v>
      </c>
      <c r="G35" s="89" t="s">
        <v>19</v>
      </c>
      <c r="H35" s="89" t="s">
        <v>199</v>
      </c>
      <c r="I35" s="89" t="s">
        <v>337</v>
      </c>
      <c r="J35" s="89" t="s">
        <v>445</v>
      </c>
      <c r="K35" s="89" t="s">
        <v>445</v>
      </c>
      <c r="L35" s="89" t="s">
        <v>584</v>
      </c>
      <c r="M35" s="89" t="s">
        <v>335</v>
      </c>
      <c r="N35" s="89" t="s">
        <v>334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585</v>
      </c>
      <c r="L38" s="89"/>
      <c r="M38" s="89"/>
      <c r="N38" s="89" t="s">
        <v>586</v>
      </c>
      <c r="O38" s="89" t="s">
        <v>587</v>
      </c>
      <c r="P38" s="89" t="s">
        <v>588</v>
      </c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589</v>
      </c>
      <c r="L39" s="89"/>
      <c r="M39" s="89"/>
      <c r="N39" s="89"/>
      <c r="O39" s="89"/>
      <c r="P39" s="89"/>
      <c r="Q39" s="89" t="s">
        <v>590</v>
      </c>
    </row>
    <row r="40" spans="1:17" x14ac:dyDescent="0.2">
      <c r="A40" s="89" t="s">
        <v>502</v>
      </c>
      <c r="B40" s="89" t="s">
        <v>591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592</v>
      </c>
      <c r="B45" s="89" t="s">
        <v>593</v>
      </c>
      <c r="C45" s="89" t="s">
        <v>593</v>
      </c>
      <c r="D45" s="89" t="s">
        <v>205</v>
      </c>
      <c r="E45" s="89"/>
      <c r="F45" s="89" t="s">
        <v>334</v>
      </c>
      <c r="G45" s="89" t="s">
        <v>334</v>
      </c>
      <c r="H45" s="89" t="s">
        <v>334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593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594</v>
      </c>
      <c r="C2" s="89" t="s">
        <v>595</v>
      </c>
      <c r="D2" s="89"/>
      <c r="E2" s="89" t="s">
        <v>596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483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</row>
    <row r="7" spans="1:17" x14ac:dyDescent="0.2">
      <c r="A7" s="89" t="s">
        <v>336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</row>
    <row r="8" spans="1:17" x14ac:dyDescent="0.2">
      <c r="A8" s="89" t="s">
        <v>341</v>
      </c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</row>
    <row r="9" spans="1:17" x14ac:dyDescent="0.2">
      <c r="A9" s="89" t="s">
        <v>344</v>
      </c>
      <c r="B9" s="89" t="s">
        <v>331</v>
      </c>
      <c r="C9" s="89" t="s">
        <v>597</v>
      </c>
      <c r="D9" s="89" t="s">
        <v>35</v>
      </c>
      <c r="E9" s="89" t="s">
        <v>180</v>
      </c>
      <c r="F9" s="89" t="s">
        <v>75</v>
      </c>
      <c r="G9" s="89" t="s">
        <v>597</v>
      </c>
      <c r="H9" s="89" t="s">
        <v>75</v>
      </c>
      <c r="I9" s="89" t="s">
        <v>337</v>
      </c>
      <c r="J9" s="89" t="s">
        <v>543</v>
      </c>
      <c r="K9" s="89" t="s">
        <v>598</v>
      </c>
      <c r="L9" s="89" t="s">
        <v>598</v>
      </c>
      <c r="M9" s="89" t="s">
        <v>334</v>
      </c>
      <c r="N9" s="89" t="s">
        <v>334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</row>
    <row r="11" spans="1:17" x14ac:dyDescent="0.2">
      <c r="A11" s="89" t="s">
        <v>347</v>
      </c>
      <c r="B11" s="89" t="s">
        <v>331</v>
      </c>
      <c r="C11" s="89" t="s">
        <v>332</v>
      </c>
      <c r="D11" s="89" t="s">
        <v>53</v>
      </c>
      <c r="E11" s="89" t="s">
        <v>5</v>
      </c>
      <c r="F11" s="89" t="s">
        <v>53</v>
      </c>
      <c r="G11" s="89" t="s">
        <v>332</v>
      </c>
      <c r="H11" s="89" t="s">
        <v>53</v>
      </c>
      <c r="I11" s="89" t="s">
        <v>337</v>
      </c>
      <c r="J11" s="89" t="s">
        <v>338</v>
      </c>
      <c r="K11" s="89" t="s">
        <v>338</v>
      </c>
      <c r="L11" s="89" t="s">
        <v>338</v>
      </c>
      <c r="M11" s="89" t="s">
        <v>334</v>
      </c>
      <c r="N11" s="89" t="s">
        <v>334</v>
      </c>
      <c r="O11" s="89" t="s">
        <v>334</v>
      </c>
      <c r="P11" s="89" t="s">
        <v>334</v>
      </c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19</v>
      </c>
      <c r="D13" s="89" t="s">
        <v>63</v>
      </c>
      <c r="E13" s="89" t="s">
        <v>13</v>
      </c>
      <c r="F13" s="89" t="s">
        <v>63</v>
      </c>
      <c r="G13" s="89" t="s">
        <v>19</v>
      </c>
      <c r="H13" s="89" t="s">
        <v>63</v>
      </c>
      <c r="I13" s="89" t="s">
        <v>337</v>
      </c>
      <c r="J13" s="89" t="s">
        <v>543</v>
      </c>
      <c r="K13" s="89" t="s">
        <v>543</v>
      </c>
      <c r="L13" s="89" t="s">
        <v>543</v>
      </c>
      <c r="M13" s="89" t="s">
        <v>334</v>
      </c>
      <c r="N13" s="89" t="s">
        <v>334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331</v>
      </c>
      <c r="C14" s="89" t="s">
        <v>264</v>
      </c>
      <c r="D14" s="89" t="s">
        <v>547</v>
      </c>
      <c r="E14" s="89" t="s">
        <v>181</v>
      </c>
      <c r="F14" s="89" t="s">
        <v>182</v>
      </c>
      <c r="G14" s="89" t="s">
        <v>264</v>
      </c>
      <c r="H14" s="89" t="s">
        <v>547</v>
      </c>
      <c r="I14" s="89" t="s">
        <v>337</v>
      </c>
      <c r="J14" s="89" t="s">
        <v>543</v>
      </c>
      <c r="K14" s="89" t="s">
        <v>543</v>
      </c>
      <c r="L14" s="89" t="s">
        <v>543</v>
      </c>
      <c r="M14" s="89" t="s">
        <v>334</v>
      </c>
      <c r="N14" s="89" t="s">
        <v>334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</row>
    <row r="16" spans="1:17" x14ac:dyDescent="0.2">
      <c r="A16" s="89" t="s">
        <v>354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</row>
    <row r="17" spans="1:17" x14ac:dyDescent="0.2">
      <c r="A17" s="89" t="s">
        <v>355</v>
      </c>
      <c r="B17" s="89" t="s">
        <v>331</v>
      </c>
      <c r="C17" s="89" t="s">
        <v>332</v>
      </c>
      <c r="D17" s="89" t="s">
        <v>53</v>
      </c>
      <c r="E17" s="89" t="s">
        <v>10</v>
      </c>
      <c r="F17" s="89" t="s">
        <v>163</v>
      </c>
      <c r="G17" s="89" t="s">
        <v>332</v>
      </c>
      <c r="H17" s="89" t="s">
        <v>53</v>
      </c>
      <c r="I17" s="89" t="s">
        <v>337</v>
      </c>
      <c r="J17" s="89" t="s">
        <v>338</v>
      </c>
      <c r="K17" s="89" t="s">
        <v>338</v>
      </c>
      <c r="L17" s="89" t="s">
        <v>338</v>
      </c>
      <c r="M17" s="89" t="s">
        <v>334</v>
      </c>
      <c r="N17" s="89" t="s">
        <v>334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 t="s">
        <v>331</v>
      </c>
      <c r="C19" s="89" t="s">
        <v>19</v>
      </c>
      <c r="D19" s="89" t="s">
        <v>58</v>
      </c>
      <c r="E19" s="89" t="s">
        <v>116</v>
      </c>
      <c r="F19" s="89" t="s">
        <v>183</v>
      </c>
      <c r="G19" s="89" t="s">
        <v>19</v>
      </c>
      <c r="H19" s="89" t="s">
        <v>58</v>
      </c>
      <c r="I19" s="89" t="s">
        <v>337</v>
      </c>
      <c r="J19" s="89" t="s">
        <v>421</v>
      </c>
      <c r="K19" s="89" t="s">
        <v>421</v>
      </c>
      <c r="L19" s="89" t="s">
        <v>421</v>
      </c>
      <c r="M19" s="89" t="s">
        <v>334</v>
      </c>
      <c r="N19" s="89" t="s">
        <v>334</v>
      </c>
      <c r="O19" s="89" t="s">
        <v>334</v>
      </c>
      <c r="P19" s="89" t="s">
        <v>334</v>
      </c>
      <c r="Q19" s="89"/>
    </row>
    <row r="20" spans="1:17" x14ac:dyDescent="0.2">
      <c r="A20" s="89" t="s">
        <v>359</v>
      </c>
      <c r="B20" s="89" t="s">
        <v>331</v>
      </c>
      <c r="C20" s="89" t="s">
        <v>58</v>
      </c>
      <c r="D20" s="89" t="s">
        <v>35</v>
      </c>
      <c r="E20" s="89" t="s">
        <v>112</v>
      </c>
      <c r="F20" s="89" t="s">
        <v>80</v>
      </c>
      <c r="G20" s="89" t="s">
        <v>58</v>
      </c>
      <c r="H20" s="89" t="s">
        <v>80</v>
      </c>
      <c r="I20" s="89" t="s">
        <v>337</v>
      </c>
      <c r="J20" s="89" t="s">
        <v>338</v>
      </c>
      <c r="K20" s="89" t="s">
        <v>525</v>
      </c>
      <c r="L20" s="89" t="s">
        <v>525</v>
      </c>
      <c r="M20" s="89" t="s">
        <v>334</v>
      </c>
      <c r="N20" s="89" t="s">
        <v>334</v>
      </c>
      <c r="O20" s="89" t="s">
        <v>334</v>
      </c>
      <c r="P20" s="89" t="s">
        <v>334</v>
      </c>
      <c r="Q20" s="89"/>
    </row>
    <row r="21" spans="1:17" x14ac:dyDescent="0.2">
      <c r="A21" s="89" t="s">
        <v>448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</row>
    <row r="22" spans="1:17" x14ac:dyDescent="0.2">
      <c r="A22" s="89" t="s">
        <v>362</v>
      </c>
      <c r="B22" s="89" t="s">
        <v>331</v>
      </c>
      <c r="C22" s="89" t="s">
        <v>272</v>
      </c>
      <c r="D22" s="89" t="s">
        <v>184</v>
      </c>
      <c r="E22" s="89" t="s">
        <v>136</v>
      </c>
      <c r="F22" s="89" t="s">
        <v>184</v>
      </c>
      <c r="G22" s="89" t="s">
        <v>272</v>
      </c>
      <c r="H22" s="89" t="s">
        <v>184</v>
      </c>
      <c r="I22" s="89" t="s">
        <v>337</v>
      </c>
      <c r="J22" s="89" t="s">
        <v>580</v>
      </c>
      <c r="K22" s="89" t="s">
        <v>580</v>
      </c>
      <c r="L22" s="89" t="s">
        <v>580</v>
      </c>
      <c r="M22" s="89" t="s">
        <v>334</v>
      </c>
      <c r="N22" s="89" t="s">
        <v>334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</row>
    <row r="24" spans="1:17" x14ac:dyDescent="0.2">
      <c r="A24" s="89" t="s">
        <v>368</v>
      </c>
      <c r="B24" s="89" t="s">
        <v>331</v>
      </c>
      <c r="C24" s="89" t="s">
        <v>19</v>
      </c>
      <c r="D24" s="89" t="s">
        <v>63</v>
      </c>
      <c r="E24" s="89" t="s">
        <v>44</v>
      </c>
      <c r="F24" s="89" t="s">
        <v>185</v>
      </c>
      <c r="G24" s="89" t="s">
        <v>19</v>
      </c>
      <c r="H24" s="89" t="s">
        <v>63</v>
      </c>
      <c r="I24" s="89" t="s">
        <v>337</v>
      </c>
      <c r="J24" s="89" t="s">
        <v>543</v>
      </c>
      <c r="K24" s="89" t="s">
        <v>543</v>
      </c>
      <c r="L24" s="89" t="s">
        <v>543</v>
      </c>
      <c r="M24" s="89" t="s">
        <v>334</v>
      </c>
      <c r="N24" s="89" t="s">
        <v>334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 t="s">
        <v>393</v>
      </c>
      <c r="C26" s="89" t="s">
        <v>264</v>
      </c>
      <c r="D26" s="89" t="s">
        <v>132</v>
      </c>
      <c r="E26" s="89"/>
      <c r="F26" s="89"/>
      <c r="G26" s="89"/>
      <c r="H26" s="89"/>
      <c r="I26" s="89"/>
      <c r="J26" s="89" t="s">
        <v>264</v>
      </c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/>
      <c r="C27" s="89"/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89"/>
    </row>
    <row r="28" spans="1:17" x14ac:dyDescent="0.2">
      <c r="A28" s="89" t="s">
        <v>375</v>
      </c>
      <c r="B28" s="89" t="s">
        <v>331</v>
      </c>
      <c r="C28" s="89" t="s">
        <v>53</v>
      </c>
      <c r="D28" s="89" t="s">
        <v>132</v>
      </c>
      <c r="E28" s="89" t="s">
        <v>186</v>
      </c>
      <c r="F28" s="89" t="s">
        <v>132</v>
      </c>
      <c r="G28" s="89" t="s">
        <v>53</v>
      </c>
      <c r="H28" s="89" t="s">
        <v>132</v>
      </c>
      <c r="I28" s="89" t="s">
        <v>337</v>
      </c>
      <c r="J28" s="89" t="s">
        <v>599</v>
      </c>
      <c r="K28" s="89" t="s">
        <v>599</v>
      </c>
      <c r="L28" s="89" t="s">
        <v>599</v>
      </c>
      <c r="M28" s="89" t="s">
        <v>334</v>
      </c>
      <c r="N28" s="89" t="s">
        <v>334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/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</row>
    <row r="30" spans="1:17" x14ac:dyDescent="0.2">
      <c r="A30" s="89" t="s">
        <v>379</v>
      </c>
      <c r="B30" s="89"/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  <c r="P30" s="89"/>
      <c r="Q30" s="89"/>
    </row>
    <row r="31" spans="1:17" x14ac:dyDescent="0.2">
      <c r="A31" s="89" t="s">
        <v>380</v>
      </c>
      <c r="B31" s="89" t="s">
        <v>331</v>
      </c>
      <c r="C31" s="89" t="s">
        <v>58</v>
      </c>
      <c r="D31" s="89" t="s">
        <v>35</v>
      </c>
      <c r="E31" s="89" t="s">
        <v>46</v>
      </c>
      <c r="F31" s="89" t="s">
        <v>78</v>
      </c>
      <c r="G31" s="89" t="s">
        <v>58</v>
      </c>
      <c r="H31" s="89" t="s">
        <v>78</v>
      </c>
      <c r="I31" s="89" t="s">
        <v>337</v>
      </c>
      <c r="J31" s="89" t="s">
        <v>338</v>
      </c>
      <c r="K31" s="89" t="s">
        <v>600</v>
      </c>
      <c r="L31" s="89" t="s">
        <v>600</v>
      </c>
      <c r="M31" s="89" t="s">
        <v>334</v>
      </c>
      <c r="N31" s="89" t="s">
        <v>334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 t="s">
        <v>331</v>
      </c>
      <c r="C32" s="89" t="s">
        <v>332</v>
      </c>
      <c r="D32" s="89" t="s">
        <v>53</v>
      </c>
      <c r="E32" s="89" t="s">
        <v>4</v>
      </c>
      <c r="F32" s="89" t="s">
        <v>163</v>
      </c>
      <c r="G32" s="89" t="s">
        <v>332</v>
      </c>
      <c r="H32" s="89" t="s">
        <v>53</v>
      </c>
      <c r="I32" s="89" t="s">
        <v>337</v>
      </c>
      <c r="J32" s="89" t="s">
        <v>338</v>
      </c>
      <c r="K32" s="89" t="s">
        <v>338</v>
      </c>
      <c r="L32" s="89" t="s">
        <v>338</v>
      </c>
      <c r="M32" s="89" t="s">
        <v>334</v>
      </c>
      <c r="N32" s="89" t="s">
        <v>334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 t="s">
        <v>393</v>
      </c>
      <c r="C33" s="89" t="s">
        <v>264</v>
      </c>
      <c r="D33" s="89" t="s">
        <v>132</v>
      </c>
      <c r="E33" s="89"/>
      <c r="F33" s="89"/>
      <c r="G33" s="89"/>
      <c r="H33" s="89"/>
      <c r="I33" s="89"/>
      <c r="J33" s="89" t="s">
        <v>264</v>
      </c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 t="s">
        <v>331</v>
      </c>
      <c r="C34" s="89" t="s">
        <v>332</v>
      </c>
      <c r="D34" s="89" t="s">
        <v>53</v>
      </c>
      <c r="E34" s="89" t="s">
        <v>93</v>
      </c>
      <c r="F34" s="89" t="s">
        <v>162</v>
      </c>
      <c r="G34" s="89" t="s">
        <v>332</v>
      </c>
      <c r="H34" s="89" t="s">
        <v>53</v>
      </c>
      <c r="I34" s="89" t="s">
        <v>337</v>
      </c>
      <c r="J34" s="89" t="s">
        <v>338</v>
      </c>
      <c r="K34" s="89" t="s">
        <v>338</v>
      </c>
      <c r="L34" s="89" t="s">
        <v>338</v>
      </c>
      <c r="M34" s="89" t="s">
        <v>334</v>
      </c>
      <c r="N34" s="89" t="s">
        <v>334</v>
      </c>
      <c r="O34" s="89" t="s">
        <v>334</v>
      </c>
      <c r="P34" s="89" t="s">
        <v>334</v>
      </c>
      <c r="Q34" s="89"/>
    </row>
    <row r="35" spans="1:17" x14ac:dyDescent="0.2">
      <c r="A35" s="89" t="s">
        <v>386</v>
      </c>
      <c r="B35" s="89" t="s">
        <v>393</v>
      </c>
      <c r="C35" s="89" t="s">
        <v>264</v>
      </c>
      <c r="D35" s="89" t="s">
        <v>132</v>
      </c>
      <c r="E35" s="89"/>
      <c r="F35" s="89"/>
      <c r="G35" s="89"/>
      <c r="H35" s="89"/>
      <c r="I35" s="89"/>
      <c r="J35" s="89" t="s">
        <v>264</v>
      </c>
      <c r="K35" s="89"/>
      <c r="L35" s="89"/>
      <c r="M35" s="89"/>
      <c r="N35" s="89"/>
      <c r="O35" s="89"/>
      <c r="P35" s="89"/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550</v>
      </c>
      <c r="B40" s="89" t="s">
        <v>502</v>
      </c>
      <c r="C40" s="89" t="s">
        <v>337</v>
      </c>
      <c r="D40" s="89" t="s">
        <v>337</v>
      </c>
      <c r="E40" s="89"/>
      <c r="F40" s="89" t="s">
        <v>601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602</v>
      </c>
      <c r="B45" s="89" t="s">
        <v>603</v>
      </c>
      <c r="C45" s="89" t="s">
        <v>603</v>
      </c>
      <c r="D45" s="89" t="s">
        <v>334</v>
      </c>
      <c r="E45" s="89"/>
      <c r="F45" s="89" t="s">
        <v>334</v>
      </c>
      <c r="G45" s="89" t="s">
        <v>334</v>
      </c>
      <c r="H45" s="89" t="s">
        <v>334</v>
      </c>
      <c r="I45" s="89" t="s">
        <v>334</v>
      </c>
      <c r="J45" s="89" t="s">
        <v>334</v>
      </c>
      <c r="K45" s="89" t="s">
        <v>604</v>
      </c>
      <c r="L45" s="89" t="s">
        <v>334</v>
      </c>
      <c r="M45" s="89" t="s">
        <v>605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606</v>
      </c>
      <c r="C2" s="89" t="s">
        <v>607</v>
      </c>
      <c r="D2" s="89" t="s">
        <v>608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523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119</v>
      </c>
      <c r="D6" s="89" t="s">
        <v>35</v>
      </c>
      <c r="E6" s="89" t="s">
        <v>60</v>
      </c>
      <c r="F6" s="89" t="s">
        <v>74</v>
      </c>
      <c r="G6" s="89" t="s">
        <v>119</v>
      </c>
      <c r="H6" s="89" t="s">
        <v>74</v>
      </c>
      <c r="I6" s="89" t="s">
        <v>333</v>
      </c>
      <c r="J6" s="89" t="s">
        <v>19</v>
      </c>
      <c r="K6" s="89" t="s">
        <v>264</v>
      </c>
      <c r="L6" s="89" t="s">
        <v>116</v>
      </c>
      <c r="M6" s="89" t="s">
        <v>334</v>
      </c>
      <c r="N6" s="89" t="s">
        <v>524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</row>
    <row r="8" spans="1:17" x14ac:dyDescent="0.2">
      <c r="A8" s="89" t="s">
        <v>341</v>
      </c>
      <c r="B8" s="89" t="s">
        <v>331</v>
      </c>
      <c r="C8" s="89" t="s">
        <v>351</v>
      </c>
      <c r="D8" s="89" t="s">
        <v>35</v>
      </c>
      <c r="E8" s="89" t="s">
        <v>61</v>
      </c>
      <c r="F8" s="89" t="s">
        <v>51</v>
      </c>
      <c r="G8" s="89" t="s">
        <v>351</v>
      </c>
      <c r="H8" s="89" t="s">
        <v>51</v>
      </c>
      <c r="I8" s="89" t="s">
        <v>333</v>
      </c>
      <c r="J8" s="89" t="s">
        <v>264</v>
      </c>
      <c r="K8" s="89" t="s">
        <v>234</v>
      </c>
      <c r="L8" s="89" t="s">
        <v>234</v>
      </c>
      <c r="M8" s="89" t="s">
        <v>334</v>
      </c>
      <c r="N8" s="89" t="s">
        <v>334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 t="s">
        <v>331</v>
      </c>
      <c r="C9" s="89" t="s">
        <v>351</v>
      </c>
      <c r="D9" s="89" t="s">
        <v>35</v>
      </c>
      <c r="E9" s="89" t="s">
        <v>62</v>
      </c>
      <c r="F9" s="89" t="s">
        <v>75</v>
      </c>
      <c r="G9" s="89" t="s">
        <v>351</v>
      </c>
      <c r="H9" s="89" t="s">
        <v>75</v>
      </c>
      <c r="I9" s="89" t="s">
        <v>333</v>
      </c>
      <c r="J9" s="89" t="s">
        <v>264</v>
      </c>
      <c r="K9" s="89" t="s">
        <v>49</v>
      </c>
      <c r="L9" s="89" t="s">
        <v>49</v>
      </c>
      <c r="M9" s="89" t="s">
        <v>334</v>
      </c>
      <c r="N9" s="89" t="s">
        <v>334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 t="s">
        <v>331</v>
      </c>
      <c r="C10" s="89" t="s">
        <v>19</v>
      </c>
      <c r="D10" s="89" t="s">
        <v>35</v>
      </c>
      <c r="E10" s="89" t="s">
        <v>36</v>
      </c>
      <c r="F10" s="89" t="s">
        <v>51</v>
      </c>
      <c r="G10" s="89" t="s">
        <v>19</v>
      </c>
      <c r="H10" s="89" t="s">
        <v>51</v>
      </c>
      <c r="I10" s="89" t="s">
        <v>333</v>
      </c>
      <c r="J10" s="89" t="s">
        <v>119</v>
      </c>
      <c r="K10" s="89" t="s">
        <v>264</v>
      </c>
      <c r="L10" s="89" t="s">
        <v>609</v>
      </c>
      <c r="M10" s="89" t="s">
        <v>334</v>
      </c>
      <c r="N10" s="89" t="s">
        <v>610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 t="s">
        <v>331</v>
      </c>
      <c r="C12" s="89" t="s">
        <v>53</v>
      </c>
      <c r="D12" s="89" t="s">
        <v>35</v>
      </c>
      <c r="E12" s="89" t="s">
        <v>63</v>
      </c>
      <c r="F12" s="89" t="s">
        <v>76</v>
      </c>
      <c r="G12" s="89" t="s">
        <v>53</v>
      </c>
      <c r="H12" s="89" t="s">
        <v>76</v>
      </c>
      <c r="I12" s="89" t="s">
        <v>337</v>
      </c>
      <c r="J12" s="89" t="s">
        <v>485</v>
      </c>
      <c r="K12" s="89" t="s">
        <v>485</v>
      </c>
      <c r="L12" s="89" t="s">
        <v>486</v>
      </c>
      <c r="M12" s="89" t="s">
        <v>487</v>
      </c>
      <c r="N12" s="89" t="s">
        <v>334</v>
      </c>
      <c r="O12" s="89" t="s">
        <v>334</v>
      </c>
      <c r="P12" s="89" t="s">
        <v>334</v>
      </c>
      <c r="Q12" s="89"/>
    </row>
    <row r="13" spans="1:17" x14ac:dyDescent="0.2">
      <c r="A13" s="89" t="s">
        <v>349</v>
      </c>
      <c r="B13" s="89" t="s">
        <v>331</v>
      </c>
      <c r="C13" s="89" t="s">
        <v>351</v>
      </c>
      <c r="D13" s="89" t="s">
        <v>35</v>
      </c>
      <c r="E13" s="89" t="s">
        <v>64</v>
      </c>
      <c r="F13" s="89" t="s">
        <v>77</v>
      </c>
      <c r="G13" s="89" t="s">
        <v>351</v>
      </c>
      <c r="H13" s="89" t="s">
        <v>77</v>
      </c>
      <c r="I13" s="89" t="s">
        <v>333</v>
      </c>
      <c r="J13" s="89" t="s">
        <v>264</v>
      </c>
      <c r="K13" s="89" t="s">
        <v>247</v>
      </c>
      <c r="L13" s="89" t="s">
        <v>247</v>
      </c>
      <c r="M13" s="89" t="s">
        <v>334</v>
      </c>
      <c r="N13" s="89" t="s">
        <v>334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331</v>
      </c>
      <c r="C14" s="89" t="s">
        <v>351</v>
      </c>
      <c r="D14" s="89" t="s">
        <v>35</v>
      </c>
      <c r="E14" s="89" t="s">
        <v>62</v>
      </c>
      <c r="F14" s="89" t="s">
        <v>35</v>
      </c>
      <c r="G14" s="89" t="s">
        <v>351</v>
      </c>
      <c r="H14" s="89" t="s">
        <v>35</v>
      </c>
      <c r="I14" s="89" t="s">
        <v>333</v>
      </c>
      <c r="J14" s="89" t="s">
        <v>264</v>
      </c>
      <c r="K14" s="89" t="s">
        <v>264</v>
      </c>
      <c r="L14" s="89" t="s">
        <v>264</v>
      </c>
      <c r="M14" s="89" t="s">
        <v>334</v>
      </c>
      <c r="N14" s="89" t="s">
        <v>334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351</v>
      </c>
      <c r="D15" s="89" t="s">
        <v>35</v>
      </c>
      <c r="E15" s="89" t="s">
        <v>65</v>
      </c>
      <c r="F15" s="89" t="s">
        <v>78</v>
      </c>
      <c r="G15" s="89" t="s">
        <v>351</v>
      </c>
      <c r="H15" s="89" t="s">
        <v>78</v>
      </c>
      <c r="I15" s="89" t="s">
        <v>333</v>
      </c>
      <c r="J15" s="89" t="s">
        <v>264</v>
      </c>
      <c r="K15" s="89" t="s">
        <v>181</v>
      </c>
      <c r="L15" s="89" t="s">
        <v>181</v>
      </c>
      <c r="M15" s="89" t="s">
        <v>334</v>
      </c>
      <c r="N15" s="89" t="s">
        <v>334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</row>
    <row r="17" spans="1:17" x14ac:dyDescent="0.2">
      <c r="A17" s="89" t="s">
        <v>355</v>
      </c>
      <c r="B17" s="89" t="s">
        <v>331</v>
      </c>
      <c r="C17" s="89" t="s">
        <v>351</v>
      </c>
      <c r="D17" s="89" t="s">
        <v>35</v>
      </c>
      <c r="E17" s="89" t="s">
        <v>66</v>
      </c>
      <c r="F17" s="89" t="s">
        <v>79</v>
      </c>
      <c r="G17" s="89" t="s">
        <v>351</v>
      </c>
      <c r="H17" s="89" t="s">
        <v>79</v>
      </c>
      <c r="I17" s="89" t="s">
        <v>333</v>
      </c>
      <c r="J17" s="89" t="s">
        <v>264</v>
      </c>
      <c r="K17" s="89" t="s">
        <v>264</v>
      </c>
      <c r="L17" s="89" t="s">
        <v>200</v>
      </c>
      <c r="M17" s="89" t="s">
        <v>334</v>
      </c>
      <c r="N17" s="89" t="s">
        <v>461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331</v>
      </c>
      <c r="C20" s="89" t="s">
        <v>17</v>
      </c>
      <c r="D20" s="89" t="s">
        <v>35</v>
      </c>
      <c r="E20" s="89" t="s">
        <v>67</v>
      </c>
      <c r="F20" s="89" t="s">
        <v>80</v>
      </c>
      <c r="G20" s="89" t="s">
        <v>17</v>
      </c>
      <c r="H20" s="89" t="s">
        <v>80</v>
      </c>
      <c r="I20" s="89" t="s">
        <v>333</v>
      </c>
      <c r="J20" s="89" t="s">
        <v>36</v>
      </c>
      <c r="K20" s="89" t="s">
        <v>264</v>
      </c>
      <c r="L20" s="89" t="s">
        <v>9</v>
      </c>
      <c r="M20" s="89" t="s">
        <v>334</v>
      </c>
      <c r="N20" s="89" t="s">
        <v>388</v>
      </c>
      <c r="O20" s="89" t="s">
        <v>334</v>
      </c>
      <c r="P20" s="89" t="s">
        <v>334</v>
      </c>
      <c r="Q20" s="89"/>
    </row>
    <row r="21" spans="1:17" x14ac:dyDescent="0.2">
      <c r="A21" s="89" t="s">
        <v>360</v>
      </c>
      <c r="B21" s="89"/>
      <c r="C21" s="89" t="s">
        <v>351</v>
      </c>
      <c r="D21" s="89" t="s">
        <v>35</v>
      </c>
      <c r="E21" s="89" t="s">
        <v>68</v>
      </c>
      <c r="F21" s="89" t="s">
        <v>81</v>
      </c>
      <c r="G21" s="89" t="s">
        <v>351</v>
      </c>
      <c r="H21" s="89" t="s">
        <v>81</v>
      </c>
      <c r="I21" s="89" t="s">
        <v>333</v>
      </c>
      <c r="J21" s="89" t="s">
        <v>264</v>
      </c>
      <c r="K21" s="89" t="s">
        <v>139</v>
      </c>
      <c r="L21" s="89" t="s">
        <v>139</v>
      </c>
      <c r="M21" s="89" t="s">
        <v>334</v>
      </c>
      <c r="N21" s="89" t="s">
        <v>334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 t="s">
        <v>331</v>
      </c>
      <c r="C22" s="89" t="s">
        <v>351</v>
      </c>
      <c r="D22" s="89" t="s">
        <v>35</v>
      </c>
      <c r="E22" s="89" t="s">
        <v>69</v>
      </c>
      <c r="F22" s="89" t="s">
        <v>57</v>
      </c>
      <c r="G22" s="89" t="s">
        <v>351</v>
      </c>
      <c r="H22" s="89" t="s">
        <v>57</v>
      </c>
      <c r="I22" s="89" t="s">
        <v>333</v>
      </c>
      <c r="J22" s="89" t="s">
        <v>264</v>
      </c>
      <c r="K22" s="89" t="s">
        <v>264</v>
      </c>
      <c r="L22" s="89" t="s">
        <v>275</v>
      </c>
      <c r="M22" s="89" t="s">
        <v>334</v>
      </c>
      <c r="N22" s="89" t="s">
        <v>516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</row>
    <row r="24" spans="1:17" x14ac:dyDescent="0.2">
      <c r="A24" s="89" t="s">
        <v>368</v>
      </c>
      <c r="B24" s="89" t="s">
        <v>331</v>
      </c>
      <c r="C24" s="89" t="s">
        <v>351</v>
      </c>
      <c r="D24" s="89" t="s">
        <v>35</v>
      </c>
      <c r="E24" s="89" t="s">
        <v>64</v>
      </c>
      <c r="F24" s="89" t="s">
        <v>74</v>
      </c>
      <c r="G24" s="89" t="s">
        <v>351</v>
      </c>
      <c r="H24" s="89" t="s">
        <v>74</v>
      </c>
      <c r="I24" s="89" t="s">
        <v>333</v>
      </c>
      <c r="J24" s="89" t="s">
        <v>264</v>
      </c>
      <c r="K24" s="89" t="s">
        <v>210</v>
      </c>
      <c r="L24" s="89" t="s">
        <v>210</v>
      </c>
      <c r="M24" s="89" t="s">
        <v>334</v>
      </c>
      <c r="N24" s="89" t="s">
        <v>334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 t="s">
        <v>331</v>
      </c>
      <c r="C26" s="89" t="s">
        <v>58</v>
      </c>
      <c r="D26" s="89" t="s">
        <v>35</v>
      </c>
      <c r="E26" s="89" t="s">
        <v>70</v>
      </c>
      <c r="F26" s="89" t="s">
        <v>74</v>
      </c>
      <c r="G26" s="89" t="s">
        <v>58</v>
      </c>
      <c r="H26" s="89" t="s">
        <v>74</v>
      </c>
      <c r="I26" s="89" t="s">
        <v>337</v>
      </c>
      <c r="J26" s="89" t="s">
        <v>338</v>
      </c>
      <c r="K26" s="89" t="s">
        <v>498</v>
      </c>
      <c r="L26" s="89" t="s">
        <v>498</v>
      </c>
      <c r="M26" s="89" t="s">
        <v>334</v>
      </c>
      <c r="N26" s="89" t="s">
        <v>334</v>
      </c>
      <c r="O26" s="89" t="s">
        <v>334</v>
      </c>
      <c r="P26" s="89" t="s">
        <v>334</v>
      </c>
      <c r="Q26" s="89"/>
    </row>
    <row r="27" spans="1:17" x14ac:dyDescent="0.2">
      <c r="A27" s="89" t="s">
        <v>374</v>
      </c>
      <c r="B27" s="89" t="s">
        <v>331</v>
      </c>
      <c r="C27" s="89" t="s">
        <v>351</v>
      </c>
      <c r="D27" s="89" t="s">
        <v>35</v>
      </c>
      <c r="E27" s="89" t="s">
        <v>68</v>
      </c>
      <c r="F27" s="89" t="s">
        <v>35</v>
      </c>
      <c r="G27" s="89" t="s">
        <v>351</v>
      </c>
      <c r="H27" s="89" t="s">
        <v>35</v>
      </c>
      <c r="I27" s="89" t="s">
        <v>333</v>
      </c>
      <c r="J27" s="89" t="s">
        <v>264</v>
      </c>
      <c r="K27" s="89" t="s">
        <v>264</v>
      </c>
      <c r="L27" s="89" t="s">
        <v>264</v>
      </c>
      <c r="M27" s="89" t="s">
        <v>334</v>
      </c>
      <c r="N27" s="89" t="s">
        <v>334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</row>
    <row r="29" spans="1:17" x14ac:dyDescent="0.2">
      <c r="A29" s="89" t="s">
        <v>378</v>
      </c>
      <c r="B29" s="89" t="s">
        <v>331</v>
      </c>
      <c r="C29" s="89" t="s">
        <v>17</v>
      </c>
      <c r="D29" s="89" t="s">
        <v>35</v>
      </c>
      <c r="E29" s="89" t="s">
        <v>71</v>
      </c>
      <c r="F29" s="89" t="s">
        <v>74</v>
      </c>
      <c r="G29" s="89" t="s">
        <v>17</v>
      </c>
      <c r="H29" s="89" t="s">
        <v>74</v>
      </c>
      <c r="I29" s="89" t="s">
        <v>333</v>
      </c>
      <c r="J29" s="89" t="s">
        <v>36</v>
      </c>
      <c r="K29" s="89" t="s">
        <v>264</v>
      </c>
      <c r="L29" s="89" t="s">
        <v>257</v>
      </c>
      <c r="M29" s="89" t="s">
        <v>334</v>
      </c>
      <c r="N29" s="89" t="s">
        <v>611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 t="s">
        <v>331</v>
      </c>
      <c r="C30" s="89" t="s">
        <v>351</v>
      </c>
      <c r="D30" s="89" t="s">
        <v>35</v>
      </c>
      <c r="E30" s="89" t="s">
        <v>61</v>
      </c>
      <c r="F30" s="89" t="s">
        <v>82</v>
      </c>
      <c r="G30" s="89" t="s">
        <v>351</v>
      </c>
      <c r="H30" s="89" t="s">
        <v>82</v>
      </c>
      <c r="I30" s="89" t="s">
        <v>333</v>
      </c>
      <c r="J30" s="89" t="s">
        <v>264</v>
      </c>
      <c r="K30" s="89" t="s">
        <v>264</v>
      </c>
      <c r="L30" s="89" t="s">
        <v>207</v>
      </c>
      <c r="M30" s="89" t="s">
        <v>334</v>
      </c>
      <c r="N30" s="89" t="s">
        <v>462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89"/>
      <c r="N31" s="89"/>
      <c r="O31" s="89"/>
      <c r="P31" s="89"/>
      <c r="Q31" s="89"/>
    </row>
    <row r="32" spans="1:17" x14ac:dyDescent="0.2">
      <c r="A32" s="89" t="s">
        <v>381</v>
      </c>
      <c r="B32" s="89" t="s">
        <v>331</v>
      </c>
      <c r="C32" s="89" t="s">
        <v>351</v>
      </c>
      <c r="D32" s="89" t="s">
        <v>35</v>
      </c>
      <c r="E32" s="89" t="s">
        <v>68</v>
      </c>
      <c r="F32" s="89" t="s">
        <v>83</v>
      </c>
      <c r="G32" s="89" t="s">
        <v>351</v>
      </c>
      <c r="H32" s="89" t="s">
        <v>83</v>
      </c>
      <c r="I32" s="89" t="s">
        <v>333</v>
      </c>
      <c r="J32" s="89" t="s">
        <v>264</v>
      </c>
      <c r="K32" s="89" t="s">
        <v>209</v>
      </c>
      <c r="L32" s="89" t="s">
        <v>209</v>
      </c>
      <c r="M32" s="89" t="s">
        <v>334</v>
      </c>
      <c r="N32" s="89" t="s">
        <v>334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 t="s">
        <v>331</v>
      </c>
      <c r="C33" s="89" t="s">
        <v>494</v>
      </c>
      <c r="D33" s="89" t="s">
        <v>512</v>
      </c>
      <c r="E33" s="89" t="s">
        <v>72</v>
      </c>
      <c r="F33" s="89" t="s">
        <v>84</v>
      </c>
      <c r="G33" s="89" t="s">
        <v>494</v>
      </c>
      <c r="H33" s="89" t="s">
        <v>84</v>
      </c>
      <c r="I33" s="89" t="s">
        <v>337</v>
      </c>
      <c r="J33" s="89" t="s">
        <v>338</v>
      </c>
      <c r="K33" s="89" t="s">
        <v>501</v>
      </c>
      <c r="L33" s="89" t="s">
        <v>501</v>
      </c>
      <c r="M33" s="89" t="s">
        <v>334</v>
      </c>
      <c r="N33" s="89" t="s">
        <v>334</v>
      </c>
      <c r="O33" s="89" t="s">
        <v>334</v>
      </c>
      <c r="P33" s="89" t="s">
        <v>334</v>
      </c>
      <c r="Q33" s="89"/>
    </row>
    <row r="34" spans="1:17" x14ac:dyDescent="0.2">
      <c r="A34" s="89" t="s">
        <v>383</v>
      </c>
      <c r="B34" s="89" t="s">
        <v>331</v>
      </c>
      <c r="C34" s="89" t="s">
        <v>384</v>
      </c>
      <c r="D34" s="89" t="s">
        <v>35</v>
      </c>
      <c r="E34" s="89" t="s">
        <v>73</v>
      </c>
      <c r="F34" s="89" t="s">
        <v>77</v>
      </c>
      <c r="G34" s="89" t="s">
        <v>73</v>
      </c>
      <c r="H34" s="89" t="s">
        <v>77</v>
      </c>
      <c r="I34" s="89" t="s">
        <v>333</v>
      </c>
      <c r="J34" s="89" t="s">
        <v>252</v>
      </c>
      <c r="K34" s="89" t="s">
        <v>264</v>
      </c>
      <c r="L34" s="89" t="s">
        <v>427</v>
      </c>
      <c r="M34" s="89" t="s">
        <v>334</v>
      </c>
      <c r="N34" s="89" t="s">
        <v>428</v>
      </c>
      <c r="O34" s="89" t="s">
        <v>334</v>
      </c>
      <c r="P34" s="89" t="s">
        <v>334</v>
      </c>
      <c r="Q34" s="89"/>
    </row>
    <row r="35" spans="1:17" x14ac:dyDescent="0.2">
      <c r="A35" s="89" t="s">
        <v>386</v>
      </c>
      <c r="B35" s="89" t="s">
        <v>331</v>
      </c>
      <c r="C35" s="89" t="s">
        <v>351</v>
      </c>
      <c r="D35" s="89" t="s">
        <v>35</v>
      </c>
      <c r="E35" s="89" t="s">
        <v>61</v>
      </c>
      <c r="F35" s="89" t="s">
        <v>35</v>
      </c>
      <c r="G35" s="89" t="s">
        <v>351</v>
      </c>
      <c r="H35" s="89" t="s">
        <v>35</v>
      </c>
      <c r="I35" s="89" t="s">
        <v>333</v>
      </c>
      <c r="J35" s="89" t="s">
        <v>264</v>
      </c>
      <c r="K35" s="89" t="s">
        <v>264</v>
      </c>
      <c r="L35" s="89" t="s">
        <v>264</v>
      </c>
      <c r="M35" s="89" t="s">
        <v>334</v>
      </c>
      <c r="N35" s="89" t="s">
        <v>334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531</v>
      </c>
      <c r="B40" s="89" t="s">
        <v>531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452</v>
      </c>
      <c r="B45" s="89" t="s">
        <v>612</v>
      </c>
      <c r="C45" s="89" t="s">
        <v>613</v>
      </c>
      <c r="D45" s="89" t="s">
        <v>487</v>
      </c>
      <c r="E45" s="89"/>
      <c r="F45" s="89" t="s">
        <v>614</v>
      </c>
      <c r="G45" s="89" t="s">
        <v>334</v>
      </c>
      <c r="H45" s="89" t="s">
        <v>614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613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615</v>
      </c>
      <c r="C2" s="89" t="s">
        <v>616</v>
      </c>
      <c r="D2" s="89" t="s">
        <v>617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523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264</v>
      </c>
      <c r="D6" s="89" t="s">
        <v>132</v>
      </c>
      <c r="E6" s="89" t="s">
        <v>88</v>
      </c>
      <c r="F6" s="89" t="s">
        <v>132</v>
      </c>
      <c r="G6" s="89" t="s">
        <v>264</v>
      </c>
      <c r="H6" s="89" t="s">
        <v>132</v>
      </c>
      <c r="I6" s="89" t="s">
        <v>333</v>
      </c>
      <c r="J6" s="89" t="s">
        <v>264</v>
      </c>
      <c r="K6" s="89" t="s">
        <v>264</v>
      </c>
      <c r="L6" s="89" t="s">
        <v>264</v>
      </c>
      <c r="M6" s="89" t="s">
        <v>334</v>
      </c>
      <c r="N6" s="89" t="s">
        <v>334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 t="s">
        <v>331</v>
      </c>
      <c r="C7" s="89" t="s">
        <v>351</v>
      </c>
      <c r="D7" s="89" t="s">
        <v>35</v>
      </c>
      <c r="E7" s="89" t="s">
        <v>65</v>
      </c>
      <c r="F7" s="89" t="s">
        <v>80</v>
      </c>
      <c r="G7" s="89" t="s">
        <v>351</v>
      </c>
      <c r="H7" s="89" t="s">
        <v>80</v>
      </c>
      <c r="I7" s="89" t="s">
        <v>333</v>
      </c>
      <c r="J7" s="89" t="s">
        <v>264</v>
      </c>
      <c r="K7" s="89" t="s">
        <v>206</v>
      </c>
      <c r="L7" s="89" t="s">
        <v>206</v>
      </c>
      <c r="M7" s="89" t="s">
        <v>334</v>
      </c>
      <c r="N7" s="89" t="s">
        <v>334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</row>
    <row r="9" spans="1:17" x14ac:dyDescent="0.2">
      <c r="A9" s="89" t="s">
        <v>344</v>
      </c>
      <c r="B9" s="89" t="s">
        <v>331</v>
      </c>
      <c r="C9" s="89" t="s">
        <v>332</v>
      </c>
      <c r="D9" s="89" t="s">
        <v>170</v>
      </c>
      <c r="E9" s="89" t="s">
        <v>166</v>
      </c>
      <c r="F9" s="89" t="s">
        <v>169</v>
      </c>
      <c r="G9" s="89" t="s">
        <v>332</v>
      </c>
      <c r="H9" s="89" t="s">
        <v>169</v>
      </c>
      <c r="I9" s="89" t="s">
        <v>333</v>
      </c>
      <c r="J9" s="89" t="s">
        <v>264</v>
      </c>
      <c r="K9" s="89" t="s">
        <v>264</v>
      </c>
      <c r="L9" s="89" t="s">
        <v>266</v>
      </c>
      <c r="M9" s="89" t="s">
        <v>334</v>
      </c>
      <c r="N9" s="89" t="s">
        <v>476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 t="s">
        <v>331</v>
      </c>
      <c r="C10" s="89" t="s">
        <v>332</v>
      </c>
      <c r="D10" s="89" t="s">
        <v>170</v>
      </c>
      <c r="E10" s="89" t="s">
        <v>93</v>
      </c>
      <c r="F10" s="89" t="s">
        <v>170</v>
      </c>
      <c r="G10" s="89" t="s">
        <v>332</v>
      </c>
      <c r="H10" s="89" t="s">
        <v>170</v>
      </c>
      <c r="I10" s="89" t="s">
        <v>333</v>
      </c>
      <c r="J10" s="89" t="s">
        <v>264</v>
      </c>
      <c r="K10" s="89" t="s">
        <v>264</v>
      </c>
      <c r="L10" s="89" t="s">
        <v>264</v>
      </c>
      <c r="M10" s="89" t="s">
        <v>334</v>
      </c>
      <c r="N10" s="89" t="s">
        <v>334</v>
      </c>
      <c r="O10" s="89" t="s">
        <v>334</v>
      </c>
      <c r="P10" s="89" t="s">
        <v>334</v>
      </c>
      <c r="Q10" s="89"/>
    </row>
    <row r="11" spans="1:17" x14ac:dyDescent="0.2">
      <c r="A11" s="89" t="s">
        <v>347</v>
      </c>
      <c r="B11" s="89" t="s">
        <v>331</v>
      </c>
      <c r="C11" s="89" t="s">
        <v>19</v>
      </c>
      <c r="D11" s="89" t="s">
        <v>184</v>
      </c>
      <c r="E11" s="89" t="s">
        <v>111</v>
      </c>
      <c r="F11" s="89" t="s">
        <v>171</v>
      </c>
      <c r="G11" s="89" t="s">
        <v>19</v>
      </c>
      <c r="H11" s="89" t="s">
        <v>171</v>
      </c>
      <c r="I11" s="89" t="s">
        <v>337</v>
      </c>
      <c r="J11" s="89" t="s">
        <v>445</v>
      </c>
      <c r="K11" s="89" t="s">
        <v>445</v>
      </c>
      <c r="L11" s="89" t="s">
        <v>618</v>
      </c>
      <c r="M11" s="89" t="s">
        <v>526</v>
      </c>
      <c r="N11" s="89" t="s">
        <v>334</v>
      </c>
      <c r="O11" s="89" t="s">
        <v>334</v>
      </c>
      <c r="P11" s="89" t="s">
        <v>334</v>
      </c>
      <c r="Q11" s="89"/>
    </row>
    <row r="12" spans="1:17" x14ac:dyDescent="0.2">
      <c r="A12" s="89" t="s">
        <v>348</v>
      </c>
      <c r="B12" s="89" t="s">
        <v>331</v>
      </c>
      <c r="C12" s="89" t="s">
        <v>332</v>
      </c>
      <c r="D12" s="89" t="s">
        <v>53</v>
      </c>
      <c r="E12" s="89" t="s">
        <v>166</v>
      </c>
      <c r="F12" s="89" t="s">
        <v>53</v>
      </c>
      <c r="G12" s="89" t="s">
        <v>332</v>
      </c>
      <c r="H12" s="89" t="s">
        <v>53</v>
      </c>
      <c r="I12" s="89" t="s">
        <v>337</v>
      </c>
      <c r="J12" s="89" t="s">
        <v>338</v>
      </c>
      <c r="K12" s="89" t="s">
        <v>338</v>
      </c>
      <c r="L12" s="89" t="s">
        <v>338</v>
      </c>
      <c r="M12" s="89" t="s">
        <v>334</v>
      </c>
      <c r="N12" s="89" t="s">
        <v>334</v>
      </c>
      <c r="O12" s="89" t="s">
        <v>334</v>
      </c>
      <c r="P12" s="89" t="s">
        <v>334</v>
      </c>
      <c r="Q12" s="89"/>
    </row>
    <row r="13" spans="1:17" x14ac:dyDescent="0.2">
      <c r="A13" s="89" t="s">
        <v>349</v>
      </c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</row>
    <row r="14" spans="1:17" x14ac:dyDescent="0.2">
      <c r="A14" s="89" t="s">
        <v>350</v>
      </c>
      <c r="B14" s="89" t="s">
        <v>331</v>
      </c>
      <c r="C14" s="89" t="s">
        <v>332</v>
      </c>
      <c r="D14" s="89" t="s">
        <v>170</v>
      </c>
      <c r="E14" s="89" t="s">
        <v>93</v>
      </c>
      <c r="F14" s="89" t="s">
        <v>144</v>
      </c>
      <c r="G14" s="89" t="s">
        <v>332</v>
      </c>
      <c r="H14" s="89" t="s">
        <v>144</v>
      </c>
      <c r="I14" s="89" t="s">
        <v>333</v>
      </c>
      <c r="J14" s="89" t="s">
        <v>264</v>
      </c>
      <c r="K14" s="89" t="s">
        <v>264</v>
      </c>
      <c r="L14" s="89" t="s">
        <v>255</v>
      </c>
      <c r="M14" s="89" t="s">
        <v>334</v>
      </c>
      <c r="N14" s="89" t="s">
        <v>364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351</v>
      </c>
      <c r="D15" s="89" t="s">
        <v>35</v>
      </c>
      <c r="E15" s="89" t="s">
        <v>64</v>
      </c>
      <c r="F15" s="89" t="s">
        <v>78</v>
      </c>
      <c r="G15" s="89" t="s">
        <v>351</v>
      </c>
      <c r="H15" s="89" t="s">
        <v>78</v>
      </c>
      <c r="I15" s="89" t="s">
        <v>333</v>
      </c>
      <c r="J15" s="89" t="s">
        <v>264</v>
      </c>
      <c r="K15" s="89" t="s">
        <v>181</v>
      </c>
      <c r="L15" s="89" t="s">
        <v>181</v>
      </c>
      <c r="M15" s="89" t="s">
        <v>334</v>
      </c>
      <c r="N15" s="89" t="s">
        <v>334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 t="s">
        <v>331</v>
      </c>
      <c r="C16" s="89" t="s">
        <v>264</v>
      </c>
      <c r="D16" s="89" t="s">
        <v>132</v>
      </c>
      <c r="E16" s="89" t="s">
        <v>94</v>
      </c>
      <c r="F16" s="89" t="s">
        <v>172</v>
      </c>
      <c r="G16" s="89" t="s">
        <v>264</v>
      </c>
      <c r="H16" s="89" t="s">
        <v>132</v>
      </c>
      <c r="I16" s="89" t="s">
        <v>333</v>
      </c>
      <c r="J16" s="89" t="s">
        <v>264</v>
      </c>
      <c r="K16" s="89" t="s">
        <v>264</v>
      </c>
      <c r="L16" s="89" t="s">
        <v>264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 t="s">
        <v>331</v>
      </c>
      <c r="C17" s="89" t="s">
        <v>19</v>
      </c>
      <c r="D17" s="89" t="s">
        <v>230</v>
      </c>
      <c r="E17" s="89" t="s">
        <v>44</v>
      </c>
      <c r="F17" s="89" t="s">
        <v>173</v>
      </c>
      <c r="G17" s="89" t="s">
        <v>19</v>
      </c>
      <c r="H17" s="89" t="s">
        <v>230</v>
      </c>
      <c r="I17" s="89" t="s">
        <v>333</v>
      </c>
      <c r="J17" s="89" t="s">
        <v>264</v>
      </c>
      <c r="K17" s="89" t="s">
        <v>264</v>
      </c>
      <c r="L17" s="89" t="s">
        <v>264</v>
      </c>
      <c r="M17" s="89" t="s">
        <v>334</v>
      </c>
      <c r="N17" s="89" t="s">
        <v>334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 t="s">
        <v>331</v>
      </c>
      <c r="C19" s="89" t="s">
        <v>19</v>
      </c>
      <c r="D19" s="89" t="s">
        <v>198</v>
      </c>
      <c r="E19" s="89" t="s">
        <v>116</v>
      </c>
      <c r="F19" s="89" t="s">
        <v>174</v>
      </c>
      <c r="G19" s="89" t="s">
        <v>19</v>
      </c>
      <c r="H19" s="89" t="s">
        <v>198</v>
      </c>
      <c r="I19" s="89" t="s">
        <v>337</v>
      </c>
      <c r="J19" s="89" t="s">
        <v>338</v>
      </c>
      <c r="K19" s="89" t="s">
        <v>338</v>
      </c>
      <c r="L19" s="89" t="s">
        <v>338</v>
      </c>
      <c r="M19" s="89" t="s">
        <v>334</v>
      </c>
      <c r="N19" s="89" t="s">
        <v>334</v>
      </c>
      <c r="O19" s="89" t="s">
        <v>334</v>
      </c>
      <c r="P19" s="89" t="s">
        <v>334</v>
      </c>
      <c r="Q19" s="89"/>
    </row>
    <row r="20" spans="1:17" x14ac:dyDescent="0.2">
      <c r="A20" s="89" t="s">
        <v>359</v>
      </c>
      <c r="B20" s="89" t="s">
        <v>331</v>
      </c>
      <c r="C20" s="89" t="s">
        <v>264</v>
      </c>
      <c r="D20" s="89" t="s">
        <v>132</v>
      </c>
      <c r="E20" s="89" t="s">
        <v>88</v>
      </c>
      <c r="F20" s="89" t="s">
        <v>96</v>
      </c>
      <c r="G20" s="89" t="s">
        <v>264</v>
      </c>
      <c r="H20" s="89" t="s">
        <v>96</v>
      </c>
      <c r="I20" s="89" t="s">
        <v>333</v>
      </c>
      <c r="J20" s="89" t="s">
        <v>264</v>
      </c>
      <c r="K20" s="89" t="s">
        <v>264</v>
      </c>
      <c r="L20" s="89" t="s">
        <v>267</v>
      </c>
      <c r="M20" s="89" t="s">
        <v>334</v>
      </c>
      <c r="N20" s="89" t="s">
        <v>526</v>
      </c>
      <c r="O20" s="89" t="s">
        <v>334</v>
      </c>
      <c r="P20" s="89" t="s">
        <v>334</v>
      </c>
      <c r="Q20" s="89"/>
    </row>
    <row r="21" spans="1:17" x14ac:dyDescent="0.2">
      <c r="A21" s="89" t="s">
        <v>360</v>
      </c>
      <c r="B21" s="89"/>
      <c r="C21" s="89" t="s">
        <v>332</v>
      </c>
      <c r="D21" s="89" t="s">
        <v>170</v>
      </c>
      <c r="E21" s="89" t="s">
        <v>91</v>
      </c>
      <c r="F21" s="89" t="s">
        <v>175</v>
      </c>
      <c r="G21" s="89" t="s">
        <v>332</v>
      </c>
      <c r="H21" s="89" t="s">
        <v>175</v>
      </c>
      <c r="I21" s="89" t="s">
        <v>333</v>
      </c>
      <c r="J21" s="89" t="s">
        <v>264</v>
      </c>
      <c r="K21" s="89" t="s">
        <v>264</v>
      </c>
      <c r="L21" s="89" t="s">
        <v>250</v>
      </c>
      <c r="M21" s="89" t="s">
        <v>334</v>
      </c>
      <c r="N21" s="89" t="s">
        <v>357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 t="s">
        <v>331</v>
      </c>
      <c r="C22" s="89" t="s">
        <v>19</v>
      </c>
      <c r="D22" s="89" t="s">
        <v>230</v>
      </c>
      <c r="E22" s="89" t="s">
        <v>167</v>
      </c>
      <c r="F22" s="89" t="s">
        <v>173</v>
      </c>
      <c r="G22" s="89" t="s">
        <v>19</v>
      </c>
      <c r="H22" s="89" t="s">
        <v>230</v>
      </c>
      <c r="I22" s="89" t="s">
        <v>333</v>
      </c>
      <c r="J22" s="89" t="s">
        <v>264</v>
      </c>
      <c r="K22" s="89" t="s">
        <v>264</v>
      </c>
      <c r="L22" s="89" t="s">
        <v>264</v>
      </c>
      <c r="M22" s="89" t="s">
        <v>334</v>
      </c>
      <c r="N22" s="89" t="s">
        <v>334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 t="s">
        <v>331</v>
      </c>
      <c r="C23" s="89" t="s">
        <v>332</v>
      </c>
      <c r="D23" s="89" t="s">
        <v>170</v>
      </c>
      <c r="E23" s="89" t="s">
        <v>89</v>
      </c>
      <c r="F23" s="89" t="s">
        <v>170</v>
      </c>
      <c r="G23" s="89" t="s">
        <v>332</v>
      </c>
      <c r="H23" s="89" t="s">
        <v>170</v>
      </c>
      <c r="I23" s="89" t="s">
        <v>333</v>
      </c>
      <c r="J23" s="89" t="s">
        <v>264</v>
      </c>
      <c r="K23" s="89" t="s">
        <v>264</v>
      </c>
      <c r="L23" s="89" t="s">
        <v>264</v>
      </c>
      <c r="M23" s="89" t="s">
        <v>334</v>
      </c>
      <c r="N23" s="89" t="s">
        <v>334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332</v>
      </c>
      <c r="D27" s="89" t="s">
        <v>132</v>
      </c>
      <c r="E27" s="89" t="s">
        <v>6</v>
      </c>
      <c r="F27" s="89" t="s">
        <v>176</v>
      </c>
      <c r="G27" s="89" t="s">
        <v>332</v>
      </c>
      <c r="H27" s="89" t="s">
        <v>132</v>
      </c>
      <c r="I27" s="89" t="s">
        <v>333</v>
      </c>
      <c r="J27" s="89" t="s">
        <v>36</v>
      </c>
      <c r="K27" s="89" t="s">
        <v>264</v>
      </c>
      <c r="L27" s="89" t="s">
        <v>36</v>
      </c>
      <c r="M27" s="89" t="s">
        <v>334</v>
      </c>
      <c r="N27" s="89" t="s">
        <v>468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36</v>
      </c>
      <c r="D28" s="89" t="s">
        <v>269</v>
      </c>
      <c r="E28" s="89" t="s">
        <v>179</v>
      </c>
      <c r="F28" s="89" t="s">
        <v>173</v>
      </c>
      <c r="G28" s="89" t="s">
        <v>36</v>
      </c>
      <c r="H28" s="89" t="s">
        <v>173</v>
      </c>
      <c r="I28" s="89" t="s">
        <v>333</v>
      </c>
      <c r="J28" s="89" t="s">
        <v>272</v>
      </c>
      <c r="K28" s="89" t="s">
        <v>264</v>
      </c>
      <c r="L28" s="89" t="s">
        <v>140</v>
      </c>
      <c r="M28" s="89" t="s">
        <v>334</v>
      </c>
      <c r="N28" s="89" t="s">
        <v>619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 t="s">
        <v>331</v>
      </c>
      <c r="C29" s="89" t="s">
        <v>332</v>
      </c>
      <c r="D29" s="89" t="s">
        <v>170</v>
      </c>
      <c r="E29" s="89" t="s">
        <v>47</v>
      </c>
      <c r="F29" s="89" t="s">
        <v>124</v>
      </c>
      <c r="G29" s="89" t="s">
        <v>332</v>
      </c>
      <c r="H29" s="89" t="s">
        <v>124</v>
      </c>
      <c r="I29" s="89" t="s">
        <v>333</v>
      </c>
      <c r="J29" s="89" t="s">
        <v>264</v>
      </c>
      <c r="K29" s="89" t="s">
        <v>264</v>
      </c>
      <c r="L29" s="89" t="s">
        <v>466</v>
      </c>
      <c r="M29" s="89" t="s">
        <v>334</v>
      </c>
      <c r="N29" s="89" t="s">
        <v>465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 t="s">
        <v>331</v>
      </c>
      <c r="C30" s="89" t="s">
        <v>332</v>
      </c>
      <c r="D30" s="89" t="s">
        <v>58</v>
      </c>
      <c r="E30" s="89" t="s">
        <v>6</v>
      </c>
      <c r="F30" s="89" t="s">
        <v>34</v>
      </c>
      <c r="G30" s="89" t="s">
        <v>332</v>
      </c>
      <c r="H30" s="89" t="s">
        <v>34</v>
      </c>
      <c r="I30" s="89" t="s">
        <v>337</v>
      </c>
      <c r="J30" s="89" t="s">
        <v>485</v>
      </c>
      <c r="K30" s="89" t="s">
        <v>485</v>
      </c>
      <c r="L30" s="89" t="s">
        <v>371</v>
      </c>
      <c r="M30" s="89" t="s">
        <v>574</v>
      </c>
      <c r="N30" s="89" t="s">
        <v>334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 t="s">
        <v>331</v>
      </c>
      <c r="C31" s="89" t="s">
        <v>19</v>
      </c>
      <c r="D31" s="89" t="s">
        <v>230</v>
      </c>
      <c r="E31" s="89" t="s">
        <v>111</v>
      </c>
      <c r="F31" s="89" t="s">
        <v>177</v>
      </c>
      <c r="G31" s="89" t="s">
        <v>19</v>
      </c>
      <c r="H31" s="89" t="s">
        <v>177</v>
      </c>
      <c r="I31" s="89" t="s">
        <v>333</v>
      </c>
      <c r="J31" s="89" t="s">
        <v>264</v>
      </c>
      <c r="K31" s="89" t="s">
        <v>264</v>
      </c>
      <c r="L31" s="89" t="s">
        <v>249</v>
      </c>
      <c r="M31" s="89" t="s">
        <v>334</v>
      </c>
      <c r="N31" s="89" t="s">
        <v>559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</row>
    <row r="33" spans="1:17" x14ac:dyDescent="0.2">
      <c r="A33" s="89" t="s">
        <v>382</v>
      </c>
      <c r="B33" s="89" t="s">
        <v>331</v>
      </c>
      <c r="C33" s="89" t="s">
        <v>225</v>
      </c>
      <c r="D33" s="89" t="s">
        <v>494</v>
      </c>
      <c r="E33" s="89" t="s">
        <v>168</v>
      </c>
      <c r="F33" s="89" t="s">
        <v>178</v>
      </c>
      <c r="G33" s="89" t="s">
        <v>225</v>
      </c>
      <c r="H33" s="89" t="s">
        <v>494</v>
      </c>
      <c r="I33" s="89" t="s">
        <v>337</v>
      </c>
      <c r="J33" s="89" t="s">
        <v>485</v>
      </c>
      <c r="K33" s="89" t="s">
        <v>485</v>
      </c>
      <c r="L33" s="89" t="s">
        <v>530</v>
      </c>
      <c r="M33" s="89" t="s">
        <v>468</v>
      </c>
      <c r="N33" s="89" t="s">
        <v>334</v>
      </c>
      <c r="O33" s="89" t="s">
        <v>334</v>
      </c>
      <c r="P33" s="89" t="s">
        <v>334</v>
      </c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63</v>
      </c>
      <c r="D35" s="89" t="s">
        <v>230</v>
      </c>
      <c r="E35" s="89" t="s">
        <v>135</v>
      </c>
      <c r="F35" s="89" t="s">
        <v>38</v>
      </c>
      <c r="G35" s="89" t="s">
        <v>135</v>
      </c>
      <c r="H35" s="89" t="s">
        <v>230</v>
      </c>
      <c r="I35" s="89" t="s">
        <v>333</v>
      </c>
      <c r="J35" s="89" t="s">
        <v>445</v>
      </c>
      <c r="K35" s="89" t="s">
        <v>445</v>
      </c>
      <c r="L35" s="89" t="s">
        <v>267</v>
      </c>
      <c r="M35" s="89" t="s">
        <v>620</v>
      </c>
      <c r="N35" s="89" t="s">
        <v>526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400</v>
      </c>
      <c r="B40" s="89" t="s">
        <v>400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621</v>
      </c>
      <c r="B45" s="89" t="s">
        <v>622</v>
      </c>
      <c r="C45" s="89" t="s">
        <v>623</v>
      </c>
      <c r="D45" s="89" t="s">
        <v>624</v>
      </c>
      <c r="E45" s="89"/>
      <c r="F45" s="89" t="s">
        <v>421</v>
      </c>
      <c r="G45" s="89" t="s">
        <v>334</v>
      </c>
      <c r="H45" s="89" t="s">
        <v>421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623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Q45"/>
  <sheetViews>
    <sheetView workbookViewId="0"/>
  </sheetViews>
  <sheetFormatPr defaultRowHeight="13.2" x14ac:dyDescent="0.2"/>
  <cols>
    <col min="1" max="17" width="12" customWidth="1"/>
  </cols>
  <sheetData>
    <row r="1" spans="1:17" x14ac:dyDescent="0.2">
      <c r="A1" s="89"/>
      <c r="B1" s="89"/>
      <c r="C1" s="89"/>
      <c r="D1" s="89"/>
      <c r="E1" s="89"/>
      <c r="F1" s="89"/>
      <c r="G1" s="89"/>
      <c r="H1" s="89"/>
      <c r="I1" s="89"/>
      <c r="J1" s="89"/>
      <c r="K1" s="89" t="s">
        <v>0</v>
      </c>
      <c r="L1" s="89"/>
      <c r="M1" s="89" t="s">
        <v>297</v>
      </c>
      <c r="N1" s="89"/>
      <c r="O1" s="89"/>
      <c r="P1" s="89"/>
      <c r="Q1" s="89"/>
    </row>
    <row r="2" spans="1:17" x14ac:dyDescent="0.2">
      <c r="A2" s="89"/>
      <c r="B2" s="89" t="s">
        <v>625</v>
      </c>
      <c r="C2" s="89" t="s">
        <v>568</v>
      </c>
      <c r="D2" s="89"/>
      <c r="E2" s="89" t="s">
        <v>626</v>
      </c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 t="s">
        <v>309</v>
      </c>
    </row>
    <row r="3" spans="1:17" x14ac:dyDescent="0.2">
      <c r="A3" s="89"/>
      <c r="B3" s="89" t="s">
        <v>1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 t="s">
        <v>627</v>
      </c>
    </row>
    <row r="4" spans="1:17" x14ac:dyDescent="0.2">
      <c r="A4" s="89" t="s">
        <v>311</v>
      </c>
      <c r="B4" s="89" t="s">
        <v>312</v>
      </c>
      <c r="C4" s="89" t="s">
        <v>313</v>
      </c>
      <c r="D4" s="89" t="s">
        <v>314</v>
      </c>
      <c r="E4" s="89" t="s">
        <v>315</v>
      </c>
      <c r="F4" s="89" t="s">
        <v>316</v>
      </c>
      <c r="G4" s="89" t="s">
        <v>317</v>
      </c>
      <c r="H4" s="89" t="s">
        <v>318</v>
      </c>
      <c r="I4" s="89" t="s">
        <v>319</v>
      </c>
      <c r="J4" s="89" t="s">
        <v>320</v>
      </c>
      <c r="K4" s="89" t="s">
        <v>321</v>
      </c>
      <c r="L4" s="89" t="s">
        <v>322</v>
      </c>
      <c r="M4" s="89" t="s">
        <v>323</v>
      </c>
      <c r="N4" s="89" t="s">
        <v>418</v>
      </c>
      <c r="O4" s="89" t="s">
        <v>325</v>
      </c>
      <c r="P4" s="89" t="s">
        <v>326</v>
      </c>
      <c r="Q4" s="89" t="s">
        <v>286</v>
      </c>
    </row>
    <row r="5" spans="1:17" x14ac:dyDescent="0.2">
      <c r="A5" s="89"/>
      <c r="B5" s="89" t="s">
        <v>327</v>
      </c>
      <c r="C5" s="89"/>
      <c r="D5" s="89"/>
      <c r="E5" s="89" t="s">
        <v>328</v>
      </c>
      <c r="F5" s="89" t="s">
        <v>328</v>
      </c>
      <c r="G5" s="89"/>
      <c r="H5" s="89"/>
      <c r="I5" s="89" t="s">
        <v>329</v>
      </c>
      <c r="J5" s="89"/>
      <c r="K5" s="89" t="s">
        <v>329</v>
      </c>
      <c r="L5" s="89" t="s">
        <v>329</v>
      </c>
      <c r="M5" s="89"/>
      <c r="N5" s="89" t="s">
        <v>329</v>
      </c>
      <c r="O5" s="89"/>
      <c r="P5" s="89"/>
      <c r="Q5" s="89"/>
    </row>
    <row r="6" spans="1:17" x14ac:dyDescent="0.2">
      <c r="A6" s="89" t="s">
        <v>330</v>
      </c>
      <c r="B6" s="89" t="s">
        <v>331</v>
      </c>
      <c r="C6" s="89" t="s">
        <v>264</v>
      </c>
      <c r="D6" s="89" t="s">
        <v>132</v>
      </c>
      <c r="E6" s="89" t="s">
        <v>139</v>
      </c>
      <c r="F6" s="89" t="s">
        <v>149</v>
      </c>
      <c r="G6" s="89" t="s">
        <v>264</v>
      </c>
      <c r="H6" s="89" t="s">
        <v>149</v>
      </c>
      <c r="I6" s="89" t="s">
        <v>333</v>
      </c>
      <c r="J6" s="89" t="s">
        <v>264</v>
      </c>
      <c r="K6" s="89" t="s">
        <v>264</v>
      </c>
      <c r="L6" s="89" t="s">
        <v>134</v>
      </c>
      <c r="M6" s="89" t="s">
        <v>334</v>
      </c>
      <c r="N6" s="89" t="s">
        <v>628</v>
      </c>
      <c r="O6" s="89" t="s">
        <v>334</v>
      </c>
      <c r="P6" s="89" t="s">
        <v>334</v>
      </c>
      <c r="Q6" s="89"/>
    </row>
    <row r="7" spans="1:17" x14ac:dyDescent="0.2">
      <c r="A7" s="89" t="s">
        <v>336</v>
      </c>
      <c r="B7" s="89" t="s">
        <v>331</v>
      </c>
      <c r="C7" s="89" t="s">
        <v>264</v>
      </c>
      <c r="D7" s="89" t="s">
        <v>132</v>
      </c>
      <c r="E7" s="89" t="s">
        <v>210</v>
      </c>
      <c r="F7" s="89" t="s">
        <v>235</v>
      </c>
      <c r="G7" s="89" t="s">
        <v>264</v>
      </c>
      <c r="H7" s="89" t="s">
        <v>235</v>
      </c>
      <c r="I7" s="89" t="s">
        <v>333</v>
      </c>
      <c r="J7" s="89" t="s">
        <v>264</v>
      </c>
      <c r="K7" s="89" t="s">
        <v>264</v>
      </c>
      <c r="L7" s="89" t="s">
        <v>111</v>
      </c>
      <c r="M7" s="89" t="s">
        <v>334</v>
      </c>
      <c r="N7" s="89" t="s">
        <v>352</v>
      </c>
      <c r="O7" s="89" t="s">
        <v>334</v>
      </c>
      <c r="P7" s="89" t="s">
        <v>334</v>
      </c>
      <c r="Q7" s="89"/>
    </row>
    <row r="8" spans="1:17" x14ac:dyDescent="0.2">
      <c r="A8" s="89" t="s">
        <v>341</v>
      </c>
      <c r="B8" s="89" t="s">
        <v>331</v>
      </c>
      <c r="C8" s="89" t="s">
        <v>264</v>
      </c>
      <c r="D8" s="89" t="s">
        <v>132</v>
      </c>
      <c r="E8" s="89" t="s">
        <v>210</v>
      </c>
      <c r="F8" s="89" t="s">
        <v>236</v>
      </c>
      <c r="G8" s="89" t="s">
        <v>264</v>
      </c>
      <c r="H8" s="89" t="s">
        <v>236</v>
      </c>
      <c r="I8" s="89" t="s">
        <v>333</v>
      </c>
      <c r="J8" s="89" t="s">
        <v>264</v>
      </c>
      <c r="K8" s="89" t="s">
        <v>264</v>
      </c>
      <c r="L8" s="89" t="s">
        <v>265</v>
      </c>
      <c r="M8" s="89" t="s">
        <v>334</v>
      </c>
      <c r="N8" s="89" t="s">
        <v>450</v>
      </c>
      <c r="O8" s="89" t="s">
        <v>334</v>
      </c>
      <c r="P8" s="89" t="s">
        <v>334</v>
      </c>
      <c r="Q8" s="89"/>
    </row>
    <row r="9" spans="1:17" x14ac:dyDescent="0.2">
      <c r="A9" s="89" t="s">
        <v>344</v>
      </c>
      <c r="B9" s="89" t="s">
        <v>331</v>
      </c>
      <c r="C9" s="89" t="s">
        <v>264</v>
      </c>
      <c r="D9" s="89" t="s">
        <v>132</v>
      </c>
      <c r="E9" s="89" t="s">
        <v>210</v>
      </c>
      <c r="F9" s="89" t="s">
        <v>236</v>
      </c>
      <c r="G9" s="89" t="s">
        <v>264</v>
      </c>
      <c r="H9" s="89" t="s">
        <v>236</v>
      </c>
      <c r="I9" s="89" t="s">
        <v>333</v>
      </c>
      <c r="J9" s="89" t="s">
        <v>264</v>
      </c>
      <c r="K9" s="89" t="s">
        <v>264</v>
      </c>
      <c r="L9" s="89" t="s">
        <v>265</v>
      </c>
      <c r="M9" s="89" t="s">
        <v>334</v>
      </c>
      <c r="N9" s="89" t="s">
        <v>450</v>
      </c>
      <c r="O9" s="89" t="s">
        <v>334</v>
      </c>
      <c r="P9" s="89" t="s">
        <v>334</v>
      </c>
      <c r="Q9" s="89"/>
    </row>
    <row r="10" spans="1:17" x14ac:dyDescent="0.2">
      <c r="A10" s="89" t="s">
        <v>345</v>
      </c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</row>
    <row r="11" spans="1:17" x14ac:dyDescent="0.2">
      <c r="A11" s="89" t="s">
        <v>347</v>
      </c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</row>
    <row r="12" spans="1:17" x14ac:dyDescent="0.2">
      <c r="A12" s="89" t="s">
        <v>348</v>
      </c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</row>
    <row r="13" spans="1:17" x14ac:dyDescent="0.2">
      <c r="A13" s="89" t="s">
        <v>349</v>
      </c>
      <c r="B13" s="89" t="s">
        <v>331</v>
      </c>
      <c r="C13" s="89" t="s">
        <v>264</v>
      </c>
      <c r="D13" s="89" t="s">
        <v>132</v>
      </c>
      <c r="E13" s="89" t="s">
        <v>139</v>
      </c>
      <c r="F13" s="89" t="s">
        <v>130</v>
      </c>
      <c r="G13" s="89" t="s">
        <v>264</v>
      </c>
      <c r="H13" s="89" t="s">
        <v>130</v>
      </c>
      <c r="I13" s="89" t="s">
        <v>333</v>
      </c>
      <c r="J13" s="89" t="s">
        <v>264</v>
      </c>
      <c r="K13" s="89" t="s">
        <v>264</v>
      </c>
      <c r="L13" s="89" t="s">
        <v>272</v>
      </c>
      <c r="M13" s="89" t="s">
        <v>334</v>
      </c>
      <c r="N13" s="89" t="s">
        <v>446</v>
      </c>
      <c r="O13" s="89" t="s">
        <v>334</v>
      </c>
      <c r="P13" s="89" t="s">
        <v>334</v>
      </c>
      <c r="Q13" s="89"/>
    </row>
    <row r="14" spans="1:17" x14ac:dyDescent="0.2">
      <c r="A14" s="89" t="s">
        <v>350</v>
      </c>
      <c r="B14" s="89" t="s">
        <v>331</v>
      </c>
      <c r="C14" s="89" t="s">
        <v>264</v>
      </c>
      <c r="D14" s="89" t="s">
        <v>132</v>
      </c>
      <c r="E14" s="89" t="s">
        <v>203</v>
      </c>
      <c r="F14" s="89" t="s">
        <v>237</v>
      </c>
      <c r="G14" s="89" t="s">
        <v>264</v>
      </c>
      <c r="H14" s="89" t="s">
        <v>237</v>
      </c>
      <c r="I14" s="89" t="s">
        <v>333</v>
      </c>
      <c r="J14" s="89" t="s">
        <v>264</v>
      </c>
      <c r="K14" s="89" t="s">
        <v>264</v>
      </c>
      <c r="L14" s="89" t="s">
        <v>271</v>
      </c>
      <c r="M14" s="89" t="s">
        <v>334</v>
      </c>
      <c r="N14" s="89" t="s">
        <v>377</v>
      </c>
      <c r="O14" s="89" t="s">
        <v>334</v>
      </c>
      <c r="P14" s="89" t="s">
        <v>334</v>
      </c>
      <c r="Q14" s="89"/>
    </row>
    <row r="15" spans="1:17" x14ac:dyDescent="0.2">
      <c r="A15" s="89" t="s">
        <v>353</v>
      </c>
      <c r="B15" s="89" t="s">
        <v>331</v>
      </c>
      <c r="C15" s="89" t="s">
        <v>264</v>
      </c>
      <c r="D15" s="89" t="s">
        <v>132</v>
      </c>
      <c r="E15" s="89" t="s">
        <v>210</v>
      </c>
      <c r="F15" s="89" t="s">
        <v>238</v>
      </c>
      <c r="G15" s="89" t="s">
        <v>264</v>
      </c>
      <c r="H15" s="89" t="s">
        <v>238</v>
      </c>
      <c r="I15" s="89" t="s">
        <v>333</v>
      </c>
      <c r="J15" s="89" t="s">
        <v>264</v>
      </c>
      <c r="K15" s="89" t="s">
        <v>264</v>
      </c>
      <c r="L15" s="89" t="s">
        <v>9</v>
      </c>
      <c r="M15" s="89" t="s">
        <v>334</v>
      </c>
      <c r="N15" s="89" t="s">
        <v>388</v>
      </c>
      <c r="O15" s="89" t="s">
        <v>334</v>
      </c>
      <c r="P15" s="89" t="s">
        <v>334</v>
      </c>
      <c r="Q15" s="89"/>
    </row>
    <row r="16" spans="1:17" x14ac:dyDescent="0.2">
      <c r="A16" s="89" t="s">
        <v>354</v>
      </c>
      <c r="B16" s="89" t="s">
        <v>331</v>
      </c>
      <c r="C16" s="89" t="s">
        <v>264</v>
      </c>
      <c r="D16" s="89" t="s">
        <v>132</v>
      </c>
      <c r="E16" s="89" t="s">
        <v>203</v>
      </c>
      <c r="F16" s="89" t="s">
        <v>172</v>
      </c>
      <c r="G16" s="89" t="s">
        <v>264</v>
      </c>
      <c r="H16" s="89" t="s">
        <v>132</v>
      </c>
      <c r="I16" s="89" t="s">
        <v>333</v>
      </c>
      <c r="J16" s="89" t="s">
        <v>264</v>
      </c>
      <c r="K16" s="89" t="s">
        <v>264</v>
      </c>
      <c r="L16" s="89" t="s">
        <v>264</v>
      </c>
      <c r="M16" s="89" t="s">
        <v>334</v>
      </c>
      <c r="N16" s="89" t="s">
        <v>334</v>
      </c>
      <c r="O16" s="89" t="s">
        <v>334</v>
      </c>
      <c r="P16" s="89" t="s">
        <v>334</v>
      </c>
      <c r="Q16" s="89"/>
    </row>
    <row r="17" spans="1:17" x14ac:dyDescent="0.2">
      <c r="A17" s="89" t="s">
        <v>355</v>
      </c>
      <c r="B17" s="89" t="s">
        <v>331</v>
      </c>
      <c r="C17" s="89" t="s">
        <v>264</v>
      </c>
      <c r="D17" s="89" t="s">
        <v>132</v>
      </c>
      <c r="E17" s="89" t="s">
        <v>210</v>
      </c>
      <c r="F17" s="89" t="s">
        <v>175</v>
      </c>
      <c r="G17" s="89" t="s">
        <v>264</v>
      </c>
      <c r="H17" s="89" t="s">
        <v>175</v>
      </c>
      <c r="I17" s="89" t="s">
        <v>333</v>
      </c>
      <c r="J17" s="89" t="s">
        <v>264</v>
      </c>
      <c r="K17" s="89" t="s">
        <v>264</v>
      </c>
      <c r="L17" s="89" t="s">
        <v>260</v>
      </c>
      <c r="M17" s="89" t="s">
        <v>334</v>
      </c>
      <c r="N17" s="89" t="s">
        <v>433</v>
      </c>
      <c r="O17" s="89" t="s">
        <v>334</v>
      </c>
      <c r="P17" s="89" t="s">
        <v>334</v>
      </c>
      <c r="Q17" s="89"/>
    </row>
    <row r="18" spans="1:17" x14ac:dyDescent="0.2">
      <c r="A18" s="89" t="s">
        <v>356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</row>
    <row r="19" spans="1:17" x14ac:dyDescent="0.2">
      <c r="A19" s="89" t="s">
        <v>358</v>
      </c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  <c r="P19" s="89"/>
      <c r="Q19" s="89"/>
    </row>
    <row r="20" spans="1:17" x14ac:dyDescent="0.2">
      <c r="A20" s="89" t="s">
        <v>359</v>
      </c>
      <c r="B20" s="89" t="s">
        <v>331</v>
      </c>
      <c r="C20" s="89" t="s">
        <v>264</v>
      </c>
      <c r="D20" s="89" t="s">
        <v>132</v>
      </c>
      <c r="E20" s="89" t="s">
        <v>210</v>
      </c>
      <c r="F20" s="89" t="s">
        <v>176</v>
      </c>
      <c r="G20" s="89" t="s">
        <v>264</v>
      </c>
      <c r="H20" s="89" t="s">
        <v>132</v>
      </c>
      <c r="I20" s="89" t="s">
        <v>333</v>
      </c>
      <c r="J20" s="89" t="s">
        <v>264</v>
      </c>
      <c r="K20" s="89" t="s">
        <v>264</v>
      </c>
      <c r="L20" s="89" t="s">
        <v>264</v>
      </c>
      <c r="M20" s="89" t="s">
        <v>334</v>
      </c>
      <c r="N20" s="89" t="s">
        <v>334</v>
      </c>
      <c r="O20" s="89" t="s">
        <v>334</v>
      </c>
      <c r="P20" s="89" t="s">
        <v>334</v>
      </c>
      <c r="Q20" s="89"/>
    </row>
    <row r="21" spans="1:17" x14ac:dyDescent="0.2">
      <c r="A21" s="89" t="s">
        <v>360</v>
      </c>
      <c r="B21" s="89"/>
      <c r="C21" s="89" t="s">
        <v>264</v>
      </c>
      <c r="D21" s="89" t="s">
        <v>132</v>
      </c>
      <c r="E21" s="89" t="s">
        <v>49</v>
      </c>
      <c r="F21" s="89" t="s">
        <v>132</v>
      </c>
      <c r="G21" s="89" t="s">
        <v>264</v>
      </c>
      <c r="H21" s="89" t="s">
        <v>132</v>
      </c>
      <c r="I21" s="89" t="s">
        <v>333</v>
      </c>
      <c r="J21" s="89" t="s">
        <v>264</v>
      </c>
      <c r="K21" s="89" t="s">
        <v>264</v>
      </c>
      <c r="L21" s="89" t="s">
        <v>264</v>
      </c>
      <c r="M21" s="89" t="s">
        <v>334</v>
      </c>
      <c r="N21" s="89" t="s">
        <v>334</v>
      </c>
      <c r="O21" s="89" t="s">
        <v>334</v>
      </c>
      <c r="P21" s="89" t="s">
        <v>334</v>
      </c>
      <c r="Q21" s="89"/>
    </row>
    <row r="22" spans="1:17" x14ac:dyDescent="0.2">
      <c r="A22" s="89" t="s">
        <v>362</v>
      </c>
      <c r="B22" s="89" t="s">
        <v>331</v>
      </c>
      <c r="C22" s="89" t="s">
        <v>264</v>
      </c>
      <c r="D22" s="89" t="s">
        <v>132</v>
      </c>
      <c r="E22" s="89" t="s">
        <v>210</v>
      </c>
      <c r="F22" s="89" t="s">
        <v>239</v>
      </c>
      <c r="G22" s="89" t="s">
        <v>264</v>
      </c>
      <c r="H22" s="89" t="s">
        <v>239</v>
      </c>
      <c r="I22" s="89" t="s">
        <v>333</v>
      </c>
      <c r="J22" s="89" t="s">
        <v>264</v>
      </c>
      <c r="K22" s="89" t="s">
        <v>264</v>
      </c>
      <c r="L22" s="89" t="s">
        <v>120</v>
      </c>
      <c r="M22" s="89" t="s">
        <v>334</v>
      </c>
      <c r="N22" s="89" t="s">
        <v>629</v>
      </c>
      <c r="O22" s="89" t="s">
        <v>334</v>
      </c>
      <c r="P22" s="89" t="s">
        <v>334</v>
      </c>
      <c r="Q22" s="89"/>
    </row>
    <row r="23" spans="1:17" x14ac:dyDescent="0.2">
      <c r="A23" s="89" t="s">
        <v>365</v>
      </c>
      <c r="B23" s="89" t="s">
        <v>331</v>
      </c>
      <c r="C23" s="89" t="s">
        <v>264</v>
      </c>
      <c r="D23" s="89" t="s">
        <v>132</v>
      </c>
      <c r="E23" s="89" t="s">
        <v>139</v>
      </c>
      <c r="F23" s="89" t="s">
        <v>176</v>
      </c>
      <c r="G23" s="89" t="s">
        <v>264</v>
      </c>
      <c r="H23" s="89" t="s">
        <v>132</v>
      </c>
      <c r="I23" s="89" t="s">
        <v>333</v>
      </c>
      <c r="J23" s="89" t="s">
        <v>264</v>
      </c>
      <c r="K23" s="89" t="s">
        <v>264</v>
      </c>
      <c r="L23" s="89" t="s">
        <v>264</v>
      </c>
      <c r="M23" s="89" t="s">
        <v>334</v>
      </c>
      <c r="N23" s="89" t="s">
        <v>334</v>
      </c>
      <c r="O23" s="89" t="s">
        <v>334</v>
      </c>
      <c r="P23" s="89" t="s">
        <v>334</v>
      </c>
      <c r="Q23" s="89"/>
    </row>
    <row r="24" spans="1:17" x14ac:dyDescent="0.2">
      <c r="A24" s="89" t="s">
        <v>368</v>
      </c>
      <c r="B24" s="89" t="s">
        <v>331</v>
      </c>
      <c r="C24" s="89" t="s">
        <v>264</v>
      </c>
      <c r="D24" s="89" t="s">
        <v>132</v>
      </c>
      <c r="E24" s="89" t="s">
        <v>210</v>
      </c>
      <c r="F24" s="89" t="s">
        <v>240</v>
      </c>
      <c r="G24" s="89" t="s">
        <v>264</v>
      </c>
      <c r="H24" s="89" t="s">
        <v>240</v>
      </c>
      <c r="I24" s="89" t="s">
        <v>333</v>
      </c>
      <c r="J24" s="89" t="s">
        <v>264</v>
      </c>
      <c r="K24" s="89" t="s">
        <v>264</v>
      </c>
      <c r="L24" s="89" t="s">
        <v>268</v>
      </c>
      <c r="M24" s="89" t="s">
        <v>334</v>
      </c>
      <c r="N24" s="89" t="s">
        <v>469</v>
      </c>
      <c r="O24" s="89" t="s">
        <v>334</v>
      </c>
      <c r="P24" s="89" t="s">
        <v>334</v>
      </c>
      <c r="Q24" s="89"/>
    </row>
    <row r="25" spans="1:17" x14ac:dyDescent="0.2">
      <c r="A25" s="89" t="s">
        <v>370</v>
      </c>
      <c r="B25" s="89"/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89"/>
    </row>
    <row r="26" spans="1:17" x14ac:dyDescent="0.2">
      <c r="A26" s="89" t="s">
        <v>373</v>
      </c>
      <c r="B26" s="89"/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</row>
    <row r="27" spans="1:17" x14ac:dyDescent="0.2">
      <c r="A27" s="89" t="s">
        <v>374</v>
      </c>
      <c r="B27" s="89" t="s">
        <v>331</v>
      </c>
      <c r="C27" s="89" t="s">
        <v>264</v>
      </c>
      <c r="D27" s="89" t="s">
        <v>132</v>
      </c>
      <c r="E27" s="89" t="s">
        <v>139</v>
      </c>
      <c r="F27" s="89" t="s">
        <v>176</v>
      </c>
      <c r="G27" s="89" t="s">
        <v>264</v>
      </c>
      <c r="H27" s="89" t="s">
        <v>132</v>
      </c>
      <c r="I27" s="89" t="s">
        <v>333</v>
      </c>
      <c r="J27" s="89" t="s">
        <v>264</v>
      </c>
      <c r="K27" s="89" t="s">
        <v>264</v>
      </c>
      <c r="L27" s="89" t="s">
        <v>264</v>
      </c>
      <c r="M27" s="89" t="s">
        <v>334</v>
      </c>
      <c r="N27" s="89" t="s">
        <v>334</v>
      </c>
      <c r="O27" s="89" t="s">
        <v>334</v>
      </c>
      <c r="P27" s="89" t="s">
        <v>334</v>
      </c>
      <c r="Q27" s="89"/>
    </row>
    <row r="28" spans="1:17" x14ac:dyDescent="0.2">
      <c r="A28" s="89" t="s">
        <v>375</v>
      </c>
      <c r="B28" s="89" t="s">
        <v>331</v>
      </c>
      <c r="C28" s="89" t="s">
        <v>264</v>
      </c>
      <c r="D28" s="89" t="s">
        <v>132</v>
      </c>
      <c r="E28" s="89" t="s">
        <v>233</v>
      </c>
      <c r="F28" s="89" t="s">
        <v>241</v>
      </c>
      <c r="G28" s="89" t="s">
        <v>264</v>
      </c>
      <c r="H28" s="89" t="s">
        <v>241</v>
      </c>
      <c r="I28" s="89" t="s">
        <v>333</v>
      </c>
      <c r="J28" s="89" t="s">
        <v>264</v>
      </c>
      <c r="K28" s="89" t="s">
        <v>264</v>
      </c>
      <c r="L28" s="89" t="s">
        <v>140</v>
      </c>
      <c r="M28" s="89" t="s">
        <v>334</v>
      </c>
      <c r="N28" s="89" t="s">
        <v>619</v>
      </c>
      <c r="O28" s="89" t="s">
        <v>334</v>
      </c>
      <c r="P28" s="89" t="s">
        <v>334</v>
      </c>
      <c r="Q28" s="89"/>
    </row>
    <row r="29" spans="1:17" x14ac:dyDescent="0.2">
      <c r="A29" s="89" t="s">
        <v>378</v>
      </c>
      <c r="B29" s="89" t="s">
        <v>331</v>
      </c>
      <c r="C29" s="89" t="s">
        <v>264</v>
      </c>
      <c r="D29" s="89" t="s">
        <v>132</v>
      </c>
      <c r="E29" s="89" t="s">
        <v>139</v>
      </c>
      <c r="F29" s="89" t="s">
        <v>241</v>
      </c>
      <c r="G29" s="89" t="s">
        <v>264</v>
      </c>
      <c r="H29" s="89" t="s">
        <v>241</v>
      </c>
      <c r="I29" s="89" t="s">
        <v>333</v>
      </c>
      <c r="J29" s="89" t="s">
        <v>264</v>
      </c>
      <c r="K29" s="89" t="s">
        <v>264</v>
      </c>
      <c r="L29" s="89" t="s">
        <v>140</v>
      </c>
      <c r="M29" s="89" t="s">
        <v>334</v>
      </c>
      <c r="N29" s="89" t="s">
        <v>619</v>
      </c>
      <c r="O29" s="89" t="s">
        <v>334</v>
      </c>
      <c r="P29" s="89" t="s">
        <v>334</v>
      </c>
      <c r="Q29" s="89"/>
    </row>
    <row r="30" spans="1:17" x14ac:dyDescent="0.2">
      <c r="A30" s="89" t="s">
        <v>379</v>
      </c>
      <c r="B30" s="89" t="s">
        <v>331</v>
      </c>
      <c r="C30" s="89" t="s">
        <v>264</v>
      </c>
      <c r="D30" s="89" t="s">
        <v>132</v>
      </c>
      <c r="E30" s="89" t="s">
        <v>203</v>
      </c>
      <c r="F30" s="89" t="s">
        <v>242</v>
      </c>
      <c r="G30" s="89" t="s">
        <v>264</v>
      </c>
      <c r="H30" s="89" t="s">
        <v>242</v>
      </c>
      <c r="I30" s="89" t="s">
        <v>333</v>
      </c>
      <c r="J30" s="89" t="s">
        <v>264</v>
      </c>
      <c r="K30" s="89" t="s">
        <v>264</v>
      </c>
      <c r="L30" s="89" t="s">
        <v>259</v>
      </c>
      <c r="M30" s="89" t="s">
        <v>334</v>
      </c>
      <c r="N30" s="89" t="s">
        <v>527</v>
      </c>
      <c r="O30" s="89" t="s">
        <v>334</v>
      </c>
      <c r="P30" s="89" t="s">
        <v>334</v>
      </c>
      <c r="Q30" s="89"/>
    </row>
    <row r="31" spans="1:17" x14ac:dyDescent="0.2">
      <c r="A31" s="89" t="s">
        <v>380</v>
      </c>
      <c r="B31" s="89" t="s">
        <v>331</v>
      </c>
      <c r="C31" s="89" t="s">
        <v>264</v>
      </c>
      <c r="D31" s="89" t="s">
        <v>132</v>
      </c>
      <c r="E31" s="89" t="s">
        <v>234</v>
      </c>
      <c r="F31" s="89" t="s">
        <v>243</v>
      </c>
      <c r="G31" s="89" t="s">
        <v>264</v>
      </c>
      <c r="H31" s="89" t="s">
        <v>243</v>
      </c>
      <c r="I31" s="89" t="s">
        <v>333</v>
      </c>
      <c r="J31" s="89" t="s">
        <v>264</v>
      </c>
      <c r="K31" s="89" t="s">
        <v>264</v>
      </c>
      <c r="L31" s="89" t="s">
        <v>7</v>
      </c>
      <c r="M31" s="89" t="s">
        <v>334</v>
      </c>
      <c r="N31" s="89" t="s">
        <v>630</v>
      </c>
      <c r="O31" s="89" t="s">
        <v>334</v>
      </c>
      <c r="P31" s="89" t="s">
        <v>334</v>
      </c>
      <c r="Q31" s="89"/>
    </row>
    <row r="32" spans="1:17" x14ac:dyDescent="0.2">
      <c r="A32" s="89" t="s">
        <v>381</v>
      </c>
      <c r="B32" s="89" t="s">
        <v>331</v>
      </c>
      <c r="C32" s="89" t="s">
        <v>264</v>
      </c>
      <c r="D32" s="89" t="s">
        <v>132</v>
      </c>
      <c r="E32" s="89" t="s">
        <v>181</v>
      </c>
      <c r="F32" s="89" t="s">
        <v>244</v>
      </c>
      <c r="G32" s="89" t="s">
        <v>264</v>
      </c>
      <c r="H32" s="89" t="s">
        <v>244</v>
      </c>
      <c r="I32" s="89" t="s">
        <v>337</v>
      </c>
      <c r="J32" s="89" t="s">
        <v>264</v>
      </c>
      <c r="K32" s="89" t="s">
        <v>631</v>
      </c>
      <c r="L32" s="89" t="s">
        <v>631</v>
      </c>
      <c r="M32" s="89" t="s">
        <v>334</v>
      </c>
      <c r="N32" s="89" t="s">
        <v>334</v>
      </c>
      <c r="O32" s="89" t="s">
        <v>334</v>
      </c>
      <c r="P32" s="89" t="s">
        <v>334</v>
      </c>
      <c r="Q32" s="89"/>
    </row>
    <row r="33" spans="1:17" x14ac:dyDescent="0.2">
      <c r="A33" s="89" t="s">
        <v>382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</row>
    <row r="34" spans="1:17" x14ac:dyDescent="0.2">
      <c r="A34" s="89" t="s">
        <v>383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</row>
    <row r="35" spans="1:17" x14ac:dyDescent="0.2">
      <c r="A35" s="89" t="s">
        <v>386</v>
      </c>
      <c r="B35" s="89" t="s">
        <v>331</v>
      </c>
      <c r="C35" s="89" t="s">
        <v>264</v>
      </c>
      <c r="D35" s="89" t="s">
        <v>132</v>
      </c>
      <c r="E35" s="89" t="s">
        <v>203</v>
      </c>
      <c r="F35" s="89" t="s">
        <v>241</v>
      </c>
      <c r="G35" s="89" t="s">
        <v>264</v>
      </c>
      <c r="H35" s="89" t="s">
        <v>241</v>
      </c>
      <c r="I35" s="89" t="s">
        <v>333</v>
      </c>
      <c r="J35" s="89" t="s">
        <v>264</v>
      </c>
      <c r="K35" s="89" t="s">
        <v>264</v>
      </c>
      <c r="L35" s="89" t="s">
        <v>140</v>
      </c>
      <c r="M35" s="89" t="s">
        <v>334</v>
      </c>
      <c r="N35" s="89" t="s">
        <v>619</v>
      </c>
      <c r="O35" s="89" t="s">
        <v>334</v>
      </c>
      <c r="P35" s="89" t="s">
        <v>334</v>
      </c>
      <c r="Q35" s="89"/>
    </row>
    <row r="36" spans="1:17" x14ac:dyDescent="0.2">
      <c r="A36" s="89"/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 t="s">
        <v>389</v>
      </c>
      <c r="P36" s="89"/>
      <c r="Q36" s="89"/>
    </row>
    <row r="37" spans="1:17" x14ac:dyDescent="0.2">
      <c r="A37" s="89"/>
      <c r="B37" s="89"/>
      <c r="C37" s="89"/>
      <c r="D37" s="89"/>
      <c r="E37" s="89"/>
      <c r="F37" s="89" t="s">
        <v>390</v>
      </c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</row>
    <row r="38" spans="1:17" x14ac:dyDescent="0.2">
      <c r="A38" s="89" t="s">
        <v>2</v>
      </c>
      <c r="B38" s="89" t="s">
        <v>391</v>
      </c>
      <c r="C38" s="89" t="s">
        <v>326</v>
      </c>
      <c r="D38" s="89"/>
      <c r="E38" s="89" t="s">
        <v>392</v>
      </c>
      <c r="F38" s="89" t="s">
        <v>393</v>
      </c>
      <c r="G38" s="89" t="s">
        <v>394</v>
      </c>
      <c r="H38" s="89" t="s">
        <v>395</v>
      </c>
      <c r="I38" s="89" t="s">
        <v>396</v>
      </c>
      <c r="J38" s="89" t="s">
        <v>397</v>
      </c>
      <c r="K38" s="89" t="s">
        <v>398</v>
      </c>
      <c r="L38" s="89"/>
      <c r="M38" s="89"/>
      <c r="N38" s="89"/>
      <c r="O38" s="89"/>
      <c r="P38" s="89"/>
      <c r="Q38" s="89"/>
    </row>
    <row r="39" spans="1:17" x14ac:dyDescent="0.2">
      <c r="A39" s="89"/>
      <c r="B39" s="89"/>
      <c r="C39" s="89"/>
      <c r="D39" s="89"/>
      <c r="E39" s="89"/>
      <c r="F39" s="89"/>
      <c r="G39" s="89"/>
      <c r="H39" s="89"/>
      <c r="I39" s="89"/>
      <c r="J39" s="89"/>
      <c r="K39" s="89" t="s">
        <v>399</v>
      </c>
      <c r="L39" s="89"/>
      <c r="M39" s="89"/>
      <c r="N39" s="89"/>
      <c r="O39" s="89"/>
      <c r="P39" s="89"/>
      <c r="Q39" s="89"/>
    </row>
    <row r="40" spans="1:17" x14ac:dyDescent="0.2">
      <c r="A40" s="89" t="s">
        <v>531</v>
      </c>
      <c r="B40" s="89" t="s">
        <v>531</v>
      </c>
      <c r="C40" s="89" t="s">
        <v>337</v>
      </c>
      <c r="D40" s="89" t="s">
        <v>337</v>
      </c>
      <c r="E40" s="89"/>
      <c r="F40" s="89" t="s">
        <v>401</v>
      </c>
      <c r="G40" s="89" t="s">
        <v>337</v>
      </c>
      <c r="H40" s="89" t="s">
        <v>337</v>
      </c>
      <c r="I40" s="89" t="s">
        <v>337</v>
      </c>
      <c r="J40" s="89" t="s">
        <v>337</v>
      </c>
      <c r="K40" s="89" t="s">
        <v>337</v>
      </c>
      <c r="L40" s="89"/>
      <c r="M40" s="89"/>
      <c r="N40" s="89"/>
      <c r="O40" s="89"/>
      <c r="P40" s="89"/>
      <c r="Q40" s="89"/>
    </row>
    <row r="41" spans="1:17" x14ac:dyDescent="0.2">
      <c r="A41" s="89"/>
      <c r="B41" s="89"/>
      <c r="C41" s="89"/>
      <c r="D41" s="89"/>
      <c r="E41" s="89"/>
      <c r="F41" s="89"/>
      <c r="G41" s="89" t="s">
        <v>402</v>
      </c>
      <c r="H41" s="89"/>
      <c r="I41" s="89"/>
      <c r="J41" s="89"/>
      <c r="K41" s="89"/>
      <c r="L41" s="89"/>
      <c r="M41" s="89"/>
      <c r="N41" s="89"/>
      <c r="O41" s="89"/>
      <c r="P41" s="89"/>
      <c r="Q41" s="89"/>
    </row>
    <row r="42" spans="1:17" x14ac:dyDescent="0.2">
      <c r="A42" s="89"/>
      <c r="B42" s="89"/>
      <c r="C42" s="89"/>
      <c r="D42" s="89"/>
      <c r="E42" s="89"/>
      <c r="F42" s="89" t="s">
        <v>403</v>
      </c>
      <c r="G42" s="89"/>
      <c r="H42" s="89"/>
      <c r="I42" s="89"/>
      <c r="J42" s="89"/>
      <c r="K42" s="89"/>
      <c r="L42" s="89"/>
      <c r="M42" s="89"/>
      <c r="N42" s="89"/>
      <c r="O42" s="89"/>
      <c r="P42" s="89"/>
      <c r="Q42" s="89"/>
    </row>
    <row r="43" spans="1:17" x14ac:dyDescent="0.2">
      <c r="A43" s="89" t="s">
        <v>2</v>
      </c>
      <c r="B43" s="89" t="s">
        <v>404</v>
      </c>
      <c r="C43" s="89" t="s">
        <v>405</v>
      </c>
      <c r="D43" s="89"/>
      <c r="E43" s="89"/>
      <c r="F43" s="89"/>
      <c r="G43" s="89"/>
      <c r="H43" s="89"/>
      <c r="I43" s="89" t="s">
        <v>325</v>
      </c>
      <c r="J43" s="89" t="s">
        <v>326</v>
      </c>
      <c r="K43" s="89" t="s">
        <v>393</v>
      </c>
      <c r="L43" s="89" t="s">
        <v>394</v>
      </c>
      <c r="M43" s="89" t="s">
        <v>406</v>
      </c>
      <c r="N43" s="89"/>
      <c r="O43" s="89"/>
      <c r="P43" s="89"/>
      <c r="Q43" s="89"/>
    </row>
    <row r="44" spans="1:17" x14ac:dyDescent="0.2">
      <c r="A44" s="89"/>
      <c r="B44" s="89"/>
      <c r="C44" s="89"/>
      <c r="D44" s="89" t="s">
        <v>407</v>
      </c>
      <c r="E44" s="89"/>
      <c r="F44" s="89" t="s">
        <v>311</v>
      </c>
      <c r="G44" s="89" t="s">
        <v>437</v>
      </c>
      <c r="H44" s="89" t="s">
        <v>408</v>
      </c>
      <c r="I44" s="89"/>
      <c r="J44" s="89"/>
      <c r="K44" s="89"/>
      <c r="L44" s="89"/>
      <c r="M44" s="89"/>
      <c r="N44" s="89"/>
      <c r="O44" s="89"/>
      <c r="P44" s="89"/>
      <c r="Q44" s="89"/>
    </row>
    <row r="45" spans="1:17" x14ac:dyDescent="0.2">
      <c r="A45" s="89" t="s">
        <v>411</v>
      </c>
      <c r="B45" s="89" t="s">
        <v>632</v>
      </c>
      <c r="C45" s="89" t="s">
        <v>633</v>
      </c>
      <c r="D45" s="89" t="s">
        <v>334</v>
      </c>
      <c r="E45" s="89"/>
      <c r="F45" s="89" t="s">
        <v>546</v>
      </c>
      <c r="G45" s="89" t="s">
        <v>634</v>
      </c>
      <c r="H45" s="89" t="s">
        <v>252</v>
      </c>
      <c r="I45" s="89" t="s">
        <v>334</v>
      </c>
      <c r="J45" s="89" t="s">
        <v>334</v>
      </c>
      <c r="K45" s="89" t="s">
        <v>334</v>
      </c>
      <c r="L45" s="89" t="s">
        <v>334</v>
      </c>
      <c r="M45" s="89" t="s">
        <v>633</v>
      </c>
      <c r="N45" s="89"/>
      <c r="O45" s="89"/>
      <c r="P45" s="89"/>
      <c r="Q45" s="89"/>
    </row>
  </sheetData>
  <phoneticPr fontId="2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19</vt:i4>
      </vt:variant>
      <vt:variant>
        <vt:lpstr>名前付き一覧</vt:lpstr>
      </vt:variant>
      <vt:variant>
        <vt:i4>1</vt:i4>
      </vt:variant>
    </vt:vector>
  </HeadingPairs>
  <TitlesOfParts>
    <vt:vector size="20" baseType="lpstr">
      <vt:lpstr>シフト一覧（転載）</vt:lpstr>
      <vt:lpstr>▼提出用▼</vt:lpstr>
      <vt:lpstr>まとめ</vt:lpstr>
      <vt:lpstr>通常保育</vt:lpstr>
      <vt:lpstr>病児・一時</vt:lpstr>
      <vt:lpstr>Page_1</vt:lpstr>
      <vt:lpstr>Page_2</vt:lpstr>
      <vt:lpstr>Page_3</vt:lpstr>
      <vt:lpstr>Page_4</vt:lpstr>
      <vt:lpstr>Page_5</vt:lpstr>
      <vt:lpstr>Page_6</vt:lpstr>
      <vt:lpstr>Page_7</vt:lpstr>
      <vt:lpstr>Page_8</vt:lpstr>
      <vt:lpstr>Page_9</vt:lpstr>
      <vt:lpstr>Page_10</vt:lpstr>
      <vt:lpstr>Page_11</vt:lpstr>
      <vt:lpstr>Page_12</vt:lpstr>
      <vt:lpstr>Page_13</vt:lpstr>
      <vt:lpstr>Page_14</vt:lpstr>
      <vt:lpstr>▼提出用▼!Print_Area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cp:lastPrinted>2025-04-24T07:52:46Z</cp:lastPrinted>
  <dcterms:created xsi:type="dcterms:W3CDTF">2025-02-17T02:33:15Z</dcterms:created>
  <dcterms:modified xsi:type="dcterms:W3CDTF">2025-04-24T07:54:27Z</dcterms:modified>
</cp:coreProperties>
</file>