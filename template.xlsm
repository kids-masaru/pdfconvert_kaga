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F1968CA5-7D46-4DEC-BFC1-CB1A4B75CBEC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eta.COUNTIF" hidden="1" xlm="1">#NAME?</definedName>
    <definedName name="_xleta.LEFT" hidden="1" xlm="1">#NAME?</definedName>
    <definedName name="_xleta.RIGHT" hidden="1" xlm="1">#NAME?</definedName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3" l="1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B12" i="2" a="1"/>
  <c r="L12" i="3" a="1"/>
  <c r="B12" i="3" a="1"/>
  <c r="B12" i="2" l="1"/>
  <c r="L12" i="3"/>
  <c r="B12" i="3"/>
  <c r="I41" i="3"/>
  <c r="H41" i="3" a="1"/>
  <c r="H41" i="3" s="1"/>
  <c r="G41" i="3"/>
  <c r="E41" i="3" a="1"/>
  <c r="E41" i="3" s="1"/>
  <c r="F41" i="3" s="1"/>
  <c r="D41" i="3" a="1"/>
  <c r="D41" i="3" s="1"/>
  <c r="C41" i="3" a="1"/>
  <c r="C41" i="3" s="1"/>
  <c r="A41" i="3"/>
  <c r="I40" i="3"/>
  <c r="H40" i="3" a="1"/>
  <c r="H40" i="3" s="1"/>
  <c r="G40" i="3"/>
  <c r="E40" i="3" a="1"/>
  <c r="E40" i="3" s="1"/>
  <c r="F40" i="3" s="1"/>
  <c r="D40" i="3" a="1"/>
  <c r="D40" i="3" s="1"/>
  <c r="C40" i="3" a="1"/>
  <c r="C40" i="3" s="1"/>
  <c r="A40" i="3"/>
  <c r="I39" i="3"/>
  <c r="H39" i="3" a="1"/>
  <c r="H39" i="3" s="1"/>
  <c r="G39" i="3"/>
  <c r="E39" i="3" a="1"/>
  <c r="E39" i="3" s="1"/>
  <c r="F39" i="3" s="1"/>
  <c r="D39" i="3" a="1"/>
  <c r="D39" i="3" s="1"/>
  <c r="C39" i="3" a="1"/>
  <c r="C39" i="3" s="1"/>
  <c r="A39" i="3"/>
  <c r="I38" i="3"/>
  <c r="H38" i="3" a="1"/>
  <c r="H38" i="3" s="1"/>
  <c r="G38" i="3"/>
  <c r="E38" i="3" a="1"/>
  <c r="E38" i="3" s="1"/>
  <c r="F38" i="3" s="1"/>
  <c r="D38" i="3" a="1"/>
  <c r="D38" i="3" s="1"/>
  <c r="C38" i="3" a="1"/>
  <c r="C38" i="3" s="1"/>
  <c r="A38" i="3"/>
  <c r="I37" i="3"/>
  <c r="H37" i="3" a="1"/>
  <c r="H37" i="3" s="1"/>
  <c r="G37" i="3"/>
  <c r="E37" i="3" a="1"/>
  <c r="E37" i="3" s="1"/>
  <c r="F37" i="3" s="1"/>
  <c r="D37" i="3" a="1"/>
  <c r="D37" i="3" s="1"/>
  <c r="C37" i="3" a="1"/>
  <c r="C37" i="3" s="1"/>
  <c r="A37" i="3"/>
  <c r="I36" i="3"/>
  <c r="H36" i="3" a="1"/>
  <c r="H36" i="3" s="1"/>
  <c r="G36" i="3"/>
  <c r="E36" i="3" a="1"/>
  <c r="E36" i="3" s="1"/>
  <c r="F36" i="3" s="1"/>
  <c r="D36" i="3" a="1"/>
  <c r="D36" i="3" s="1"/>
  <c r="C36" i="3" a="1"/>
  <c r="C36" i="3" s="1"/>
  <c r="A36" i="3"/>
  <c r="I35" i="3"/>
  <c r="H35" i="3" a="1"/>
  <c r="H35" i="3" s="1"/>
  <c r="G35" i="3"/>
  <c r="E35" i="3" a="1"/>
  <c r="E35" i="3" s="1"/>
  <c r="F35" i="3" s="1"/>
  <c r="D35" i="3" a="1"/>
  <c r="D35" i="3" s="1"/>
  <c r="C35" i="3" a="1"/>
  <c r="C35" i="3" s="1"/>
  <c r="A35" i="3"/>
  <c r="I34" i="3"/>
  <c r="H34" i="3" a="1"/>
  <c r="H34" i="3" s="1"/>
  <c r="G34" i="3"/>
  <c r="E34" i="3" a="1"/>
  <c r="E34" i="3" s="1"/>
  <c r="F34" i="3" s="1"/>
  <c r="D34" i="3" a="1"/>
  <c r="D34" i="3" s="1"/>
  <c r="C34" i="3" a="1"/>
  <c r="C34" i="3" s="1"/>
  <c r="A34" i="3"/>
  <c r="I33" i="3"/>
  <c r="H33" i="3" a="1"/>
  <c r="H33" i="3" s="1"/>
  <c r="G33" i="3"/>
  <c r="E33" i="3" a="1"/>
  <c r="E33" i="3" s="1"/>
  <c r="F33" i="3" s="1"/>
  <c r="D33" i="3" a="1"/>
  <c r="D33" i="3" s="1"/>
  <c r="C33" i="3" a="1"/>
  <c r="C33" i="3" s="1"/>
  <c r="A33" i="3"/>
  <c r="I32" i="3"/>
  <c r="H32" i="3" a="1"/>
  <c r="H32" i="3" s="1"/>
  <c r="G32" i="3"/>
  <c r="E32" i="3" a="1"/>
  <c r="E32" i="3" s="1"/>
  <c r="F32" i="3" s="1"/>
  <c r="D32" i="3" a="1"/>
  <c r="D32" i="3" s="1"/>
  <c r="C32" i="3" a="1"/>
  <c r="C32" i="3" s="1"/>
  <c r="A32" i="3"/>
  <c r="M9" i="3"/>
  <c r="F5" i="3"/>
  <c r="D5" i="3"/>
  <c r="B5" i="3"/>
  <c r="C1" i="3"/>
  <c r="B1" i="3"/>
  <c r="H1" i="2"/>
  <c r="L40" i="3" a="1"/>
  <c r="L41" i="3" a="1"/>
  <c r="L33" i="3" a="1"/>
  <c r="L34" i="3" a="1"/>
  <c r="L36" i="3" a="1"/>
  <c r="L32" i="3" a="1"/>
  <c r="L35" i="3" a="1"/>
  <c r="L37" i="3" a="1"/>
  <c r="L38" i="3" a="1"/>
  <c r="L39" i="3" a="1"/>
  <c r="L39" i="3" l="1"/>
  <c r="L38" i="3"/>
  <c r="L37" i="3"/>
  <c r="L35" i="3"/>
  <c r="L32" i="3"/>
  <c r="L36" i="3"/>
  <c r="L34" i="3"/>
  <c r="L33" i="3"/>
  <c r="L41" i="3"/>
  <c r="L40" i="3"/>
  <c r="J4" i="3"/>
  <c r="J6" i="3" s="1"/>
  <c r="B9" i="3" s="1"/>
  <c r="H24" i="3" a="1"/>
  <c r="H24" i="3" s="1"/>
  <c r="H14" i="3" a="1"/>
  <c r="H14" i="3" s="1"/>
  <c r="H13" i="3" a="1"/>
  <c r="H13" i="3" s="1"/>
  <c r="H23" i="3" a="1"/>
  <c r="H23" i="3" s="1"/>
  <c r="H22" i="3" a="1"/>
  <c r="H22" i="3" s="1"/>
  <c r="H21" i="3" a="1"/>
  <c r="H21" i="3" s="1"/>
  <c r="H26" i="3" a="1"/>
  <c r="H26" i="3" s="1"/>
  <c r="H20" i="3" a="1"/>
  <c r="H20" i="3" s="1"/>
  <c r="H27" i="3" a="1"/>
  <c r="H27" i="3" s="1"/>
  <c r="H19" i="3" a="1"/>
  <c r="H19" i="3" s="1"/>
  <c r="H31" i="3" a="1"/>
  <c r="H31" i="3" s="1"/>
  <c r="H18" i="3" a="1"/>
  <c r="H18" i="3" s="1"/>
  <c r="A13" i="3"/>
  <c r="H15" i="3" a="1"/>
  <c r="H15" i="3" s="1"/>
  <c r="H30" i="3" a="1"/>
  <c r="H30" i="3" s="1"/>
  <c r="H29" i="3" a="1"/>
  <c r="H29" i="3" s="1"/>
  <c r="H28" i="3" a="1"/>
  <c r="H28" i="3" s="1"/>
  <c r="H17" i="3" a="1"/>
  <c r="H17" i="3" s="1"/>
  <c r="H16" i="3" a="1"/>
  <c r="H16" i="3" s="1"/>
  <c r="H25" i="3" a="1"/>
  <c r="H25" i="3" s="1"/>
  <c r="C12" i="3" a="1"/>
  <c r="D31" i="3" a="1"/>
  <c r="D29" i="3" a="1"/>
  <c r="C31" i="3" a="1"/>
  <c r="D16" i="3" a="1"/>
  <c r="C26" i="3" a="1"/>
  <c r="E30" i="3" a="1"/>
  <c r="E28" i="3" a="1"/>
  <c r="C30" i="3" a="1"/>
  <c r="D15" i="3" a="1"/>
  <c r="C21" i="3" a="1"/>
  <c r="D25" i="3" a="1"/>
  <c r="D20" i="3" a="1"/>
  <c r="E29" i="3" a="1"/>
  <c r="E27" i="3" a="1"/>
  <c r="C19" i="3" a="1"/>
  <c r="C29" i="3" a="1"/>
  <c r="E14" i="3" a="1"/>
  <c r="E24" i="3" a="1"/>
  <c r="C16" i="3" a="1"/>
  <c r="C25" i="3" a="1"/>
  <c r="C20" i="3" a="1"/>
  <c r="E26" i="3" a="1"/>
  <c r="D18" i="3" a="1"/>
  <c r="D28" i="3" a="1"/>
  <c r="E13" i="3" a="1"/>
  <c r="C15" i="3" a="1"/>
  <c r="D24" i="3" a="1"/>
  <c r="C24" i="3" a="1"/>
  <c r="C23" i="3" a="1"/>
  <c r="E18" i="3" a="1"/>
  <c r="D19" i="3" a="1"/>
  <c r="D17" i="3" a="1"/>
  <c r="D27" i="3" a="1"/>
  <c r="D14" i="3" a="1"/>
  <c r="E23" i="3" a="1"/>
  <c r="C14" i="3" a="1"/>
  <c r="D23" i="3" a="1"/>
  <c r="C22" i="3" a="1"/>
  <c r="D13" i="3" a="1"/>
  <c r="E22" i="3" a="1"/>
  <c r="C13" i="3" a="1"/>
  <c r="D22" i="3" a="1"/>
  <c r="E17" i="3" a="1"/>
  <c r="E16" i="3" a="1"/>
  <c r="D26" i="3" a="1"/>
  <c r="D21" i="3" a="1"/>
  <c r="E31" i="3" a="1"/>
  <c r="E15" i="3" a="1"/>
  <c r="E19" i="3" a="1"/>
  <c r="E25" i="3" a="1"/>
  <c r="C18" i="3" a="1"/>
  <c r="C28" i="3" a="1"/>
  <c r="E21" i="3" a="1"/>
  <c r="E20" i="3" a="1"/>
  <c r="D30" i="3" a="1"/>
  <c r="C17" i="3" a="1"/>
  <c r="C27" i="3" a="1"/>
  <c r="L13" i="3" a="1"/>
  <c r="L13" i="3" l="1"/>
  <c r="C12" i="3"/>
  <c r="C27" i="3"/>
  <c r="C17" i="3"/>
  <c r="D30" i="3"/>
  <c r="E20" i="3"/>
  <c r="E21" i="3"/>
  <c r="C28" i="3"/>
  <c r="C18" i="3"/>
  <c r="E25" i="3"/>
  <c r="E19" i="3"/>
  <c r="E15" i="3"/>
  <c r="E31" i="3"/>
  <c r="D21" i="3"/>
  <c r="D26" i="3"/>
  <c r="E16" i="3"/>
  <c r="E17" i="3"/>
  <c r="D22" i="3"/>
  <c r="C13" i="3"/>
  <c r="E22" i="3"/>
  <c r="D13" i="3"/>
  <c r="C22" i="3"/>
  <c r="D23" i="3"/>
  <c r="C14" i="3"/>
  <c r="E23" i="3"/>
  <c r="D14" i="3"/>
  <c r="D27" i="3"/>
  <c r="D17" i="3"/>
  <c r="D19" i="3"/>
  <c r="E18" i="3"/>
  <c r="C23" i="3"/>
  <c r="C24" i="3"/>
  <c r="D24" i="3"/>
  <c r="C15" i="3"/>
  <c r="E13" i="3"/>
  <c r="D28" i="3"/>
  <c r="D18" i="3"/>
  <c r="E26" i="3"/>
  <c r="C20" i="3"/>
  <c r="C25" i="3"/>
  <c r="C16" i="3"/>
  <c r="E24" i="3"/>
  <c r="E14" i="3"/>
  <c r="C29" i="3"/>
  <c r="C19" i="3"/>
  <c r="E27" i="3"/>
  <c r="E29" i="3"/>
  <c r="D20" i="3"/>
  <c r="D25" i="3"/>
  <c r="C21" i="3"/>
  <c r="D15" i="3"/>
  <c r="C30" i="3"/>
  <c r="E28" i="3"/>
  <c r="E30" i="3"/>
  <c r="C26" i="3"/>
  <c r="D16" i="3"/>
  <c r="C31" i="3"/>
  <c r="D29" i="3"/>
  <c r="D31" i="3"/>
  <c r="A14" i="3"/>
  <c r="H12" i="3" a="1"/>
  <c r="H12" i="3" s="1"/>
  <c r="E12" i="3" a="1"/>
  <c r="D12" i="3" a="1"/>
  <c r="B19" i="2" a="1"/>
  <c r="L14" i="3" a="1"/>
  <c r="L14" i="3" l="1"/>
  <c r="B19" i="2"/>
  <c r="F29" i="3"/>
  <c r="F21" i="3"/>
  <c r="F30" i="3"/>
  <c r="F27" i="3"/>
  <c r="F26" i="3"/>
  <c r="F18" i="3"/>
  <c r="F20" i="3"/>
  <c r="F16" i="3"/>
  <c r="F28" i="3"/>
  <c r="F31" i="3"/>
  <c r="F22" i="3"/>
  <c r="F19" i="3"/>
  <c r="F24" i="3"/>
  <c r="F25" i="3"/>
  <c r="F23" i="3"/>
  <c r="F17" i="3"/>
  <c r="F15" i="3"/>
  <c r="F14" i="3"/>
  <c r="F13" i="3"/>
  <c r="A15" i="3"/>
  <c r="D12" i="3"/>
  <c r="E12" i="3"/>
  <c r="M70" i="3" a="1"/>
  <c r="M70" i="3" s="1"/>
  <c r="M66" i="3" a="1"/>
  <c r="M66" i="3" s="1"/>
  <c r="M68" i="3" a="1"/>
  <c r="M68" i="3" s="1"/>
  <c r="M64" i="3" a="1"/>
  <c r="M64" i="3" s="1"/>
  <c r="M58" i="3" a="1"/>
  <c r="M58" i="3" s="1"/>
  <c r="M60" i="3" a="1"/>
  <c r="M60" i="3" s="1"/>
  <c r="M62" i="3" a="1"/>
  <c r="M62" i="3" s="1"/>
  <c r="M52" i="3" a="1"/>
  <c r="M52" i="3" s="1"/>
  <c r="M54" i="3" a="1"/>
  <c r="M54" i="3" s="1"/>
  <c r="M56" i="3" a="1"/>
  <c r="M56" i="3" s="1"/>
  <c r="M48" i="3" a="1"/>
  <c r="M48" i="3" s="1"/>
  <c r="M50" i="3" a="1"/>
  <c r="M50" i="3" s="1"/>
  <c r="M44" i="3" a="1"/>
  <c r="M44" i="3" s="1"/>
  <c r="M46" i="3" a="1"/>
  <c r="M46" i="3" s="1"/>
  <c r="M40" i="3" a="1"/>
  <c r="M40" i="3" s="1"/>
  <c r="M38" i="3" a="1"/>
  <c r="M38" i="3" s="1"/>
  <c r="M36" i="3" a="1"/>
  <c r="M36" i="3" s="1"/>
  <c r="M42" i="3" a="1"/>
  <c r="M42" i="3" s="1"/>
  <c r="M34" i="3" a="1"/>
  <c r="M34" i="3" s="1"/>
  <c r="M32" i="3" a="1"/>
  <c r="M32" i="3" s="1"/>
  <c r="M30" i="3" a="1"/>
  <c r="M30" i="3" s="1"/>
  <c r="M28" i="3" a="1"/>
  <c r="M28" i="3" s="1"/>
  <c r="M26" i="3" a="1"/>
  <c r="M26" i="3" s="1"/>
  <c r="M24" i="3" a="1"/>
  <c r="M24" i="3" s="1"/>
  <c r="M22" i="3" a="1"/>
  <c r="M22" i="3" s="1"/>
  <c r="M20" i="3" a="1"/>
  <c r="M20" i="3" s="1"/>
  <c r="M16" i="3" a="1"/>
  <c r="M16" i="3" s="1"/>
  <c r="M14" i="3" a="1"/>
  <c r="M14" i="3" s="1"/>
  <c r="M12" i="3" a="1"/>
  <c r="M12" i="3" s="1"/>
  <c r="M18" i="3" a="1"/>
  <c r="M18" i="3" s="1"/>
  <c r="B20" i="2" a="1"/>
  <c r="C18" i="2" a="1"/>
  <c r="L15" i="3" a="1"/>
  <c r="C19" i="2" a="1"/>
  <c r="L15" i="3" l="1"/>
  <c r="C19" i="2"/>
  <c r="B20" i="2"/>
  <c r="C18" i="2"/>
  <c r="F12" i="3"/>
  <c r="G25" i="3"/>
  <c r="A16" i="3"/>
  <c r="G18" i="3"/>
  <c r="G29" i="3"/>
  <c r="G27" i="3"/>
  <c r="I29" i="3"/>
  <c r="I27" i="3"/>
  <c r="I18" i="3"/>
  <c r="I25" i="3"/>
  <c r="P33" i="3" a="1"/>
  <c r="P33" i="3" s="1"/>
  <c r="P32" i="3" a="1"/>
  <c r="P32" i="3" s="1"/>
  <c r="P22" i="3" a="1"/>
  <c r="P22" i="3" s="1"/>
  <c r="P23" i="3" a="1"/>
  <c r="P23" i="3" s="1"/>
  <c r="P37" i="3" a="1"/>
  <c r="P37" i="3" s="1"/>
  <c r="P36" i="3" a="1"/>
  <c r="P36" i="3" s="1"/>
  <c r="P55" i="3" a="1"/>
  <c r="P55" i="3" s="1"/>
  <c r="P54" i="3" a="1"/>
  <c r="P54" i="3" s="1"/>
  <c r="P70" i="3" a="1"/>
  <c r="P70" i="3" s="1"/>
  <c r="P71" i="3" a="1"/>
  <c r="P71" i="3" s="1"/>
  <c r="P65" i="3" a="1"/>
  <c r="P65" i="3" s="1"/>
  <c r="P64" i="3" a="1"/>
  <c r="P64" i="3" s="1"/>
  <c r="P25" i="3" a="1"/>
  <c r="P25" i="3" s="1"/>
  <c r="P24" i="3" a="1"/>
  <c r="P24" i="3" s="1"/>
  <c r="P39" i="3" a="1"/>
  <c r="P39" i="3" s="1"/>
  <c r="P38" i="3" a="1"/>
  <c r="P38" i="3" s="1"/>
  <c r="P53" i="3" a="1"/>
  <c r="P53" i="3" s="1"/>
  <c r="P52" i="3" a="1"/>
  <c r="P52" i="3" s="1"/>
  <c r="P50" i="3" a="1"/>
  <c r="P50" i="3" s="1"/>
  <c r="P51" i="3" a="1"/>
  <c r="P51" i="3" s="1"/>
  <c r="P26" i="3" a="1"/>
  <c r="P26" i="3" s="1"/>
  <c r="P27" i="3" a="1"/>
  <c r="P27" i="3" s="1"/>
  <c r="P41" i="3" a="1"/>
  <c r="P41" i="3" s="1"/>
  <c r="P40" i="3" a="1"/>
  <c r="P40" i="3" s="1"/>
  <c r="P63" i="3" a="1"/>
  <c r="P63" i="3" s="1"/>
  <c r="P62" i="3" a="1"/>
  <c r="P62" i="3" s="1"/>
  <c r="P19" i="3" a="1"/>
  <c r="P19" i="3" s="1"/>
  <c r="P18" i="3" a="1"/>
  <c r="P18" i="3" s="1"/>
  <c r="P28" i="3" a="1"/>
  <c r="P28" i="3" s="1"/>
  <c r="P29" i="3" a="1"/>
  <c r="P29" i="3" s="1"/>
  <c r="P46" i="3" a="1"/>
  <c r="P46" i="3" s="1"/>
  <c r="P47" i="3" a="1"/>
  <c r="P47" i="3" s="1"/>
  <c r="P61" i="3" a="1"/>
  <c r="P61" i="3" s="1"/>
  <c r="P60" i="3" a="1"/>
  <c r="P60" i="3" s="1"/>
  <c r="P12" i="3" a="1"/>
  <c r="P12" i="3" s="1"/>
  <c r="O12" i="3" s="1" a="1"/>
  <c r="O12" i="3" s="1"/>
  <c r="P13" i="3" a="1"/>
  <c r="P13" i="3" s="1"/>
  <c r="P31" i="3" a="1"/>
  <c r="P31" i="3" s="1"/>
  <c r="P30" i="3" a="1"/>
  <c r="P30" i="3" s="1"/>
  <c r="P45" i="3" a="1"/>
  <c r="P45" i="3" s="1"/>
  <c r="P44" i="3" a="1"/>
  <c r="P44" i="3" s="1"/>
  <c r="P59" i="3" a="1"/>
  <c r="P59" i="3" s="1"/>
  <c r="P58" i="3" a="1"/>
  <c r="P58" i="3" s="1"/>
  <c r="P15" i="3" a="1"/>
  <c r="P15" i="3" s="1"/>
  <c r="P14" i="3" a="1"/>
  <c r="P14" i="3" s="1"/>
  <c r="P17" i="3" a="1"/>
  <c r="P17" i="3" s="1"/>
  <c r="P16" i="3" a="1"/>
  <c r="P16" i="3" s="1"/>
  <c r="P35" i="3" a="1"/>
  <c r="P35" i="3" s="1"/>
  <c r="P34" i="3" a="1"/>
  <c r="P34" i="3" s="1"/>
  <c r="P49" i="3" a="1"/>
  <c r="P49" i="3" s="1"/>
  <c r="P48" i="3" a="1"/>
  <c r="P48" i="3" s="1"/>
  <c r="P68" i="3" a="1"/>
  <c r="P68" i="3" s="1"/>
  <c r="P69" i="3" a="1"/>
  <c r="P69" i="3" s="1"/>
  <c r="P21" i="3" a="1"/>
  <c r="P21" i="3" s="1"/>
  <c r="P20" i="3" a="1"/>
  <c r="P20" i="3" s="1"/>
  <c r="P42" i="3" a="1"/>
  <c r="P42" i="3" s="1"/>
  <c r="P43" i="3" a="1"/>
  <c r="P43" i="3" s="1"/>
  <c r="P56" i="3" a="1"/>
  <c r="P56" i="3" s="1"/>
  <c r="P57" i="3" a="1"/>
  <c r="P57" i="3" s="1"/>
  <c r="P67" i="3" a="1"/>
  <c r="P67" i="3" s="1"/>
  <c r="P66" i="3" a="1"/>
  <c r="P66" i="3" s="1"/>
  <c r="L16" i="3" a="1"/>
  <c r="C20" i="2" a="1"/>
  <c r="L16" i="3" l="1"/>
  <c r="F18" i="2" a="1"/>
  <c r="F18" i="2" s="1"/>
  <c r="C20" i="2"/>
  <c r="A17" i="3"/>
  <c r="Q20" i="3" a="1"/>
  <c r="Q20" i="3" s="1"/>
  <c r="Q21" i="3"/>
  <c r="Q17" i="3"/>
  <c r="Q16" i="3" a="1"/>
  <c r="Q16" i="3" s="1"/>
  <c r="Q41" i="3"/>
  <c r="Q40" i="3" a="1"/>
  <c r="Q40" i="3" s="1"/>
  <c r="Q39" i="3"/>
  <c r="Q38" i="3" a="1"/>
  <c r="Q38" i="3" s="1"/>
  <c r="Q55" i="3"/>
  <c r="Q54" i="3" a="1"/>
  <c r="Q54" i="3" s="1"/>
  <c r="Q31" i="3"/>
  <c r="Q30" i="3" a="1"/>
  <c r="Q30" i="3" s="1"/>
  <c r="Q46" i="3" a="1"/>
  <c r="Q46" i="3" s="1"/>
  <c r="Q47" i="3"/>
  <c r="Q67" i="3"/>
  <c r="Q66" i="3" a="1"/>
  <c r="Q66" i="3" s="1"/>
  <c r="Q15" i="3"/>
  <c r="Q14" i="3" a="1"/>
  <c r="Q14" i="3" s="1"/>
  <c r="Q25" i="3"/>
  <c r="Q24" i="3" a="1"/>
  <c r="Q24" i="3" s="1"/>
  <c r="Q36" i="3" a="1"/>
  <c r="Q36" i="3" s="1"/>
  <c r="Q37" i="3"/>
  <c r="Q29" i="3"/>
  <c r="Q28" i="3" a="1"/>
  <c r="Q28" i="3" s="1"/>
  <c r="Q27" i="3"/>
  <c r="Q26" i="3" a="1"/>
  <c r="Q26" i="3" s="1"/>
  <c r="Q19" i="3"/>
  <c r="Q18" i="3" a="1"/>
  <c r="Q18" i="3" s="1"/>
  <c r="Q65" i="3"/>
  <c r="Q64" i="3" a="1"/>
  <c r="Q64" i="3" s="1"/>
  <c r="Q13" i="3"/>
  <c r="Q12" i="3" a="1"/>
  <c r="Q12" i="3" s="1"/>
  <c r="Q51" i="3"/>
  <c r="Q50" i="3" a="1"/>
  <c r="Q50" i="3" s="1"/>
  <c r="Q23" i="3"/>
  <c r="Q22" i="3" a="1"/>
  <c r="Q22" i="3" s="1"/>
  <c r="Q69" i="3"/>
  <c r="Q68" i="3" a="1"/>
  <c r="Q68" i="3" s="1"/>
  <c r="Q49" i="3"/>
  <c r="Q48" i="3" a="1"/>
  <c r="Q48" i="3" s="1"/>
  <c r="Q57" i="3"/>
  <c r="Q56" i="3" a="1"/>
  <c r="Q56" i="3" s="1"/>
  <c r="Q61" i="3"/>
  <c r="Q60" i="3" a="1"/>
  <c r="Q60" i="3" s="1"/>
  <c r="Q63" i="3"/>
  <c r="Q62" i="3" a="1"/>
  <c r="Q62" i="3" s="1"/>
  <c r="Q52" i="3" a="1"/>
  <c r="Q52" i="3" s="1"/>
  <c r="Q53" i="3"/>
  <c r="Q33" i="3"/>
  <c r="Q32" i="3" a="1"/>
  <c r="Q32" i="3" s="1"/>
  <c r="Q59" i="3"/>
  <c r="Q58" i="3" a="1"/>
  <c r="Q58" i="3" s="1"/>
  <c r="Q35" i="3"/>
  <c r="Q34" i="3" a="1"/>
  <c r="Q34" i="3" s="1"/>
  <c r="Q42" i="3" a="1"/>
  <c r="Q42" i="3" s="1"/>
  <c r="Q43" i="3"/>
  <c r="Q45" i="3"/>
  <c r="Q44" i="3" a="1"/>
  <c r="Q44" i="3" s="1"/>
  <c r="Q70" i="3" a="1"/>
  <c r="Q70" i="3" s="1"/>
  <c r="Q71" i="3"/>
  <c r="B21" i="2" a="1"/>
  <c r="L17" i="3" a="1"/>
  <c r="B21" i="2" l="1"/>
  <c r="L17" i="3"/>
  <c r="F20" i="2" a="1"/>
  <c r="F20" i="2" s="1"/>
  <c r="A18" i="3"/>
  <c r="R36" i="3" a="1"/>
  <c r="R36" i="3" s="1"/>
  <c r="R40" i="3" a="1"/>
  <c r="R40" i="3" s="1"/>
  <c r="S66" i="3" a="1"/>
  <c r="S66" i="3" s="1"/>
  <c r="R67" i="3" a="1"/>
  <c r="R67" i="3" s="1"/>
  <c r="R66" i="3" a="1"/>
  <c r="R66" i="3" s="1"/>
  <c r="R55" i="3" a="1"/>
  <c r="R55" i="3" s="1"/>
  <c r="S54" i="3" a="1"/>
  <c r="S54" i="3" s="1"/>
  <c r="R54" i="3" a="1"/>
  <c r="R54" i="3" s="1"/>
  <c r="R52" i="3" a="1"/>
  <c r="R52" i="3" s="1"/>
  <c r="R53" i="3" a="1"/>
  <c r="R53" i="3" s="1"/>
  <c r="S52" i="3" a="1"/>
  <c r="S52" i="3" s="1"/>
  <c r="R57" i="3" a="1"/>
  <c r="R57" i="3" s="1"/>
  <c r="R56" i="3" a="1"/>
  <c r="R56" i="3" s="1"/>
  <c r="S56" i="3" a="1"/>
  <c r="S56" i="3" s="1"/>
  <c r="R58" i="3" a="1"/>
  <c r="R58" i="3" s="1"/>
  <c r="S58" i="3" a="1"/>
  <c r="S58" i="3" s="1"/>
  <c r="R59" i="3" a="1"/>
  <c r="R59" i="3" s="1"/>
  <c r="S44" i="3" a="1"/>
  <c r="S44" i="3" s="1"/>
  <c r="R44" i="3" a="1"/>
  <c r="R44" i="3" s="1"/>
  <c r="R45" i="3" a="1"/>
  <c r="R45" i="3" s="1"/>
  <c r="S48" i="3" a="1"/>
  <c r="S48" i="3" s="1"/>
  <c r="R48" i="3" a="1"/>
  <c r="R48" i="3" s="1"/>
  <c r="R49" i="3" a="1"/>
  <c r="R49" i="3" s="1"/>
  <c r="R64" i="3" a="1"/>
  <c r="R64" i="3" s="1"/>
  <c r="R65" i="3" a="1"/>
  <c r="R65" i="3" s="1"/>
  <c r="S64" i="3" a="1"/>
  <c r="S64" i="3" s="1"/>
  <c r="R62" i="3" a="1"/>
  <c r="R62" i="3" s="1"/>
  <c r="R63" i="3" a="1"/>
  <c r="R63" i="3" s="1"/>
  <c r="S62" i="3" a="1"/>
  <c r="S62" i="3" s="1"/>
  <c r="R32" i="3" a="1"/>
  <c r="R32" i="3" s="1"/>
  <c r="R47" i="3" a="1"/>
  <c r="R47" i="3" s="1"/>
  <c r="S46" i="3" a="1"/>
  <c r="S46" i="3" s="1"/>
  <c r="R46" i="3" a="1"/>
  <c r="R46" i="3" s="1"/>
  <c r="S60" i="3" a="1"/>
  <c r="S60" i="3" s="1"/>
  <c r="R61" i="3" a="1"/>
  <c r="R61" i="3" s="1"/>
  <c r="R60" i="3" a="1"/>
  <c r="R60" i="3" s="1"/>
  <c r="R51" i="3" a="1"/>
  <c r="R51" i="3" s="1"/>
  <c r="R50" i="3" a="1"/>
  <c r="R50" i="3" s="1"/>
  <c r="S50" i="3" a="1"/>
  <c r="S50" i="3" s="1"/>
  <c r="S70" i="3" a="1"/>
  <c r="S70" i="3" s="1"/>
  <c r="R70" i="3" a="1"/>
  <c r="R70" i="3" s="1"/>
  <c r="R71" i="3" a="1"/>
  <c r="R71" i="3" s="1"/>
  <c r="S68" i="3" a="1"/>
  <c r="S68" i="3" s="1"/>
  <c r="R68" i="3" a="1"/>
  <c r="R68" i="3" s="1"/>
  <c r="R69" i="3" a="1"/>
  <c r="R69" i="3" s="1"/>
  <c r="R38" i="3" a="1"/>
  <c r="S38" i="3" a="1"/>
  <c r="R20" i="3" a="1"/>
  <c r="R28" i="3" a="1"/>
  <c r="R27" i="3" a="1"/>
  <c r="S16" i="3" a="1"/>
  <c r="R29" i="3" a="1"/>
  <c r="S26" i="3" a="1"/>
  <c r="R35" i="3" a="1"/>
  <c r="R16" i="3" a="1"/>
  <c r="R43" i="3" a="1"/>
  <c r="S36" i="3" a="1"/>
  <c r="R26" i="3" a="1"/>
  <c r="R34" i="3" a="1"/>
  <c r="S22" i="3" a="1"/>
  <c r="R17" i="3" a="1"/>
  <c r="R14" i="3" a="1"/>
  <c r="R42" i="3" a="1"/>
  <c r="S30" i="3" a="1"/>
  <c r="S42" i="3" a="1"/>
  <c r="S18" i="3" a="1"/>
  <c r="R22" i="3" a="1"/>
  <c r="R18" i="3" a="1"/>
  <c r="S34" i="3" a="1"/>
  <c r="R23" i="3" a="1"/>
  <c r="R31" i="3" a="1"/>
  <c r="R30" i="3" a="1"/>
  <c r="R37" i="3" a="1"/>
  <c r="R19" i="3" a="1"/>
  <c r="S32" i="3" a="1"/>
  <c r="S40" i="3" a="1"/>
  <c r="R24" i="3" a="1"/>
  <c r="R33" i="3" a="1"/>
  <c r="R39" i="3" a="1"/>
  <c r="S20" i="3" a="1"/>
  <c r="R41" i="3" a="1"/>
  <c r="R25" i="3" a="1"/>
  <c r="S28" i="3" a="1"/>
  <c r="R21" i="3" a="1"/>
  <c r="S14" i="3" a="1"/>
  <c r="R15" i="3" a="1"/>
  <c r="S24" i="3" a="1"/>
  <c r="R12" i="3" a="1"/>
  <c r="S12" i="3" a="1"/>
  <c r="R13" i="3" a="1"/>
  <c r="L18" i="3" a="1"/>
  <c r="S41" i="3" l="1"/>
  <c r="S37" i="3"/>
  <c r="S33" i="3"/>
  <c r="L18" i="3"/>
  <c r="S71" i="3"/>
  <c r="S67" i="3"/>
  <c r="S69" i="3"/>
  <c r="S65" i="3"/>
  <c r="S63" i="3"/>
  <c r="S61" i="3"/>
  <c r="S59" i="3"/>
  <c r="S55" i="3"/>
  <c r="S57" i="3"/>
  <c r="S53" i="3"/>
  <c r="S51" i="3"/>
  <c r="S49" i="3"/>
  <c r="S47" i="3"/>
  <c r="S45" i="3"/>
  <c r="S24" i="3"/>
  <c r="T24" i="3" s="1" a="1"/>
  <c r="R15" i="3"/>
  <c r="S14" i="3"/>
  <c r="T14" i="3" s="1" a="1"/>
  <c r="R21" i="3"/>
  <c r="S28" i="3"/>
  <c r="U28" i="3" s="1" a="1"/>
  <c r="R25" i="3"/>
  <c r="R41" i="3"/>
  <c r="S20" i="3"/>
  <c r="U20" i="3" s="1" a="1"/>
  <c r="R39" i="3"/>
  <c r="R33" i="3"/>
  <c r="R24" i="3"/>
  <c r="S40" i="3"/>
  <c r="S32" i="3"/>
  <c r="R19" i="3"/>
  <c r="R37" i="3"/>
  <c r="R30" i="3"/>
  <c r="R31" i="3"/>
  <c r="R23" i="3"/>
  <c r="S34" i="3"/>
  <c r="T34" i="3" s="1" a="1"/>
  <c r="R18" i="3"/>
  <c r="R22" i="3"/>
  <c r="S18" i="3"/>
  <c r="T18" i="3" s="1" a="1"/>
  <c r="T18" i="3" s="1"/>
  <c r="U19" i="3" s="1"/>
  <c r="S42" i="3"/>
  <c r="U42" i="3" s="1" a="1"/>
  <c r="S30" i="3"/>
  <c r="T30" i="3" s="1" a="1"/>
  <c r="T30" i="3" s="1"/>
  <c r="U31" i="3" s="1"/>
  <c r="R42" i="3"/>
  <c r="R14" i="3"/>
  <c r="R17" i="3"/>
  <c r="S22" i="3"/>
  <c r="T22" i="3" s="1" a="1"/>
  <c r="R34" i="3"/>
  <c r="R26" i="3"/>
  <c r="S36" i="3"/>
  <c r="R43" i="3"/>
  <c r="R16" i="3"/>
  <c r="R35" i="3"/>
  <c r="S26" i="3"/>
  <c r="T26" i="3" s="1" a="1"/>
  <c r="T26" i="3" s="1"/>
  <c r="U27" i="3" s="1"/>
  <c r="R29" i="3"/>
  <c r="S16" i="3"/>
  <c r="T16" i="3" s="1" a="1"/>
  <c r="R27" i="3"/>
  <c r="R28" i="3"/>
  <c r="R20" i="3"/>
  <c r="S38" i="3"/>
  <c r="U38" i="3" s="1" a="1"/>
  <c r="R38" i="3"/>
  <c r="A19" i="3"/>
  <c r="R12" i="3"/>
  <c r="R13" i="3"/>
  <c r="S12" i="3"/>
  <c r="T53" i="3" a="1"/>
  <c r="T53" i="3" s="1"/>
  <c r="U52" i="3" a="1"/>
  <c r="U52" i="3" s="1"/>
  <c r="T52" i="3" a="1"/>
  <c r="T52" i="3" s="1"/>
  <c r="T59" i="3" a="1"/>
  <c r="T59" i="3" s="1"/>
  <c r="T58" i="3" a="1"/>
  <c r="T58" i="3" s="1"/>
  <c r="U58" i="3" a="1"/>
  <c r="U58" i="3" s="1"/>
  <c r="T65" i="3" a="1"/>
  <c r="T65" i="3" s="1"/>
  <c r="T64" i="3" a="1"/>
  <c r="T64" i="3" s="1"/>
  <c r="U64" i="3" a="1"/>
  <c r="U64" i="3" s="1"/>
  <c r="T67" i="3" a="1"/>
  <c r="T67" i="3" s="1"/>
  <c r="U66" i="3" a="1"/>
  <c r="U66" i="3" s="1"/>
  <c r="T66" i="3" a="1"/>
  <c r="T66" i="3" s="1"/>
  <c r="T45" i="3" a="1"/>
  <c r="T45" i="3" s="1"/>
  <c r="U44" i="3" a="1"/>
  <c r="U44" i="3" s="1"/>
  <c r="T44" i="3" a="1"/>
  <c r="T44" i="3" s="1"/>
  <c r="T70" i="3" a="1"/>
  <c r="T70" i="3" s="1"/>
  <c r="T71" i="3" a="1"/>
  <c r="T71" i="3" s="1"/>
  <c r="U70" i="3" a="1"/>
  <c r="U70" i="3" s="1"/>
  <c r="T63" i="3" a="1"/>
  <c r="T63" i="3" s="1"/>
  <c r="U62" i="3" a="1"/>
  <c r="U62" i="3" s="1"/>
  <c r="T62" i="3" a="1"/>
  <c r="T62" i="3" s="1"/>
  <c r="T50" i="3" a="1"/>
  <c r="T50" i="3" s="1"/>
  <c r="U50" i="3" a="1"/>
  <c r="U50" i="3" s="1"/>
  <c r="T51" i="3" a="1"/>
  <c r="T51" i="3" s="1"/>
  <c r="T49" i="3" a="1"/>
  <c r="T49" i="3" s="1"/>
  <c r="U48" i="3" a="1"/>
  <c r="U48" i="3" s="1"/>
  <c r="T48" i="3" a="1"/>
  <c r="T48" i="3" s="1"/>
  <c r="T57" i="3" a="1"/>
  <c r="T57" i="3" s="1"/>
  <c r="U56" i="3" a="1"/>
  <c r="U56" i="3" s="1"/>
  <c r="T56" i="3" a="1"/>
  <c r="T56" i="3" s="1"/>
  <c r="T47" i="3" a="1"/>
  <c r="T47" i="3" s="1"/>
  <c r="U46" i="3" a="1"/>
  <c r="U46" i="3" s="1"/>
  <c r="T46" i="3" a="1"/>
  <c r="T46" i="3" s="1"/>
  <c r="T68" i="3" a="1"/>
  <c r="T68" i="3" s="1"/>
  <c r="T69" i="3" a="1"/>
  <c r="T69" i="3" s="1"/>
  <c r="U68" i="3" a="1"/>
  <c r="U68" i="3" s="1"/>
  <c r="T61" i="3" a="1"/>
  <c r="T61" i="3" s="1"/>
  <c r="U60" i="3" a="1"/>
  <c r="U60" i="3" s="1"/>
  <c r="T60" i="3" a="1"/>
  <c r="T60" i="3" s="1"/>
  <c r="T55" i="3" a="1"/>
  <c r="T55" i="3" s="1"/>
  <c r="U54" i="3" a="1"/>
  <c r="U54" i="3" s="1"/>
  <c r="T54" i="3" a="1"/>
  <c r="T54" i="3" s="1"/>
  <c r="C21" i="2" a="1"/>
  <c r="B22" i="2" a="1"/>
  <c r="L19" i="3" a="1"/>
  <c r="U40" i="3" l="1" a="1"/>
  <c r="U40" i="3" s="1"/>
  <c r="V40" i="3" s="1" a="1"/>
  <c r="V40" i="3" s="1"/>
  <c r="W41" i="3" s="1"/>
  <c r="U36" i="3" a="1"/>
  <c r="U34" i="3" a="1"/>
  <c r="U34" i="3" s="1"/>
  <c r="V34" i="3" s="1" a="1"/>
  <c r="V34" i="3" s="1"/>
  <c r="W35" i="3" s="1"/>
  <c r="U32" i="3" a="1"/>
  <c r="U32" i="3" s="1"/>
  <c r="V32" i="3" s="1" a="1"/>
  <c r="V32" i="3" s="1"/>
  <c r="W33" i="3" s="1"/>
  <c r="T17" i="3" a="1"/>
  <c r="T17" i="3" s="1"/>
  <c r="U14" i="3" a="1"/>
  <c r="U14" i="3" s="1"/>
  <c r="V15" i="3" s="1" a="1"/>
  <c r="T27" i="3" a="1"/>
  <c r="T27" i="3" s="1"/>
  <c r="T43" i="3" a="1"/>
  <c r="T43" i="3" s="1"/>
  <c r="T25" i="3" a="1"/>
  <c r="T25" i="3" s="1"/>
  <c r="T15" i="3" a="1"/>
  <c r="T15" i="3" s="1"/>
  <c r="T37" i="3" a="1"/>
  <c r="T37" i="3" s="1"/>
  <c r="T42" i="3" a="1"/>
  <c r="T33" i="3" a="1"/>
  <c r="T33" i="3" s="1"/>
  <c r="T28" i="3" a="1"/>
  <c r="T28" i="3" s="1"/>
  <c r="T41" i="3" a="1"/>
  <c r="T41" i="3" s="1"/>
  <c r="T35" i="3" a="1"/>
  <c r="T35" i="3" s="1"/>
  <c r="U24" i="3" a="1"/>
  <c r="U24" i="3" s="1"/>
  <c r="V24" i="3" s="1" a="1"/>
  <c r="V24" i="3" s="1"/>
  <c r="W25" i="3" s="1"/>
  <c r="U16" i="3" a="1"/>
  <c r="U16" i="3" s="1"/>
  <c r="V17" i="3" s="1" a="1"/>
  <c r="T23" i="3" a="1"/>
  <c r="T23" i="3" s="1"/>
  <c r="T21" i="3" a="1"/>
  <c r="T21" i="3" s="1"/>
  <c r="T29" i="3" a="1"/>
  <c r="T29" i="3" s="1"/>
  <c r="T31" i="3" a="1"/>
  <c r="T31" i="3" s="1"/>
  <c r="U22" i="3" a="1"/>
  <c r="U22" i="3" s="1"/>
  <c r="V22" i="3" s="1" a="1"/>
  <c r="T20" i="3" a="1"/>
  <c r="T20" i="3" s="1"/>
  <c r="B22" i="2"/>
  <c r="C21" i="2"/>
  <c r="F21" i="2" s="1" a="1"/>
  <c r="F21" i="2" s="1"/>
  <c r="U18" i="3" a="1"/>
  <c r="U18" i="3" s="1"/>
  <c r="T19" i="3" a="1"/>
  <c r="T19" i="3" s="1"/>
  <c r="U26" i="3" a="1"/>
  <c r="U26" i="3" s="1"/>
  <c r="U30" i="3" a="1"/>
  <c r="U30" i="3" s="1"/>
  <c r="T36" i="3" a="1"/>
  <c r="T36" i="3" s="1"/>
  <c r="T32" i="3" a="1"/>
  <c r="T32" i="3" s="1"/>
  <c r="T40" i="3" a="1"/>
  <c r="T40" i="3" s="1"/>
  <c r="L19" i="3"/>
  <c r="U71" i="3"/>
  <c r="U69" i="3"/>
  <c r="U67" i="3"/>
  <c r="U63" i="3"/>
  <c r="U65" i="3"/>
  <c r="U61" i="3"/>
  <c r="U59" i="3"/>
  <c r="U55" i="3"/>
  <c r="U57" i="3"/>
  <c r="U53" i="3"/>
  <c r="U51" i="3"/>
  <c r="U49" i="3"/>
  <c r="U47" i="3"/>
  <c r="U45" i="3"/>
  <c r="S39" i="3"/>
  <c r="S31" i="3"/>
  <c r="S27" i="3"/>
  <c r="S21" i="3"/>
  <c r="S19" i="3"/>
  <c r="S25" i="3"/>
  <c r="S15" i="3"/>
  <c r="S43" i="3"/>
  <c r="S17" i="3"/>
  <c r="U38" i="3"/>
  <c r="V38" i="3" s="1" a="1"/>
  <c r="V38" i="3" s="1"/>
  <c r="W39" i="3" s="1"/>
  <c r="U36" i="3"/>
  <c r="V36" i="3" s="1" a="1"/>
  <c r="V36" i="3" s="1"/>
  <c r="W37" i="3" s="1"/>
  <c r="T42" i="3"/>
  <c r="U42" i="3"/>
  <c r="V42" i="3" s="1" a="1"/>
  <c r="T22" i="3"/>
  <c r="U20" i="3"/>
  <c r="W20" i="3" s="1" a="1"/>
  <c r="U28" i="3"/>
  <c r="V28" i="3" s="1" a="1"/>
  <c r="V28" i="3" s="1"/>
  <c r="W29" i="3" s="1"/>
  <c r="T16" i="3"/>
  <c r="T24" i="3"/>
  <c r="T14" i="3"/>
  <c r="T34" i="3"/>
  <c r="T38" i="3" a="1"/>
  <c r="T38" i="3" s="1"/>
  <c r="S29" i="3"/>
  <c r="S13" i="3"/>
  <c r="S35" i="3"/>
  <c r="S23" i="3"/>
  <c r="A20" i="3"/>
  <c r="V69" i="3" a="1"/>
  <c r="V69" i="3" s="1"/>
  <c r="V68" i="3" a="1"/>
  <c r="V68" i="3" s="1"/>
  <c r="W68" i="3" a="1"/>
  <c r="W68" i="3" s="1"/>
  <c r="V51" i="3" a="1"/>
  <c r="V51" i="3" s="1"/>
  <c r="V50" i="3" a="1"/>
  <c r="V50" i="3" s="1"/>
  <c r="W50" i="3" a="1"/>
  <c r="W50" i="3" s="1"/>
  <c r="V67" i="3" a="1"/>
  <c r="V67" i="3" s="1"/>
  <c r="W66" i="3" a="1"/>
  <c r="W66" i="3" s="1"/>
  <c r="V66" i="3" a="1"/>
  <c r="V66" i="3" s="1"/>
  <c r="W54" i="3" a="1"/>
  <c r="W54" i="3" s="1"/>
  <c r="V55" i="3" a="1"/>
  <c r="V55" i="3" s="1"/>
  <c r="V54" i="3" a="1"/>
  <c r="V54" i="3" s="1"/>
  <c r="W44" i="3" a="1"/>
  <c r="W44" i="3" s="1"/>
  <c r="V45" i="3" a="1"/>
  <c r="V45" i="3" s="1"/>
  <c r="V44" i="3" a="1"/>
  <c r="V44" i="3" s="1"/>
  <c r="V58" i="3" a="1"/>
  <c r="V58" i="3" s="1"/>
  <c r="V59" i="3" a="1"/>
  <c r="V59" i="3" s="1"/>
  <c r="W58" i="3" a="1"/>
  <c r="W58" i="3" s="1"/>
  <c r="V63" i="3" a="1"/>
  <c r="V63" i="3" s="1"/>
  <c r="W62" i="3" a="1"/>
  <c r="W62" i="3" s="1"/>
  <c r="V62" i="3" a="1"/>
  <c r="V62" i="3" s="1"/>
  <c r="V64" i="3" a="1"/>
  <c r="V64" i="3" s="1"/>
  <c r="W64" i="3" a="1"/>
  <c r="W64" i="3" s="1"/>
  <c r="V65" i="3" a="1"/>
  <c r="V65" i="3" s="1"/>
  <c r="V57" i="3" a="1"/>
  <c r="V57" i="3" s="1"/>
  <c r="V56" i="3" a="1"/>
  <c r="V56" i="3" s="1"/>
  <c r="W56" i="3" a="1"/>
  <c r="W56" i="3" s="1"/>
  <c r="V47" i="3" a="1"/>
  <c r="V47" i="3" s="1"/>
  <c r="W46" i="3" a="1"/>
  <c r="W46" i="3" s="1"/>
  <c r="V46" i="3" a="1"/>
  <c r="V46" i="3" s="1"/>
  <c r="W60" i="3" a="1"/>
  <c r="W60" i="3" s="1"/>
  <c r="V60" i="3" a="1"/>
  <c r="V60" i="3" s="1"/>
  <c r="V61" i="3" a="1"/>
  <c r="V61" i="3" s="1"/>
  <c r="W48" i="3" a="1"/>
  <c r="W48" i="3" s="1"/>
  <c r="V49" i="3" a="1"/>
  <c r="V49" i="3" s="1"/>
  <c r="V48" i="3" a="1"/>
  <c r="V48" i="3" s="1"/>
  <c r="W70" i="3" a="1"/>
  <c r="W70" i="3" s="1"/>
  <c r="V70" i="3" a="1"/>
  <c r="V70" i="3" s="1"/>
  <c r="V71" i="3" a="1"/>
  <c r="V71" i="3" s="1"/>
  <c r="V52" i="3" a="1"/>
  <c r="V52" i="3" s="1"/>
  <c r="W52" i="3" a="1"/>
  <c r="W52" i="3" s="1"/>
  <c r="V53" i="3" a="1"/>
  <c r="V53" i="3" s="1"/>
  <c r="T39" i="3" a="1"/>
  <c r="V21" i="3" a="1"/>
  <c r="T12" i="3" a="1"/>
  <c r="T13" i="3" a="1"/>
  <c r="L20" i="3" a="1"/>
  <c r="U12" i="3" a="1"/>
  <c r="V20" i="3" l="1" a="1"/>
  <c r="V20" i="3" s="1"/>
  <c r="U39" i="3"/>
  <c r="W42" i="3" a="1"/>
  <c r="W42" i="3" s="1"/>
  <c r="X42" i="3" s="1" a="1"/>
  <c r="X42" i="3" s="1"/>
  <c r="Y43" i="3" s="1"/>
  <c r="W28" i="3" a="1"/>
  <c r="W28" i="3" s="1"/>
  <c r="W24" i="3" a="1"/>
  <c r="W24" i="3" s="1"/>
  <c r="W14" i="3" a="1"/>
  <c r="W14" i="3" s="1"/>
  <c r="Y14" i="3" s="1" a="1"/>
  <c r="W38" i="3" a="1"/>
  <c r="W38" i="3" s="1"/>
  <c r="V14" i="3" a="1"/>
  <c r="V14" i="3" s="1"/>
  <c r="V33" i="3" a="1"/>
  <c r="V33" i="3" s="1"/>
  <c r="V25" i="3" a="1"/>
  <c r="W32" i="3" a="1"/>
  <c r="W32" i="3" s="1"/>
  <c r="W16" i="3" a="1"/>
  <c r="W16" i="3" s="1"/>
  <c r="X17" i="3" s="1" a="1"/>
  <c r="V16" i="3" a="1"/>
  <c r="V16" i="3" s="1"/>
  <c r="W40" i="3" a="1"/>
  <c r="W40" i="3" s="1"/>
  <c r="W22" i="3" a="1"/>
  <c r="W22" i="3" s="1"/>
  <c r="X22" i="3" s="1" a="1"/>
  <c r="X22" i="3" s="1"/>
  <c r="Y23" i="3" s="1"/>
  <c r="V23" i="3" a="1"/>
  <c r="V23" i="3" s="1"/>
  <c r="V35" i="3" a="1"/>
  <c r="V35" i="3" s="1"/>
  <c r="V43" i="3" a="1"/>
  <c r="V43" i="3" s="1"/>
  <c r="V39" i="3" a="1"/>
  <c r="V39" i="3" s="1"/>
  <c r="W34" i="3" a="1"/>
  <c r="W34" i="3" s="1"/>
  <c r="V18" i="3" a="1"/>
  <c r="V18" i="3" s="1"/>
  <c r="V19" i="3" a="1"/>
  <c r="V19" i="3" s="1"/>
  <c r="W18" i="3" a="1"/>
  <c r="W18" i="3" s="1"/>
  <c r="V30" i="3" a="1"/>
  <c r="V30" i="3" s="1"/>
  <c r="W30" i="3" a="1"/>
  <c r="W30" i="3" s="1"/>
  <c r="V31" i="3" a="1"/>
  <c r="V31" i="3" s="1"/>
  <c r="V26" i="3" a="1"/>
  <c r="V26" i="3" s="1"/>
  <c r="W26" i="3" a="1"/>
  <c r="W26" i="3" s="1"/>
  <c r="X26" i="3" s="1" a="1"/>
  <c r="X26" i="3" s="1"/>
  <c r="Y27" i="3" s="1"/>
  <c r="V27" i="3" a="1"/>
  <c r="V27" i="3" s="1"/>
  <c r="V37" i="3" a="1"/>
  <c r="V37" i="3" s="1"/>
  <c r="V29" i="3" a="1"/>
  <c r="V29" i="3" s="1"/>
  <c r="W36" i="3" a="1"/>
  <c r="W36" i="3" s="1"/>
  <c r="V41" i="3" a="1"/>
  <c r="V41" i="3" s="1"/>
  <c r="U41" i="3"/>
  <c r="U37" i="3"/>
  <c r="U33" i="3"/>
  <c r="L20" i="3"/>
  <c r="W71" i="3"/>
  <c r="W69" i="3"/>
  <c r="W67" i="3"/>
  <c r="W65" i="3"/>
  <c r="W63" i="3"/>
  <c r="W61" i="3"/>
  <c r="W59" i="3"/>
  <c r="W57" i="3"/>
  <c r="W55" i="3"/>
  <c r="W53" i="3"/>
  <c r="W51" i="3"/>
  <c r="W47" i="3"/>
  <c r="W49" i="3"/>
  <c r="W45" i="3"/>
  <c r="U35" i="3"/>
  <c r="U29" i="3"/>
  <c r="U25" i="3"/>
  <c r="U43" i="3"/>
  <c r="U21" i="3"/>
  <c r="U15" i="3"/>
  <c r="V25" i="3"/>
  <c r="V21" i="3"/>
  <c r="V17" i="3"/>
  <c r="V22" i="3"/>
  <c r="W20" i="3"/>
  <c r="Y20" i="3" s="1" a="1"/>
  <c r="V42" i="3"/>
  <c r="V15" i="3"/>
  <c r="T39" i="3"/>
  <c r="U17" i="3"/>
  <c r="A21" i="3"/>
  <c r="U23" i="3"/>
  <c r="U12" i="3"/>
  <c r="T12" i="3"/>
  <c r="T13" i="3"/>
  <c r="X71" i="3" a="1"/>
  <c r="X71" i="3" s="1"/>
  <c r="X70" i="3" a="1"/>
  <c r="X70" i="3" s="1"/>
  <c r="Y70" i="3" a="1"/>
  <c r="Y70" i="3" s="1"/>
  <c r="Y52" i="3" a="1"/>
  <c r="Y52" i="3" s="1"/>
  <c r="X53" i="3" a="1"/>
  <c r="X53" i="3" s="1"/>
  <c r="X52" i="3" a="1"/>
  <c r="X52" i="3" s="1"/>
  <c r="Y44" i="3" a="1"/>
  <c r="Y44" i="3" s="1"/>
  <c r="X45" i="3" a="1"/>
  <c r="X45" i="3" s="1"/>
  <c r="X44" i="3" a="1"/>
  <c r="X44" i="3" s="1"/>
  <c r="Y66" i="3" a="1"/>
  <c r="Y66" i="3" s="1"/>
  <c r="X67" i="3" a="1"/>
  <c r="X67" i="3" s="1"/>
  <c r="X66" i="3" a="1"/>
  <c r="X66" i="3" s="1"/>
  <c r="Y48" i="3" a="1"/>
  <c r="Y48" i="3" s="1"/>
  <c r="X49" i="3" a="1"/>
  <c r="X49" i="3" s="1"/>
  <c r="X48" i="3" a="1"/>
  <c r="X48" i="3" s="1"/>
  <c r="Y46" i="3" a="1"/>
  <c r="Y46" i="3" s="1"/>
  <c r="X47" i="3" a="1"/>
  <c r="X47" i="3" s="1"/>
  <c r="X46" i="3" a="1"/>
  <c r="X46" i="3" s="1"/>
  <c r="X51" i="3" a="1"/>
  <c r="X51" i="3" s="1"/>
  <c r="X50" i="3" a="1"/>
  <c r="X50" i="3" s="1"/>
  <c r="Y50" i="3" a="1"/>
  <c r="Y50" i="3" s="1"/>
  <c r="X63" i="3" a="1"/>
  <c r="X63" i="3" s="1"/>
  <c r="Y62" i="3" a="1"/>
  <c r="Y62" i="3" s="1"/>
  <c r="X62" i="3" a="1"/>
  <c r="X62" i="3" s="1"/>
  <c r="X61" i="3" a="1"/>
  <c r="X61" i="3" s="1"/>
  <c r="Y60" i="3" a="1"/>
  <c r="Y60" i="3" s="1"/>
  <c r="X60" i="3" a="1"/>
  <c r="X60" i="3" s="1"/>
  <c r="X57" i="3" a="1"/>
  <c r="X57" i="3" s="1"/>
  <c r="Y56" i="3" a="1"/>
  <c r="Y56" i="3" s="1"/>
  <c r="X56" i="3" a="1"/>
  <c r="X56" i="3" s="1"/>
  <c r="X59" i="3" a="1"/>
  <c r="X59" i="3" s="1"/>
  <c r="X58" i="3" a="1"/>
  <c r="X58" i="3" s="1"/>
  <c r="Y58" i="3" a="1"/>
  <c r="Y58" i="3" s="1"/>
  <c r="Y54" i="3" a="1"/>
  <c r="Y54" i="3" s="1"/>
  <c r="X54" i="3" a="1"/>
  <c r="X54" i="3" s="1"/>
  <c r="X55" i="3" a="1"/>
  <c r="X55" i="3" s="1"/>
  <c r="Y64" i="3" a="1"/>
  <c r="Y64" i="3" s="1"/>
  <c r="X64" i="3" a="1"/>
  <c r="X64" i="3" s="1"/>
  <c r="X65" i="3" a="1"/>
  <c r="X65" i="3" s="1"/>
  <c r="X69" i="3" a="1"/>
  <c r="X69" i="3" s="1"/>
  <c r="X68" i="3" a="1"/>
  <c r="X68" i="3" s="1"/>
  <c r="Y68" i="3" a="1"/>
  <c r="Y68" i="3" s="1"/>
  <c r="B23" i="2" a="1"/>
  <c r="C22" i="2" a="1"/>
  <c r="L21" i="3" a="1"/>
  <c r="Y40" i="3" l="1" a="1"/>
  <c r="Y40" i="3" s="1"/>
  <c r="Z40" i="3" s="1" a="1"/>
  <c r="Z40" i="3" s="1"/>
  <c r="AA41" i="3" s="1"/>
  <c r="X39" i="3" a="1"/>
  <c r="X39" i="3" s="1"/>
  <c r="Y32" i="3" a="1"/>
  <c r="Y32" i="3" s="1"/>
  <c r="Z32" i="3" s="1" a="1"/>
  <c r="Z32" i="3" s="1"/>
  <c r="AA33" i="3" s="1"/>
  <c r="W31" i="3"/>
  <c r="X20" i="3" a="1"/>
  <c r="X20" i="3" s="1"/>
  <c r="X28" i="3" a="1"/>
  <c r="X28" i="3" s="1"/>
  <c r="W27" i="3"/>
  <c r="X24" i="3" a="1"/>
  <c r="X24" i="3" s="1"/>
  <c r="X14" i="3" a="1"/>
  <c r="X14" i="3" s="1"/>
  <c r="W19" i="3"/>
  <c r="X15" i="3" a="1"/>
  <c r="X15" i="3" s="1"/>
  <c r="Y24" i="3" a="1"/>
  <c r="X43" i="3" a="1"/>
  <c r="X43" i="3" s="1"/>
  <c r="Y42" i="3" a="1"/>
  <c r="Y42" i="3" s="1"/>
  <c r="X21" i="3" a="1"/>
  <c r="X21" i="3" s="1"/>
  <c r="X34" i="3" a="1"/>
  <c r="X34" i="3" s="1"/>
  <c r="X35" i="3" a="1"/>
  <c r="X35" i="3" s="1"/>
  <c r="Y34" i="3" a="1"/>
  <c r="Y34" i="3" s="1"/>
  <c r="X30" i="3" a="1"/>
  <c r="X30" i="3" s="1"/>
  <c r="X31" i="3" a="1"/>
  <c r="X31" i="3" s="1"/>
  <c r="Y30" i="3" a="1"/>
  <c r="Y30" i="3" s="1"/>
  <c r="Z31" i="3" s="1" a="1"/>
  <c r="X37" i="3" a="1"/>
  <c r="X37" i="3" s="1"/>
  <c r="Y36" i="3" a="1"/>
  <c r="Y36" i="3" s="1"/>
  <c r="X25" i="3" a="1"/>
  <c r="X25" i="3" s="1"/>
  <c r="Y16" i="3" a="1"/>
  <c r="Y16" i="3" s="1"/>
  <c r="X29" i="3" a="1"/>
  <c r="X29" i="3" s="1"/>
  <c r="X41" i="3" a="1"/>
  <c r="X41" i="3" s="1"/>
  <c r="X27" i="3" a="1"/>
  <c r="X27" i="3" s="1"/>
  <c r="Y22" i="3" a="1"/>
  <c r="Y22" i="3" s="1"/>
  <c r="X23" i="3" a="1"/>
  <c r="X23" i="3" s="1"/>
  <c r="C22" i="2"/>
  <c r="F22" i="2" s="1" a="1"/>
  <c r="F22" i="2" s="1"/>
  <c r="B23" i="2"/>
  <c r="X18" i="3" a="1"/>
  <c r="X18" i="3" s="1"/>
  <c r="Y18" i="3" a="1"/>
  <c r="Y18" i="3" s="1"/>
  <c r="Z18" i="3" s="1" a="1"/>
  <c r="Z18" i="3" s="1"/>
  <c r="AA19" i="3" s="1"/>
  <c r="X19" i="3" a="1"/>
  <c r="X19" i="3" s="1"/>
  <c r="X33" i="3" a="1"/>
  <c r="X33" i="3" s="1"/>
  <c r="Y26" i="3" a="1"/>
  <c r="Y26" i="3" s="1"/>
  <c r="Y28" i="3" a="1"/>
  <c r="Y28" i="3" s="1"/>
  <c r="X32" i="3" a="1"/>
  <c r="X32" i="3" s="1"/>
  <c r="X40" i="3" a="1"/>
  <c r="X40" i="3" s="1"/>
  <c r="X36" i="3" a="1"/>
  <c r="X36" i="3" s="1"/>
  <c r="L21" i="3"/>
  <c r="Y71" i="3"/>
  <c r="Y69" i="3"/>
  <c r="Y67" i="3"/>
  <c r="Y63" i="3"/>
  <c r="Y65" i="3"/>
  <c r="Y61" i="3"/>
  <c r="Y59" i="3"/>
  <c r="Y57" i="3"/>
  <c r="Y55" i="3"/>
  <c r="Y53" i="3"/>
  <c r="Y51" i="3"/>
  <c r="Y47" i="3"/>
  <c r="Y49" i="3"/>
  <c r="W43" i="3"/>
  <c r="Y45" i="3"/>
  <c r="W23" i="3"/>
  <c r="W21" i="3"/>
  <c r="W17" i="3"/>
  <c r="U13" i="3"/>
  <c r="Y24" i="3"/>
  <c r="Z24" i="3" s="1" a="1"/>
  <c r="Z24" i="3" s="1"/>
  <c r="AA25" i="3" s="1"/>
  <c r="X17" i="3"/>
  <c r="Y14" i="3"/>
  <c r="Z14" i="3" s="1" a="1"/>
  <c r="Z14" i="3" s="1"/>
  <c r="AA15" i="3" s="1"/>
  <c r="Y20" i="3"/>
  <c r="Z21" i="3" s="1" a="1"/>
  <c r="A22" i="3"/>
  <c r="X38" i="3" a="1"/>
  <c r="X38" i="3" s="1"/>
  <c r="W15" i="3"/>
  <c r="Z58" i="3" a="1"/>
  <c r="Z58" i="3" s="1"/>
  <c r="Z59" i="3" a="1"/>
  <c r="Z59" i="3" s="1"/>
  <c r="AA58" i="3" a="1"/>
  <c r="AA58" i="3" s="1"/>
  <c r="Z50" i="3" a="1"/>
  <c r="Z50" i="3" s="1"/>
  <c r="Z51" i="3" a="1"/>
  <c r="Z51" i="3" s="1"/>
  <c r="AA50" i="3" a="1"/>
  <c r="AA50" i="3" s="1"/>
  <c r="Z52" i="3" a="1"/>
  <c r="Z52" i="3" s="1"/>
  <c r="Z53" i="3" a="1"/>
  <c r="Z53" i="3" s="1"/>
  <c r="AA52" i="3" a="1"/>
  <c r="AA52" i="3" s="1"/>
  <c r="AA48" i="3" a="1"/>
  <c r="AA48" i="3" s="1"/>
  <c r="Z48" i="3" a="1"/>
  <c r="Z48" i="3" s="1"/>
  <c r="Z49" i="3" a="1"/>
  <c r="Z49" i="3" s="1"/>
  <c r="AA44" i="3" a="1"/>
  <c r="AA44" i="3" s="1"/>
  <c r="Z44" i="3" a="1"/>
  <c r="Z44" i="3" s="1"/>
  <c r="Z45" i="3" a="1"/>
  <c r="Z45" i="3" s="1"/>
  <c r="AA70" i="3" a="1"/>
  <c r="AA70" i="3" s="1"/>
  <c r="Z71" i="3" a="1"/>
  <c r="Z71" i="3" s="1"/>
  <c r="Z70" i="3" a="1"/>
  <c r="Z70" i="3" s="1"/>
  <c r="Z65" i="3" a="1"/>
  <c r="Z65" i="3" s="1"/>
  <c r="AA64" i="3" a="1"/>
  <c r="AA64" i="3" s="1"/>
  <c r="Z64" i="3" a="1"/>
  <c r="Z64" i="3" s="1"/>
  <c r="AA62" i="3" a="1"/>
  <c r="AA62" i="3" s="1"/>
  <c r="Z63" i="3" a="1"/>
  <c r="Z63" i="3" s="1"/>
  <c r="Z62" i="3" a="1"/>
  <c r="Z62" i="3" s="1"/>
  <c r="Z57" i="3" a="1"/>
  <c r="Z57" i="3" s="1"/>
  <c r="Z56" i="3" a="1"/>
  <c r="Z56" i="3" s="1"/>
  <c r="AA56" i="3" a="1"/>
  <c r="AA56" i="3" s="1"/>
  <c r="Z61" i="3" a="1"/>
  <c r="Z61" i="3" s="1"/>
  <c r="AA60" i="3" a="1"/>
  <c r="AA60" i="3" s="1"/>
  <c r="Z60" i="3" a="1"/>
  <c r="Z60" i="3" s="1"/>
  <c r="Z47" i="3" a="1"/>
  <c r="Z47" i="3" s="1"/>
  <c r="Z46" i="3" a="1"/>
  <c r="Z46" i="3" s="1"/>
  <c r="AA46" i="3" a="1"/>
  <c r="AA46" i="3" s="1"/>
  <c r="AA68" i="3" a="1"/>
  <c r="AA68" i="3" s="1"/>
  <c r="Z68" i="3" a="1"/>
  <c r="Z68" i="3" s="1"/>
  <c r="Z69" i="3" a="1"/>
  <c r="Z69" i="3" s="1"/>
  <c r="AA54" i="3" a="1"/>
  <c r="AA54" i="3" s="1"/>
  <c r="Z54" i="3" a="1"/>
  <c r="Z54" i="3" s="1"/>
  <c r="Z55" i="3" a="1"/>
  <c r="Z55" i="3" s="1"/>
  <c r="AA66" i="3" a="1"/>
  <c r="AA66" i="3" s="1"/>
  <c r="Z66" i="3" a="1"/>
  <c r="Z66" i="3" s="1"/>
  <c r="Z67" i="3" a="1"/>
  <c r="Z67" i="3" s="1"/>
  <c r="V12" i="3" a="1"/>
  <c r="V12" i="3" s="1"/>
  <c r="W13" i="3" s="1"/>
  <c r="AA20" i="3" a="1"/>
  <c r="Y38" i="3" a="1"/>
  <c r="X16" i="3" a="1"/>
  <c r="L22" i="3" a="1"/>
  <c r="W12" i="3" a="1"/>
  <c r="V13" i="3" a="1"/>
  <c r="Z42" i="3" l="1" a="1"/>
  <c r="Z42" i="3" s="1"/>
  <c r="Y39" i="3"/>
  <c r="Y35" i="3"/>
  <c r="Y31" i="3"/>
  <c r="Y29" i="3"/>
  <c r="Y25" i="3"/>
  <c r="Y19" i="3"/>
  <c r="Z20" i="3" a="1"/>
  <c r="Z20" i="3" s="1"/>
  <c r="Z33" i="3" a="1"/>
  <c r="Z33" i="3" s="1"/>
  <c r="AA32" i="3" a="1"/>
  <c r="Z25" i="3" a="1"/>
  <c r="Z25" i="3" s="1"/>
  <c r="AA30" i="3" a="1"/>
  <c r="AA30" i="3" s="1"/>
  <c r="AB30" i="3" s="1" a="1"/>
  <c r="AB30" i="3" s="1"/>
  <c r="AC31" i="3" s="1"/>
  <c r="AA14" i="3" a="1"/>
  <c r="AA14" i="3" s="1"/>
  <c r="AA24" i="3" a="1"/>
  <c r="AA24" i="3" s="1"/>
  <c r="Z36" i="3" a="1"/>
  <c r="Z36" i="3" s="1"/>
  <c r="Z37" i="3" a="1"/>
  <c r="Z37" i="3" s="1"/>
  <c r="Z34" i="3" a="1"/>
  <c r="Z34" i="3" s="1"/>
  <c r="AA34" i="3" a="1"/>
  <c r="AA34" i="3" s="1"/>
  <c r="Z16" i="3" a="1"/>
  <c r="Z16" i="3" s="1"/>
  <c r="Z17" i="3" a="1"/>
  <c r="Z17" i="3" s="1"/>
  <c r="AA16" i="3" a="1"/>
  <c r="AA16" i="3" s="1"/>
  <c r="AB17" i="3" s="1" a="1"/>
  <c r="Z43" i="3" a="1"/>
  <c r="Z43" i="3" s="1"/>
  <c r="AA40" i="3" a="1"/>
  <c r="AA40" i="3" s="1"/>
  <c r="Z15" i="3" a="1"/>
  <c r="Z15" i="3" s="1"/>
  <c r="Z28" i="3" a="1"/>
  <c r="Z28" i="3" s="1"/>
  <c r="AA28" i="3" a="1"/>
  <c r="AA28" i="3" s="1"/>
  <c r="Z29" i="3" a="1"/>
  <c r="Z29" i="3" s="1"/>
  <c r="Z26" i="3" a="1"/>
  <c r="Z26" i="3" s="1"/>
  <c r="Z27" i="3" a="1"/>
  <c r="Z27" i="3" s="1"/>
  <c r="Z22" i="3" a="1"/>
  <c r="Z22" i="3" s="1"/>
  <c r="Z23" i="3" a="1"/>
  <c r="Z23" i="3" s="1"/>
  <c r="Z35" i="3" a="1"/>
  <c r="Z35" i="3" s="1"/>
  <c r="AA18" i="3" a="1"/>
  <c r="AA18" i="3" s="1"/>
  <c r="Z19" i="3" a="1"/>
  <c r="Z19" i="3" s="1"/>
  <c r="AA36" i="3" a="1"/>
  <c r="AA36" i="3" s="1"/>
  <c r="AB37" i="3" s="1" a="1"/>
  <c r="Z41" i="3" a="1"/>
  <c r="Z41" i="3" s="1"/>
  <c r="Y37" i="3"/>
  <c r="Y41" i="3"/>
  <c r="Y33" i="3"/>
  <c r="L22" i="3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Y15" i="3"/>
  <c r="Z21" i="3"/>
  <c r="X16" i="3"/>
  <c r="AA32" i="3"/>
  <c r="Y38" i="3"/>
  <c r="AA20" i="3"/>
  <c r="AB20" i="3" s="1" a="1"/>
  <c r="AB20" i="3" s="1"/>
  <c r="AC21" i="3" s="1"/>
  <c r="Z31" i="3"/>
  <c r="Z30" i="3" a="1"/>
  <c r="Z30" i="3" s="1"/>
  <c r="Y21" i="3"/>
  <c r="A23" i="3"/>
  <c r="V13" i="3"/>
  <c r="W12" i="3"/>
  <c r="AC52" i="3" a="1"/>
  <c r="AC52" i="3" s="1"/>
  <c r="AB53" i="3" a="1"/>
  <c r="AB53" i="3" s="1"/>
  <c r="AB52" i="3" a="1"/>
  <c r="AB52" i="3" s="1"/>
  <c r="AB65" i="3" a="1"/>
  <c r="AB65" i="3" s="1"/>
  <c r="AC64" i="3" a="1"/>
  <c r="AC64" i="3" s="1"/>
  <c r="AB64" i="3" a="1"/>
  <c r="AB64" i="3" s="1"/>
  <c r="AC56" i="3" a="1"/>
  <c r="AC56" i="3" s="1"/>
  <c r="AB57" i="3" a="1"/>
  <c r="AB57" i="3" s="1"/>
  <c r="AB56" i="3" a="1"/>
  <c r="AB56" i="3" s="1"/>
  <c r="AB61" i="3" a="1"/>
  <c r="AB61" i="3" s="1"/>
  <c r="AC60" i="3" a="1"/>
  <c r="AC60" i="3" s="1"/>
  <c r="AB60" i="3" a="1"/>
  <c r="AB60" i="3" s="1"/>
  <c r="AB63" i="3" a="1"/>
  <c r="AB63" i="3" s="1"/>
  <c r="AC62" i="3" a="1"/>
  <c r="AC62" i="3" s="1"/>
  <c r="AB62" i="3" a="1"/>
  <c r="AB62" i="3" s="1"/>
  <c r="AB45" i="3" a="1"/>
  <c r="AB45" i="3" s="1"/>
  <c r="AC44" i="3" a="1"/>
  <c r="AC44" i="3" s="1"/>
  <c r="AB44" i="3" a="1"/>
  <c r="AB44" i="3" s="1"/>
  <c r="AB50" i="3" a="1"/>
  <c r="AB50" i="3" s="1"/>
  <c r="AB51" i="3" a="1"/>
  <c r="AB51" i="3" s="1"/>
  <c r="AC50" i="3" a="1"/>
  <c r="AC50" i="3" s="1"/>
  <c r="AB71" i="3" a="1"/>
  <c r="AB71" i="3" s="1"/>
  <c r="AB70" i="3" a="1"/>
  <c r="AB70" i="3" s="1"/>
  <c r="AC70" i="3" a="1"/>
  <c r="AC70" i="3" s="1"/>
  <c r="AC66" i="3" a="1"/>
  <c r="AC66" i="3" s="1"/>
  <c r="AB67" i="3" a="1"/>
  <c r="AB67" i="3" s="1"/>
  <c r="AB66" i="3" a="1"/>
  <c r="AB66" i="3" s="1"/>
  <c r="AB68" i="3" a="1"/>
  <c r="AB68" i="3" s="1"/>
  <c r="AB69" i="3" a="1"/>
  <c r="AB69" i="3" s="1"/>
  <c r="AC68" i="3" a="1"/>
  <c r="AC68" i="3" s="1"/>
  <c r="AB49" i="3" a="1"/>
  <c r="AB49" i="3" s="1"/>
  <c r="AC48" i="3" a="1"/>
  <c r="AC48" i="3" s="1"/>
  <c r="AB48" i="3" a="1"/>
  <c r="AB48" i="3" s="1"/>
  <c r="AB55" i="3" a="1"/>
  <c r="AB55" i="3" s="1"/>
  <c r="AC54" i="3" a="1"/>
  <c r="AC54" i="3" s="1"/>
  <c r="AB54" i="3" a="1"/>
  <c r="AB54" i="3" s="1"/>
  <c r="AC46" i="3" a="1"/>
  <c r="AC46" i="3" s="1"/>
  <c r="AB46" i="3" a="1"/>
  <c r="AB46" i="3" s="1"/>
  <c r="AB47" i="3" a="1"/>
  <c r="AB47" i="3" s="1"/>
  <c r="AB58" i="3" a="1"/>
  <c r="AB58" i="3" s="1"/>
  <c r="AB59" i="3" a="1"/>
  <c r="AB59" i="3" s="1"/>
  <c r="AC58" i="3" a="1"/>
  <c r="AC58" i="3" s="1"/>
  <c r="AA26" i="3" a="1"/>
  <c r="AA22" i="3" a="1"/>
  <c r="AA42" i="3" a="1"/>
  <c r="B24" i="2" a="1"/>
  <c r="C23" i="2" a="1"/>
  <c r="L23" i="3" a="1"/>
  <c r="AA43" i="3" l="1"/>
  <c r="AB41" i="3" a="1"/>
  <c r="AA37" i="3"/>
  <c r="AA35" i="3"/>
  <c r="AC32" i="3" a="1"/>
  <c r="AC32" i="3" s="1"/>
  <c r="AD32" i="3" s="1" a="1"/>
  <c r="AD32" i="3" s="1"/>
  <c r="AE33" i="3" s="1"/>
  <c r="AA31" i="3"/>
  <c r="AA29" i="3"/>
  <c r="AA27" i="3"/>
  <c r="AB24" i="3" a="1"/>
  <c r="AB24" i="3" s="1"/>
  <c r="AA23" i="3"/>
  <c r="AB14" i="3" a="1"/>
  <c r="AB14" i="3" s="1"/>
  <c r="AB34" i="3" a="1"/>
  <c r="AB34" i="3" s="1"/>
  <c r="AC34" i="3" a="1"/>
  <c r="AC34" i="3" s="1"/>
  <c r="AD34" i="3" s="1" a="1"/>
  <c r="AD34" i="3" s="1"/>
  <c r="AE35" i="3" s="1"/>
  <c r="AB15" i="3" a="1"/>
  <c r="AB15" i="3" s="1"/>
  <c r="AB33" i="3" a="1"/>
  <c r="AB33" i="3" s="1"/>
  <c r="AB25" i="3" a="1"/>
  <c r="AB25" i="3" s="1"/>
  <c r="AB18" i="3" a="1"/>
  <c r="AB18" i="3" s="1"/>
  <c r="AB19" i="3" a="1"/>
  <c r="AB19" i="3" s="1"/>
  <c r="AB28" i="3" a="1"/>
  <c r="AB28" i="3" s="1"/>
  <c r="AB29" i="3" a="1"/>
  <c r="AB29" i="3" s="1"/>
  <c r="AC28" i="3" a="1"/>
  <c r="AC28" i="3" s="1"/>
  <c r="AD28" i="3" s="1" a="1"/>
  <c r="AD28" i="3" s="1"/>
  <c r="AE29" i="3" s="1"/>
  <c r="AC20" i="3" a="1"/>
  <c r="AC20" i="3" s="1"/>
  <c r="AB31" i="3" a="1"/>
  <c r="AB31" i="3" s="1"/>
  <c r="AC40" i="3" a="1"/>
  <c r="AC40" i="3" s="1"/>
  <c r="AD40" i="3" s="1" a="1"/>
  <c r="AD40" i="3" s="1"/>
  <c r="AE41" i="3" s="1"/>
  <c r="AC30" i="3" a="1"/>
  <c r="AC30" i="3" s="1"/>
  <c r="AB35" i="3" a="1"/>
  <c r="AB35" i="3" s="1"/>
  <c r="AC24" i="3" a="1"/>
  <c r="AC24" i="3" s="1"/>
  <c r="AD24" i="3" s="1" a="1"/>
  <c r="AD24" i="3" s="1"/>
  <c r="AE25" i="3" s="1"/>
  <c r="C23" i="2"/>
  <c r="B24" i="2"/>
  <c r="AC14" i="3" a="1"/>
  <c r="AC14" i="3" s="1"/>
  <c r="AC18" i="3" a="1"/>
  <c r="AC18" i="3" s="1"/>
  <c r="AD18" i="3" s="1" a="1"/>
  <c r="AD18" i="3" s="1"/>
  <c r="AE19" i="3" s="1"/>
  <c r="AB21" i="3" a="1"/>
  <c r="AB21" i="3" s="1"/>
  <c r="AC16" i="3" a="1"/>
  <c r="AC16" i="3" s="1"/>
  <c r="AB16" i="3" a="1"/>
  <c r="AB16" i="3" s="1"/>
  <c r="AB40" i="3" a="1"/>
  <c r="AB40" i="3" s="1"/>
  <c r="AB36" i="3" a="1"/>
  <c r="AB36" i="3" s="1"/>
  <c r="AB32" i="3" a="1"/>
  <c r="AB32" i="3" s="1"/>
  <c r="L23" i="3"/>
  <c r="AC71" i="3"/>
  <c r="AC69" i="3"/>
  <c r="AC67" i="3"/>
  <c r="AC63" i="3"/>
  <c r="AC65" i="3"/>
  <c r="AC61" i="3"/>
  <c r="AC59" i="3"/>
  <c r="AC55" i="3"/>
  <c r="AC57" i="3"/>
  <c r="AC51" i="3"/>
  <c r="AC53" i="3"/>
  <c r="AC49" i="3"/>
  <c r="AC47" i="3"/>
  <c r="AC45" i="3"/>
  <c r="AA21" i="3"/>
  <c r="Y17" i="3"/>
  <c r="AB37" i="3"/>
  <c r="AA42" i="3"/>
  <c r="AA22" i="3"/>
  <c r="AB41" i="3"/>
  <c r="AB17" i="3"/>
  <c r="AA26" i="3"/>
  <c r="Z38" i="3" a="1"/>
  <c r="Z38" i="3" s="1"/>
  <c r="AA17" i="3"/>
  <c r="A24" i="3"/>
  <c r="AD58" i="3" a="1"/>
  <c r="AD58" i="3" s="1"/>
  <c r="AD59" i="3" a="1"/>
  <c r="AD59" i="3" s="1"/>
  <c r="AE58" i="3" a="1"/>
  <c r="AE58" i="3" s="1"/>
  <c r="AE66" i="3" a="1"/>
  <c r="AE66" i="3" s="1"/>
  <c r="AD67" i="3" a="1"/>
  <c r="AD67" i="3" s="1"/>
  <c r="AD66" i="3" a="1"/>
  <c r="AD66" i="3" s="1"/>
  <c r="AE48" i="3" a="1"/>
  <c r="AE48" i="3" s="1"/>
  <c r="AD48" i="3" a="1"/>
  <c r="AD48" i="3" s="1"/>
  <c r="AD49" i="3" a="1"/>
  <c r="AD49" i="3" s="1"/>
  <c r="AD57" i="3" a="1"/>
  <c r="AD57" i="3" s="1"/>
  <c r="AD56" i="3" a="1"/>
  <c r="AD56" i="3" s="1"/>
  <c r="AE56" i="3" a="1"/>
  <c r="AE56" i="3" s="1"/>
  <c r="X12" i="3" a="1"/>
  <c r="X12" i="3" s="1"/>
  <c r="Y13" i="3" s="1"/>
  <c r="AD51" i="3" a="1"/>
  <c r="AD51" i="3" s="1"/>
  <c r="AD50" i="3" a="1"/>
  <c r="AD50" i="3" s="1"/>
  <c r="AE50" i="3" a="1"/>
  <c r="AE50" i="3" s="1"/>
  <c r="AE70" i="3" a="1"/>
  <c r="AE70" i="3" s="1"/>
  <c r="AD71" i="3" a="1"/>
  <c r="AD71" i="3" s="1"/>
  <c r="AD70" i="3" a="1"/>
  <c r="AD70" i="3" s="1"/>
  <c r="AD63" i="3" a="1"/>
  <c r="AD63" i="3" s="1"/>
  <c r="AE62" i="3" a="1"/>
  <c r="AE62" i="3" s="1"/>
  <c r="AD62" i="3" a="1"/>
  <c r="AD62" i="3" s="1"/>
  <c r="AD65" i="3" a="1"/>
  <c r="AD65" i="3" s="1"/>
  <c r="AE64" i="3" a="1"/>
  <c r="AE64" i="3" s="1"/>
  <c r="AD64" i="3" a="1"/>
  <c r="AD64" i="3" s="1"/>
  <c r="AE44" i="3" a="1"/>
  <c r="AE44" i="3" s="1"/>
  <c r="AD44" i="3" a="1"/>
  <c r="AD44" i="3" s="1"/>
  <c r="AD45" i="3" a="1"/>
  <c r="AD45" i="3" s="1"/>
  <c r="AE60" i="3" a="1"/>
  <c r="AE60" i="3" s="1"/>
  <c r="AD61" i="3" a="1"/>
  <c r="AD61" i="3" s="1"/>
  <c r="AD60" i="3" a="1"/>
  <c r="AD60" i="3" s="1"/>
  <c r="AE68" i="3" a="1"/>
  <c r="AE68" i="3" s="1"/>
  <c r="AD69" i="3" a="1"/>
  <c r="AD69" i="3" s="1"/>
  <c r="AD68" i="3" a="1"/>
  <c r="AD68" i="3" s="1"/>
  <c r="AD46" i="3" a="1"/>
  <c r="AD46" i="3" s="1"/>
  <c r="AD47" i="3" a="1"/>
  <c r="AD47" i="3" s="1"/>
  <c r="AE46" i="3" a="1"/>
  <c r="AE46" i="3" s="1"/>
  <c r="AE54" i="3" a="1"/>
  <c r="AE54" i="3" s="1"/>
  <c r="AD54" i="3" a="1"/>
  <c r="AD54" i="3" s="1"/>
  <c r="AD55" i="3" a="1"/>
  <c r="AD55" i="3" s="1"/>
  <c r="AD52" i="3" a="1"/>
  <c r="AD52" i="3" s="1"/>
  <c r="AD53" i="3" a="1"/>
  <c r="AD53" i="3" s="1"/>
  <c r="AE52" i="3" a="1"/>
  <c r="AE52" i="3" s="1"/>
  <c r="Z39" i="3" a="1"/>
  <c r="AA38" i="3" a="1"/>
  <c r="AC36" i="3" a="1"/>
  <c r="Y12" i="3" a="1"/>
  <c r="L24" i="3" a="1"/>
  <c r="X13" i="3" a="1"/>
  <c r="AA39" i="3" l="1"/>
  <c r="AC35" i="3"/>
  <c r="AD30" i="3" a="1"/>
  <c r="AD30" i="3" s="1"/>
  <c r="AC29" i="3"/>
  <c r="AE32" i="3" a="1"/>
  <c r="AE32" i="3" s="1"/>
  <c r="AC25" i="3"/>
  <c r="AD20" i="3" a="1"/>
  <c r="AD20" i="3" s="1"/>
  <c r="AC19" i="3"/>
  <c r="AD33" i="3" a="1"/>
  <c r="AD33" i="3" s="1"/>
  <c r="AC15" i="3"/>
  <c r="AE34" i="3" a="1"/>
  <c r="AE34" i="3" s="1"/>
  <c r="AD25" i="3" a="1"/>
  <c r="AD25" i="3" s="1"/>
  <c r="AE24" i="3" a="1"/>
  <c r="AE24" i="3" s="1"/>
  <c r="AD14" i="3" a="1"/>
  <c r="AD14" i="3" s="1"/>
  <c r="AD15" i="3" a="1"/>
  <c r="AD15" i="3" s="1"/>
  <c r="AE14" i="3" a="1"/>
  <c r="AE14" i="3" s="1"/>
  <c r="AD17" i="3" a="1"/>
  <c r="AD17" i="3" s="1"/>
  <c r="AD16" i="3" a="1"/>
  <c r="AD16" i="3" s="1"/>
  <c r="AD19" i="3" a="1"/>
  <c r="AD19" i="3" s="1"/>
  <c r="AE40" i="3" a="1"/>
  <c r="AE40" i="3" s="1"/>
  <c r="AD35" i="3" a="1"/>
  <c r="AD35" i="3" s="1"/>
  <c r="AE30" i="3" a="1"/>
  <c r="AE30" i="3" s="1"/>
  <c r="AF30" i="3" s="1" a="1"/>
  <c r="AF30" i="3" s="1"/>
  <c r="AG31" i="3" s="1"/>
  <c r="AE20" i="3" a="1"/>
  <c r="AE20" i="3" s="1"/>
  <c r="AD29" i="3" a="1"/>
  <c r="AD29" i="3" s="1"/>
  <c r="AE28" i="3" a="1"/>
  <c r="AE28" i="3" s="1"/>
  <c r="AD21" i="3" a="1"/>
  <c r="AD21" i="3" s="1"/>
  <c r="AD31" i="3" a="1"/>
  <c r="AD31" i="3" s="1"/>
  <c r="AC33" i="3"/>
  <c r="AC37" i="3"/>
  <c r="AC41" i="3"/>
  <c r="L24" i="3"/>
  <c r="AE71" i="3"/>
  <c r="AE69" i="3"/>
  <c r="AE67" i="3"/>
  <c r="AE63" i="3"/>
  <c r="AE65" i="3"/>
  <c r="AE59" i="3"/>
  <c r="AE61" i="3"/>
  <c r="AE57" i="3"/>
  <c r="AE55" i="3"/>
  <c r="AE53" i="3"/>
  <c r="AE51" i="3"/>
  <c r="AE47" i="3"/>
  <c r="AE49" i="3"/>
  <c r="AE45" i="3"/>
  <c r="AC36" i="3"/>
  <c r="AA38" i="3"/>
  <c r="Z39" i="3"/>
  <c r="AB26" i="3" a="1"/>
  <c r="AB26" i="3" s="1"/>
  <c r="AC17" i="3"/>
  <c r="A25" i="3"/>
  <c r="AB42" i="3" a="1"/>
  <c r="AB42" i="3" s="1"/>
  <c r="AB22" i="3" a="1"/>
  <c r="AB22" i="3" s="1"/>
  <c r="X13" i="3"/>
  <c r="Y12" i="3"/>
  <c r="AF65" i="3" a="1"/>
  <c r="AF65" i="3" s="1"/>
  <c r="AG64" i="3" a="1"/>
  <c r="AG64" i="3" s="1"/>
  <c r="AF64" i="3" a="1"/>
  <c r="AF64" i="3" s="1"/>
  <c r="AF50" i="3" a="1"/>
  <c r="AF50" i="3" s="1"/>
  <c r="AF51" i="3" a="1"/>
  <c r="AF51" i="3" s="1"/>
  <c r="AG50" i="3" a="1"/>
  <c r="AG50" i="3" s="1"/>
  <c r="AG56" i="3" a="1"/>
  <c r="AG56" i="3" s="1"/>
  <c r="AF56" i="3" a="1"/>
  <c r="AF56" i="3" s="1"/>
  <c r="AF57" i="3" a="1"/>
  <c r="AF57" i="3" s="1"/>
  <c r="AF53" i="3" a="1"/>
  <c r="AF53" i="3" s="1"/>
  <c r="AG52" i="3" a="1"/>
  <c r="AG52" i="3" s="1"/>
  <c r="AF52" i="3" a="1"/>
  <c r="AF52" i="3" s="1"/>
  <c r="AF45" i="3" a="1"/>
  <c r="AF45" i="3" s="1"/>
  <c r="AG44" i="3" a="1"/>
  <c r="AG44" i="3" s="1"/>
  <c r="AF44" i="3" a="1"/>
  <c r="AF44" i="3" s="1"/>
  <c r="AF61" i="3" a="1"/>
  <c r="AF61" i="3" s="1"/>
  <c r="AG60" i="3" a="1"/>
  <c r="AG60" i="3" s="1"/>
  <c r="AF60" i="3" a="1"/>
  <c r="AF60" i="3" s="1"/>
  <c r="AG62" i="3" a="1"/>
  <c r="AG62" i="3" s="1"/>
  <c r="AF62" i="3" a="1"/>
  <c r="AF62" i="3" s="1"/>
  <c r="AF63" i="3" a="1"/>
  <c r="AF63" i="3" s="1"/>
  <c r="AF59" i="3" a="1"/>
  <c r="AF59" i="3" s="1"/>
  <c r="AF58" i="3" a="1"/>
  <c r="AF58" i="3" s="1"/>
  <c r="AG58" i="3" a="1"/>
  <c r="AG58" i="3" s="1"/>
  <c r="AF55" i="3" a="1"/>
  <c r="AF55" i="3" s="1"/>
  <c r="AG54" i="3" a="1"/>
  <c r="AG54" i="3" s="1"/>
  <c r="AF54" i="3" a="1"/>
  <c r="AF54" i="3" s="1"/>
  <c r="AG66" i="3" a="1"/>
  <c r="AG66" i="3" s="1"/>
  <c r="AF67" i="3" a="1"/>
  <c r="AF67" i="3" s="1"/>
  <c r="AF66" i="3" a="1"/>
  <c r="AF66" i="3" s="1"/>
  <c r="AG46" i="3" a="1"/>
  <c r="AG46" i="3" s="1"/>
  <c r="AF47" i="3" a="1"/>
  <c r="AF47" i="3" s="1"/>
  <c r="AF46" i="3" a="1"/>
  <c r="AF46" i="3" s="1"/>
  <c r="AF68" i="3" a="1"/>
  <c r="AF68" i="3" s="1"/>
  <c r="AF69" i="3" a="1"/>
  <c r="AF69" i="3" s="1"/>
  <c r="AG68" i="3" a="1"/>
  <c r="AG68" i="3" s="1"/>
  <c r="AF70" i="3" a="1"/>
  <c r="AF70" i="3" s="1"/>
  <c r="AF71" i="3" a="1"/>
  <c r="AF71" i="3" s="1"/>
  <c r="AG70" i="3" a="1"/>
  <c r="AG70" i="3" s="1"/>
  <c r="AF49" i="3" a="1"/>
  <c r="AF49" i="3" s="1"/>
  <c r="AG48" i="3" a="1"/>
  <c r="AG48" i="3" s="1"/>
  <c r="AF48" i="3" a="1"/>
  <c r="AF48" i="3" s="1"/>
  <c r="AC26" i="3" a="1"/>
  <c r="AB43" i="3" a="1"/>
  <c r="AB23" i="3" a="1"/>
  <c r="AE16" i="3" a="1"/>
  <c r="AC22" i="3" a="1"/>
  <c r="AE18" i="3" a="1"/>
  <c r="AD41" i="3" a="1"/>
  <c r="AB27" i="3" a="1"/>
  <c r="AC42" i="3" a="1"/>
  <c r="B25" i="2" a="1"/>
  <c r="L25" i="3" a="1"/>
  <c r="C24" i="2" a="1"/>
  <c r="AC43" i="3" l="1"/>
  <c r="AF34" i="3" a="1"/>
  <c r="AF34" i="3" s="1"/>
  <c r="AF33" i="3" a="1"/>
  <c r="AE31" i="3"/>
  <c r="AC27" i="3"/>
  <c r="AF24" i="3" a="1"/>
  <c r="AF24" i="3" s="1"/>
  <c r="AC23" i="3"/>
  <c r="AE21" i="3"/>
  <c r="AF20" i="3" a="1"/>
  <c r="AF20" i="3" s="1"/>
  <c r="AF21" i="3" a="1"/>
  <c r="AF21" i="3" s="1"/>
  <c r="AE15" i="3"/>
  <c r="AF31" i="3" a="1"/>
  <c r="AF31" i="3" s="1"/>
  <c r="AG30" i="3" a="1"/>
  <c r="AG30" i="3" s="1"/>
  <c r="AG24" i="3" a="1"/>
  <c r="AG24" i="3" s="1"/>
  <c r="AH24" i="3" s="1" a="1"/>
  <c r="AH24" i="3" s="1"/>
  <c r="AI25" i="3" s="1"/>
  <c r="AG40" i="3" a="1"/>
  <c r="AG40" i="3" s="1"/>
  <c r="AH40" i="3" s="1" a="1"/>
  <c r="AH40" i="3" s="1"/>
  <c r="AI41" i="3" s="1"/>
  <c r="AF41" i="3" a="1"/>
  <c r="AF41" i="3" s="1"/>
  <c r="AF14" i="3" a="1"/>
  <c r="AF14" i="3" s="1"/>
  <c r="AG14" i="3" a="1"/>
  <c r="AG14" i="3" s="1"/>
  <c r="AH14" i="3" s="1" a="1"/>
  <c r="AH14" i="3" s="1"/>
  <c r="AI15" i="3" s="1"/>
  <c r="AF15" i="3" a="1"/>
  <c r="AF15" i="3" s="1"/>
  <c r="AG20" i="3" a="1"/>
  <c r="AG20" i="3" s="1"/>
  <c r="AF25" i="3" a="1"/>
  <c r="AF25" i="3" s="1"/>
  <c r="C24" i="2"/>
  <c r="B25" i="2"/>
  <c r="AF28" i="3" a="1"/>
  <c r="AF28" i="3" s="1"/>
  <c r="AF29" i="3" a="1"/>
  <c r="AF29" i="3" s="1"/>
  <c r="AG28" i="3" a="1"/>
  <c r="AG28" i="3" s="1"/>
  <c r="AF35" i="3" a="1"/>
  <c r="AF35" i="3" s="1"/>
  <c r="AG34" i="3" a="1"/>
  <c r="AG34" i="3" s="1"/>
  <c r="AF40" i="3" a="1"/>
  <c r="AF40" i="3" s="1"/>
  <c r="AF32" i="3" a="1"/>
  <c r="AF32" i="3" s="1"/>
  <c r="L25" i="3"/>
  <c r="AG71" i="3"/>
  <c r="AG67" i="3"/>
  <c r="AG69" i="3"/>
  <c r="AG65" i="3"/>
  <c r="AG63" i="3"/>
  <c r="AG61" i="3"/>
  <c r="AG59" i="3"/>
  <c r="AG55" i="3"/>
  <c r="AG57" i="3"/>
  <c r="AG51" i="3"/>
  <c r="AG53" i="3"/>
  <c r="AG49" i="3"/>
  <c r="AG47" i="3"/>
  <c r="AG45" i="3"/>
  <c r="AF33" i="3"/>
  <c r="AC42" i="3"/>
  <c r="AB27" i="3"/>
  <c r="AD41" i="3"/>
  <c r="AE18" i="3"/>
  <c r="AC22" i="3"/>
  <c r="AE16" i="3"/>
  <c r="AB23" i="3"/>
  <c r="AB43" i="3"/>
  <c r="AC26" i="3"/>
  <c r="AE17" i="3"/>
  <c r="A26" i="3"/>
  <c r="AD36" i="3" a="1"/>
  <c r="AD36" i="3" s="1"/>
  <c r="AB38" i="3" a="1"/>
  <c r="AB38" i="3" s="1"/>
  <c r="AI48" i="3" a="1"/>
  <c r="AI48" i="3" s="1"/>
  <c r="AH48" i="3" a="1"/>
  <c r="AH48" i="3" s="1"/>
  <c r="AH49" i="3" a="1"/>
  <c r="AH49" i="3" s="1"/>
  <c r="AH67" i="3" a="1"/>
  <c r="AH67" i="3" s="1"/>
  <c r="AI66" i="3" a="1"/>
  <c r="AI66" i="3" s="1"/>
  <c r="AH66" i="3" a="1"/>
  <c r="AH66" i="3" s="1"/>
  <c r="AH55" i="3" a="1"/>
  <c r="AH55" i="3" s="1"/>
  <c r="AI54" i="3" a="1"/>
  <c r="AI54" i="3" s="1"/>
  <c r="AH54" i="3" a="1"/>
  <c r="AH54" i="3" s="1"/>
  <c r="AI62" i="3" a="1"/>
  <c r="AI62" i="3" s="1"/>
  <c r="AH62" i="3" a="1"/>
  <c r="AH62" i="3" s="1"/>
  <c r="AH63" i="3" a="1"/>
  <c r="AH63" i="3" s="1"/>
  <c r="AH57" i="3" a="1"/>
  <c r="AH57" i="3" s="1"/>
  <c r="AH56" i="3" a="1"/>
  <c r="AH56" i="3" s="1"/>
  <c r="AI56" i="3" a="1"/>
  <c r="AI56" i="3" s="1"/>
  <c r="AH51" i="3" a="1"/>
  <c r="AH51" i="3" s="1"/>
  <c r="AH50" i="3" a="1"/>
  <c r="AH50" i="3" s="1"/>
  <c r="AI50" i="3" a="1"/>
  <c r="AI50" i="3" s="1"/>
  <c r="AH52" i="3" a="1"/>
  <c r="AH52" i="3" s="1"/>
  <c r="AI52" i="3" a="1"/>
  <c r="AI52" i="3" s="1"/>
  <c r="AH53" i="3" a="1"/>
  <c r="AH53" i="3" s="1"/>
  <c r="AI60" i="3" a="1"/>
  <c r="AI60" i="3" s="1"/>
  <c r="AH60" i="3" a="1"/>
  <c r="AH60" i="3" s="1"/>
  <c r="AH61" i="3" a="1"/>
  <c r="AH61" i="3" s="1"/>
  <c r="AI46" i="3" a="1"/>
  <c r="AI46" i="3" s="1"/>
  <c r="AH46" i="3" a="1"/>
  <c r="AH46" i="3" s="1"/>
  <c r="AH47" i="3" a="1"/>
  <c r="AH47" i="3" s="1"/>
  <c r="AI70" i="3" a="1"/>
  <c r="AI70" i="3" s="1"/>
  <c r="AH70" i="3" a="1"/>
  <c r="AH70" i="3" s="1"/>
  <c r="AH71" i="3" a="1"/>
  <c r="AH71" i="3" s="1"/>
  <c r="AH58" i="3" a="1"/>
  <c r="AH58" i="3" s="1"/>
  <c r="AH59" i="3" a="1"/>
  <c r="AH59" i="3" s="1"/>
  <c r="AI58" i="3" a="1"/>
  <c r="AI58" i="3" s="1"/>
  <c r="AH65" i="3" a="1"/>
  <c r="AH65" i="3" s="1"/>
  <c r="AH64" i="3" a="1"/>
  <c r="AH64" i="3" s="1"/>
  <c r="AI64" i="3" a="1"/>
  <c r="AI64" i="3" s="1"/>
  <c r="AI68" i="3" a="1"/>
  <c r="AI68" i="3" s="1"/>
  <c r="AH69" i="3" a="1"/>
  <c r="AH69" i="3" s="1"/>
  <c r="AH68" i="3" a="1"/>
  <c r="AH68" i="3" s="1"/>
  <c r="AI44" i="3" a="1"/>
  <c r="AI44" i="3" s="1"/>
  <c r="AH44" i="3" a="1"/>
  <c r="AH44" i="3" s="1"/>
  <c r="AH45" i="3" a="1"/>
  <c r="AH45" i="3" s="1"/>
  <c r="Z12" i="3" a="1"/>
  <c r="Z12" i="3" s="1"/>
  <c r="AA13" i="3" s="1"/>
  <c r="AB39" i="3" a="1"/>
  <c r="AG32" i="3" a="1"/>
  <c r="AC38" i="3" a="1"/>
  <c r="AE36" i="3" a="1"/>
  <c r="AD37" i="3" a="1"/>
  <c r="L26" i="3" a="1"/>
  <c r="Z13" i="3" a="1"/>
  <c r="AA12" i="3" a="1"/>
  <c r="AC39" i="3" l="1"/>
  <c r="AG35" i="3"/>
  <c r="AH30" i="3" a="1"/>
  <c r="AH30" i="3" s="1"/>
  <c r="AG29" i="3"/>
  <c r="AG25" i="3"/>
  <c r="AG21" i="3"/>
  <c r="AG15" i="3"/>
  <c r="AH25" i="3" a="1"/>
  <c r="AH25" i="3" s="1"/>
  <c r="AH20" i="3" a="1"/>
  <c r="AH20" i="3" s="1"/>
  <c r="AI20" i="3" a="1"/>
  <c r="AI20" i="3" s="1"/>
  <c r="AJ20" i="3" s="1" a="1"/>
  <c r="AJ20" i="3" s="1"/>
  <c r="AK21" i="3" s="1"/>
  <c r="AI14" i="3" a="1"/>
  <c r="AI14" i="3" s="1"/>
  <c r="AH34" i="3" a="1"/>
  <c r="AH34" i="3" s="1"/>
  <c r="AI34" i="3" a="1"/>
  <c r="AI34" i="3" s="1"/>
  <c r="AJ34" i="3" s="1" a="1"/>
  <c r="AJ34" i="3" s="1"/>
  <c r="AK35" i="3" s="1"/>
  <c r="AH35" i="3" a="1"/>
  <c r="AH35" i="3" s="1"/>
  <c r="AH28" i="3" a="1"/>
  <c r="AH28" i="3" s="1"/>
  <c r="AH29" i="3" a="1"/>
  <c r="AH29" i="3" s="1"/>
  <c r="AI28" i="3" a="1"/>
  <c r="AI28" i="3" s="1"/>
  <c r="AJ28" i="3" s="1" a="1"/>
  <c r="AJ28" i="3" s="1"/>
  <c r="AK29" i="3" s="1"/>
  <c r="D24" i="2" a="1"/>
  <c r="D24" i="2" s="1"/>
  <c r="E24" i="2" a="1"/>
  <c r="E24" i="2" s="1"/>
  <c r="AH21" i="3" a="1"/>
  <c r="AH21" i="3" s="1"/>
  <c r="AI40" i="3" a="1"/>
  <c r="AI40" i="3" s="1"/>
  <c r="AH31" i="3" a="1"/>
  <c r="AH31" i="3" s="1"/>
  <c r="AH41" i="3" a="1"/>
  <c r="AH41" i="3" s="1"/>
  <c r="AH15" i="3" a="1"/>
  <c r="AH15" i="3" s="1"/>
  <c r="AI24" i="3" a="1"/>
  <c r="AI24" i="3" s="1"/>
  <c r="AI30" i="3" a="1"/>
  <c r="AI30" i="3" s="1"/>
  <c r="AJ31" i="3" s="1" a="1"/>
  <c r="AE37" i="3"/>
  <c r="AG33" i="3"/>
  <c r="AG41" i="3"/>
  <c r="L26" i="3"/>
  <c r="AI71" i="3"/>
  <c r="AI69" i="3"/>
  <c r="AI67" i="3"/>
  <c r="AI65" i="3"/>
  <c r="AI63" i="3"/>
  <c r="AI59" i="3"/>
  <c r="AI61" i="3"/>
  <c r="AI55" i="3"/>
  <c r="AI57" i="3"/>
  <c r="AI53" i="3"/>
  <c r="AI51" i="3"/>
  <c r="AI49" i="3"/>
  <c r="AI47" i="3"/>
  <c r="AI45" i="3"/>
  <c r="AD37" i="3"/>
  <c r="AE36" i="3"/>
  <c r="AC38" i="3"/>
  <c r="AG32" i="3"/>
  <c r="AB39" i="3"/>
  <c r="AD22" i="3" a="1"/>
  <c r="AD22" i="3" s="1"/>
  <c r="AF18" i="3" a="1"/>
  <c r="AF18" i="3" s="1"/>
  <c r="AD42" i="3" a="1"/>
  <c r="AD42" i="3" s="1"/>
  <c r="A27" i="3"/>
  <c r="AD26" i="3" a="1"/>
  <c r="AD26" i="3" s="1"/>
  <c r="Z13" i="3"/>
  <c r="AA12" i="3"/>
  <c r="AJ70" i="3" a="1"/>
  <c r="AJ70" i="3" s="1"/>
  <c r="AJ71" i="3" a="1"/>
  <c r="AJ71" i="3" s="1"/>
  <c r="AK70" i="3" a="1"/>
  <c r="AK70" i="3" s="1"/>
  <c r="AJ59" i="3" a="1"/>
  <c r="AJ59" i="3" s="1"/>
  <c r="AJ58" i="3" a="1"/>
  <c r="AJ58" i="3" s="1"/>
  <c r="AK58" i="3" a="1"/>
  <c r="AK58" i="3" s="1"/>
  <c r="AJ53" i="3" a="1"/>
  <c r="AJ53" i="3" s="1"/>
  <c r="AK52" i="3" a="1"/>
  <c r="AK52" i="3" s="1"/>
  <c r="AJ52" i="3" a="1"/>
  <c r="AJ52" i="3" s="1"/>
  <c r="AJ50" i="3" a="1"/>
  <c r="AJ50" i="3" s="1"/>
  <c r="AJ51" i="3" a="1"/>
  <c r="AJ51" i="3" s="1"/>
  <c r="AK50" i="3" a="1"/>
  <c r="AK50" i="3" s="1"/>
  <c r="AJ55" i="3" a="1"/>
  <c r="AJ55" i="3" s="1"/>
  <c r="AK54" i="3" a="1"/>
  <c r="AK54" i="3" s="1"/>
  <c r="AJ54" i="3" a="1"/>
  <c r="AJ54" i="3" s="1"/>
  <c r="AJ64" i="3" a="1"/>
  <c r="AJ64" i="3" s="1"/>
  <c r="AJ65" i="3" a="1"/>
  <c r="AJ65" i="3" s="1"/>
  <c r="AK64" i="3" a="1"/>
  <c r="AK64" i="3" s="1"/>
  <c r="AJ61" i="3" a="1"/>
  <c r="AJ61" i="3" s="1"/>
  <c r="AK60" i="3" a="1"/>
  <c r="AK60" i="3" s="1"/>
  <c r="AJ60" i="3" a="1"/>
  <c r="AJ60" i="3" s="1"/>
  <c r="AJ67" i="3" a="1"/>
  <c r="AJ67" i="3" s="1"/>
  <c r="AK66" i="3" a="1"/>
  <c r="AK66" i="3" s="1"/>
  <c r="AJ66" i="3" a="1"/>
  <c r="AJ66" i="3" s="1"/>
  <c r="AJ68" i="3" a="1"/>
  <c r="AJ68" i="3" s="1"/>
  <c r="AJ69" i="3" a="1"/>
  <c r="AJ69" i="3" s="1"/>
  <c r="AK68" i="3" a="1"/>
  <c r="AK68" i="3" s="1"/>
  <c r="AJ47" i="3" a="1"/>
  <c r="AJ47" i="3" s="1"/>
  <c r="AK46" i="3" a="1"/>
  <c r="AK46" i="3" s="1"/>
  <c r="AJ46" i="3" a="1"/>
  <c r="AJ46" i="3" s="1"/>
  <c r="AJ45" i="3" a="1"/>
  <c r="AJ45" i="3" s="1"/>
  <c r="AK44" i="3" a="1"/>
  <c r="AK44" i="3" s="1"/>
  <c r="AJ44" i="3" a="1"/>
  <c r="AJ44" i="3" s="1"/>
  <c r="AJ57" i="3" a="1"/>
  <c r="AJ57" i="3" s="1"/>
  <c r="AK56" i="3" a="1"/>
  <c r="AK56" i="3" s="1"/>
  <c r="AJ56" i="3" a="1"/>
  <c r="AJ56" i="3" s="1"/>
  <c r="AJ62" i="3" a="1"/>
  <c r="AJ62" i="3" s="1"/>
  <c r="AJ63" i="3" a="1"/>
  <c r="AJ63" i="3" s="1"/>
  <c r="AK62" i="3" a="1"/>
  <c r="AK62" i="3" s="1"/>
  <c r="AJ49" i="3" a="1"/>
  <c r="AJ49" i="3" s="1"/>
  <c r="AK48" i="3" a="1"/>
  <c r="AK48" i="3" s="1"/>
  <c r="AJ48" i="3" a="1"/>
  <c r="AJ48" i="3" s="1"/>
  <c r="AF16" i="3" a="1"/>
  <c r="AE42" i="3" a="1"/>
  <c r="AG16" i="3" a="1"/>
  <c r="AE22" i="3" a="1"/>
  <c r="AD23" i="3" a="1"/>
  <c r="AF17" i="3" a="1"/>
  <c r="AF19" i="3" a="1"/>
  <c r="AD27" i="3" a="1"/>
  <c r="AG18" i="3" a="1"/>
  <c r="AE26" i="3" a="1"/>
  <c r="AD43" i="3" a="1"/>
  <c r="B26" i="2" a="1"/>
  <c r="L27" i="3" a="1"/>
  <c r="C25" i="2" a="1"/>
  <c r="AE43" i="3" l="1"/>
  <c r="AJ41" i="3" a="1"/>
  <c r="AI35" i="3"/>
  <c r="AI31" i="3"/>
  <c r="AI29" i="3"/>
  <c r="AE27" i="3"/>
  <c r="AJ24" i="3" a="1"/>
  <c r="AJ24" i="3" s="1"/>
  <c r="AE23" i="3"/>
  <c r="AI21" i="3"/>
  <c r="AG19" i="3"/>
  <c r="AJ14" i="3" a="1"/>
  <c r="AJ14" i="3" s="1"/>
  <c r="AK40" i="3" a="1"/>
  <c r="AK40" i="3" s="1"/>
  <c r="AL40" i="3" s="1" a="1"/>
  <c r="AL40" i="3" s="1"/>
  <c r="AM41" i="3" s="1"/>
  <c r="AJ35" i="3" a="1"/>
  <c r="AJ35" i="3" s="1"/>
  <c r="AJ29" i="3" a="1"/>
  <c r="AJ29" i="3" s="1"/>
  <c r="C25" i="2"/>
  <c r="F25" i="2" s="1" a="1"/>
  <c r="F25" i="2" s="1"/>
  <c r="B26" i="2"/>
  <c r="AK20" i="3" a="1"/>
  <c r="AK20" i="3" s="1"/>
  <c r="AK14" i="3" a="1"/>
  <c r="AK14" i="3" s="1"/>
  <c r="AK30" i="3" a="1"/>
  <c r="AK30" i="3" s="1"/>
  <c r="AJ15" i="3" a="1"/>
  <c r="AJ15" i="3" s="1"/>
  <c r="AK34" i="3" a="1"/>
  <c r="AK34" i="3" s="1"/>
  <c r="AJ25" i="3" a="1"/>
  <c r="AJ25" i="3" s="1"/>
  <c r="AJ40" i="3" a="1"/>
  <c r="AJ40" i="3" s="1"/>
  <c r="L27" i="3"/>
  <c r="AK71" i="3"/>
  <c r="AK69" i="3"/>
  <c r="AK67" i="3"/>
  <c r="AK65" i="3"/>
  <c r="AK63" i="3"/>
  <c r="AK61" i="3"/>
  <c r="AK59" i="3"/>
  <c r="AK55" i="3"/>
  <c r="AK57" i="3"/>
  <c r="AK51" i="3"/>
  <c r="AK53" i="3"/>
  <c r="AK49" i="3"/>
  <c r="AK47" i="3"/>
  <c r="AK45" i="3"/>
  <c r="AD43" i="3"/>
  <c r="AE26" i="3"/>
  <c r="AG18" i="3"/>
  <c r="AD27" i="3"/>
  <c r="AF19" i="3"/>
  <c r="AF17" i="3"/>
  <c r="AD23" i="3"/>
  <c r="AJ31" i="3"/>
  <c r="AE22" i="3"/>
  <c r="AJ41" i="3"/>
  <c r="AG16" i="3"/>
  <c r="AE42" i="3"/>
  <c r="AF16" i="3"/>
  <c r="AH32" i="3" a="1"/>
  <c r="AH32" i="3" s="1"/>
  <c r="AD38" i="3" a="1"/>
  <c r="AD38" i="3" s="1"/>
  <c r="AF36" i="3" a="1"/>
  <c r="AF36" i="3" s="1"/>
  <c r="AJ30" i="3" a="1"/>
  <c r="AJ30" i="3" s="1"/>
  <c r="A28" i="3"/>
  <c r="AL57" i="3" a="1"/>
  <c r="AL57" i="3" s="1"/>
  <c r="AL56" i="3" a="1"/>
  <c r="AL56" i="3" s="1"/>
  <c r="AM56" i="3" a="1"/>
  <c r="AM56" i="3" s="1"/>
  <c r="AM48" i="3" a="1"/>
  <c r="AM48" i="3" s="1"/>
  <c r="AL49" i="3" a="1"/>
  <c r="AL49" i="3" s="1"/>
  <c r="AL48" i="3" a="1"/>
  <c r="AL48" i="3" s="1"/>
  <c r="AM62" i="3" a="1"/>
  <c r="AM62" i="3" s="1"/>
  <c r="AL63" i="3" a="1"/>
  <c r="AL63" i="3" s="1"/>
  <c r="AL62" i="3" a="1"/>
  <c r="AL62" i="3" s="1"/>
  <c r="AM44" i="3" a="1"/>
  <c r="AM44" i="3" s="1"/>
  <c r="AL45" i="3" a="1"/>
  <c r="AL45" i="3" s="1"/>
  <c r="AL44" i="3" a="1"/>
  <c r="AL44" i="3" s="1"/>
  <c r="AL67" i="3" a="1"/>
  <c r="AL67" i="3" s="1"/>
  <c r="AM66" i="3" a="1"/>
  <c r="AM66" i="3" s="1"/>
  <c r="AL66" i="3" a="1"/>
  <c r="AL66" i="3" s="1"/>
  <c r="AL58" i="3" a="1"/>
  <c r="AL58" i="3" s="1"/>
  <c r="AL59" i="3" a="1"/>
  <c r="AL59" i="3" s="1"/>
  <c r="AM58" i="3" a="1"/>
  <c r="AM58" i="3" s="1"/>
  <c r="AM68" i="3" a="1"/>
  <c r="AM68" i="3" s="1"/>
  <c r="AL69" i="3" a="1"/>
  <c r="AL69" i="3" s="1"/>
  <c r="AL68" i="3" a="1"/>
  <c r="AL68" i="3" s="1"/>
  <c r="AM60" i="3" a="1"/>
  <c r="AM60" i="3" s="1"/>
  <c r="AL61" i="3" a="1"/>
  <c r="AL61" i="3" s="1"/>
  <c r="AL60" i="3" a="1"/>
  <c r="AL60" i="3" s="1"/>
  <c r="AL65" i="3" a="1"/>
  <c r="AL65" i="3" s="1"/>
  <c r="AM64" i="3" a="1"/>
  <c r="AM64" i="3" s="1"/>
  <c r="AL64" i="3" a="1"/>
  <c r="AL64" i="3" s="1"/>
  <c r="AL52" i="3" a="1"/>
  <c r="AL52" i="3" s="1"/>
  <c r="AL53" i="3" a="1"/>
  <c r="AL53" i="3" s="1"/>
  <c r="AM52" i="3" a="1"/>
  <c r="AM52" i="3" s="1"/>
  <c r="AM70" i="3" a="1"/>
  <c r="AM70" i="3" s="1"/>
  <c r="AL71" i="3" a="1"/>
  <c r="AL71" i="3" s="1"/>
  <c r="AL70" i="3" a="1"/>
  <c r="AL70" i="3" s="1"/>
  <c r="AL47" i="3" a="1"/>
  <c r="AL47" i="3" s="1"/>
  <c r="AM46" i="3" a="1"/>
  <c r="AM46" i="3" s="1"/>
  <c r="AL46" i="3" a="1"/>
  <c r="AL46" i="3" s="1"/>
  <c r="AM54" i="3" a="1"/>
  <c r="AM54" i="3" s="1"/>
  <c r="AL55" i="3" a="1"/>
  <c r="AL55" i="3" s="1"/>
  <c r="AL54" i="3" a="1"/>
  <c r="AL54" i="3" s="1"/>
  <c r="AB12" i="3" a="1"/>
  <c r="AB12" i="3" s="1"/>
  <c r="AC13" i="3" s="1"/>
  <c r="AL51" i="3" a="1"/>
  <c r="AL51" i="3" s="1"/>
  <c r="AL50" i="3" a="1"/>
  <c r="AL50" i="3" s="1"/>
  <c r="AM50" i="3" a="1"/>
  <c r="AM50" i="3" s="1"/>
  <c r="AI32" i="3" a="1"/>
  <c r="AK24" i="3" a="1"/>
  <c r="AH33" i="3" a="1"/>
  <c r="AJ21" i="3" a="1"/>
  <c r="AD39" i="3" a="1"/>
  <c r="AE38" i="3" a="1"/>
  <c r="AF37" i="3" a="1"/>
  <c r="AK28" i="3" a="1"/>
  <c r="AG36" i="3" a="1"/>
  <c r="L28" i="3" a="1"/>
  <c r="AC12" i="3" a="1"/>
  <c r="AB13" i="3" a="1"/>
  <c r="AE39" i="3" l="1"/>
  <c r="AK31" i="3"/>
  <c r="AK25" i="3"/>
  <c r="AK15" i="3"/>
  <c r="AL41" i="3" a="1"/>
  <c r="AL41" i="3" s="1"/>
  <c r="AL30" i="3" a="1"/>
  <c r="AL30" i="3" s="1"/>
  <c r="AM30" i="3" a="1"/>
  <c r="AM30" i="3" s="1"/>
  <c r="AN30" i="3" s="1" a="1"/>
  <c r="AN30" i="3" s="1"/>
  <c r="AO31" i="3" s="1"/>
  <c r="AL31" i="3" a="1"/>
  <c r="AL31" i="3" s="1"/>
  <c r="AL34" i="3" a="1"/>
  <c r="AL34" i="3" s="1"/>
  <c r="AL35" i="3" a="1"/>
  <c r="AL35" i="3" s="1"/>
  <c r="AM34" i="3" a="1"/>
  <c r="AM34" i="3" s="1"/>
  <c r="AL14" i="3" a="1"/>
  <c r="AL14" i="3" s="1"/>
  <c r="AL15" i="3" a="1"/>
  <c r="AL15" i="3" s="1"/>
  <c r="AM14" i="3" a="1"/>
  <c r="AM14" i="3" s="1"/>
  <c r="AL20" i="3" a="1"/>
  <c r="AL20" i="3" s="1"/>
  <c r="AM20" i="3" a="1"/>
  <c r="AM20" i="3" s="1"/>
  <c r="AL21" i="3" a="1"/>
  <c r="AL21" i="3" s="1"/>
  <c r="AM40" i="3" a="1"/>
  <c r="AM40" i="3" s="1"/>
  <c r="AG37" i="3"/>
  <c r="AI33" i="3"/>
  <c r="AK41" i="3"/>
  <c r="L28" i="3"/>
  <c r="AM71" i="3"/>
  <c r="AM67" i="3"/>
  <c r="AM69" i="3"/>
  <c r="AM65" i="3"/>
  <c r="AM63" i="3"/>
  <c r="AM61" i="3"/>
  <c r="AM59" i="3"/>
  <c r="AM55" i="3"/>
  <c r="AM57" i="3"/>
  <c r="AM53" i="3"/>
  <c r="AM51" i="3"/>
  <c r="AM47" i="3"/>
  <c r="AM49" i="3"/>
  <c r="AM45" i="3"/>
  <c r="AG17" i="3"/>
  <c r="AG36" i="3"/>
  <c r="AK28" i="3"/>
  <c r="AF37" i="3"/>
  <c r="AE38" i="3"/>
  <c r="AD39" i="3"/>
  <c r="AJ21" i="3"/>
  <c r="AH33" i="3"/>
  <c r="AK24" i="3"/>
  <c r="AI32" i="3"/>
  <c r="AF42" i="3" a="1"/>
  <c r="AF42" i="3" s="1"/>
  <c r="AH16" i="3" a="1"/>
  <c r="AH16" i="3" s="1"/>
  <c r="A29" i="3"/>
  <c r="AF22" i="3" a="1"/>
  <c r="AF22" i="3" s="1"/>
  <c r="AH18" i="3" a="1"/>
  <c r="AH18" i="3" s="1"/>
  <c r="AF26" i="3" a="1"/>
  <c r="AF26" i="3" s="1"/>
  <c r="AB13" i="3"/>
  <c r="AC12" i="3"/>
  <c r="AN51" i="3" a="1"/>
  <c r="AN51" i="3" s="1"/>
  <c r="AN50" i="3" a="1"/>
  <c r="AN50" i="3" s="1"/>
  <c r="AO50" i="3" a="1"/>
  <c r="AO50" i="3" s="1"/>
  <c r="AN71" i="3" a="1"/>
  <c r="AN71" i="3" s="1"/>
  <c r="AN70" i="3" a="1"/>
  <c r="AN70" i="3" s="1"/>
  <c r="AO70" i="3" a="1"/>
  <c r="AO70" i="3" s="1"/>
  <c r="AN64" i="3" a="1"/>
  <c r="AN64" i="3" s="1"/>
  <c r="AN65" i="3" a="1"/>
  <c r="AN65" i="3" s="1"/>
  <c r="AO64" i="3" a="1"/>
  <c r="AO64" i="3" s="1"/>
  <c r="AO48" i="3" a="1"/>
  <c r="AO48" i="3" s="1"/>
  <c r="AN49" i="3" a="1"/>
  <c r="AN49" i="3" s="1"/>
  <c r="AN48" i="3" a="1"/>
  <c r="AN48" i="3" s="1"/>
  <c r="AN60" i="3" a="1"/>
  <c r="AN60" i="3" s="1"/>
  <c r="AN61" i="3" a="1"/>
  <c r="AN61" i="3" s="1"/>
  <c r="AO60" i="3" a="1"/>
  <c r="AO60" i="3" s="1"/>
  <c r="AO52" i="3" a="1"/>
  <c r="AO52" i="3" s="1"/>
  <c r="AN52" i="3" a="1"/>
  <c r="AN52" i="3" s="1"/>
  <c r="AN53" i="3" a="1"/>
  <c r="AN53" i="3" s="1"/>
  <c r="AO44" i="3" a="1"/>
  <c r="AO44" i="3" s="1"/>
  <c r="AN45" i="3" a="1"/>
  <c r="AN45" i="3" s="1"/>
  <c r="AN44" i="3" a="1"/>
  <c r="AN44" i="3" s="1"/>
  <c r="AN69" i="3" a="1"/>
  <c r="AN69" i="3" s="1"/>
  <c r="AN68" i="3" a="1"/>
  <c r="AN68" i="3" s="1"/>
  <c r="AO68" i="3" a="1"/>
  <c r="AO68" i="3" s="1"/>
  <c r="AO54" i="3" a="1"/>
  <c r="AO54" i="3" s="1"/>
  <c r="AN54" i="3" a="1"/>
  <c r="AN54" i="3" s="1"/>
  <c r="AN55" i="3" a="1"/>
  <c r="AN55" i="3" s="1"/>
  <c r="AN57" i="3" a="1"/>
  <c r="AN57" i="3" s="1"/>
  <c r="AO56" i="3" a="1"/>
  <c r="AO56" i="3" s="1"/>
  <c r="AN56" i="3" a="1"/>
  <c r="AN56" i="3" s="1"/>
  <c r="AO46" i="3" a="1"/>
  <c r="AO46" i="3" s="1"/>
  <c r="AN47" i="3" a="1"/>
  <c r="AN47" i="3" s="1"/>
  <c r="AN46" i="3" a="1"/>
  <c r="AN46" i="3" s="1"/>
  <c r="AO66" i="3" a="1"/>
  <c r="AO66" i="3" s="1"/>
  <c r="AN66" i="3" a="1"/>
  <c r="AN66" i="3" s="1"/>
  <c r="AN67" i="3" a="1"/>
  <c r="AN67" i="3" s="1"/>
  <c r="AN63" i="3" a="1"/>
  <c r="AN63" i="3" s="1"/>
  <c r="AO62" i="3" a="1"/>
  <c r="AO62" i="3" s="1"/>
  <c r="AN62" i="3" a="1"/>
  <c r="AN62" i="3" s="1"/>
  <c r="AN59" i="3" a="1"/>
  <c r="AN59" i="3" s="1"/>
  <c r="AN58" i="3" a="1"/>
  <c r="AN58" i="3" s="1"/>
  <c r="AO58" i="3" a="1"/>
  <c r="AO58" i="3" s="1"/>
  <c r="AH17" i="3" a="1"/>
  <c r="AG26" i="3" a="1"/>
  <c r="AG42" i="3" a="1"/>
  <c r="AF43" i="3" a="1"/>
  <c r="AF23" i="3" a="1"/>
  <c r="AI18" i="3" a="1"/>
  <c r="AH19" i="3" a="1"/>
  <c r="AI16" i="3" a="1"/>
  <c r="AF27" i="3" a="1"/>
  <c r="AG22" i="3" a="1"/>
  <c r="B27" i="2" a="1"/>
  <c r="C26" i="2" a="1"/>
  <c r="L29" i="3" a="1"/>
  <c r="AG43" i="3" l="1"/>
  <c r="AN41" i="3" a="1"/>
  <c r="AN41" i="3" s="1"/>
  <c r="AM35" i="3"/>
  <c r="AM31" i="3"/>
  <c r="AG27" i="3"/>
  <c r="AG23" i="3"/>
  <c r="AM21" i="3"/>
  <c r="AI19" i="3"/>
  <c r="AI17" i="3"/>
  <c r="AM15" i="3"/>
  <c r="AN20" i="3" a="1"/>
  <c r="AN20" i="3" s="1"/>
  <c r="AN21" i="3" a="1"/>
  <c r="AN21" i="3" s="1"/>
  <c r="AN14" i="3" a="1"/>
  <c r="AN14" i="3" s="1"/>
  <c r="AN15" i="3" a="1"/>
  <c r="AN15" i="3" s="1"/>
  <c r="AO14" i="3" a="1"/>
  <c r="AO14" i="3" s="1"/>
  <c r="AO20" i="3" a="1"/>
  <c r="AO20" i="3" s="1"/>
  <c r="AP20" i="3" s="1" a="1"/>
  <c r="AP20" i="3" s="1"/>
  <c r="AQ21" i="3" s="1"/>
  <c r="C26" i="2"/>
  <c r="F26" i="2" s="1" a="1"/>
  <c r="F26" i="2" s="1"/>
  <c r="B27" i="2"/>
  <c r="AN34" i="3" a="1"/>
  <c r="AN34" i="3" s="1"/>
  <c r="AN35" i="3" a="1"/>
  <c r="AN35" i="3" s="1"/>
  <c r="AO34" i="3" a="1"/>
  <c r="AO34" i="3" s="1"/>
  <c r="AN31" i="3" a="1"/>
  <c r="AN31" i="3" s="1"/>
  <c r="AO30" i="3" a="1"/>
  <c r="AO30" i="3" s="1"/>
  <c r="L29" i="3"/>
  <c r="AO71" i="3"/>
  <c r="AO69" i="3"/>
  <c r="AO67" i="3"/>
  <c r="AO63" i="3"/>
  <c r="AO65" i="3"/>
  <c r="AO59" i="3"/>
  <c r="AO61" i="3"/>
  <c r="AO57" i="3"/>
  <c r="AO55" i="3"/>
  <c r="AO51" i="3"/>
  <c r="AO53" i="3"/>
  <c r="AO47" i="3"/>
  <c r="AO49" i="3"/>
  <c r="AO45" i="3"/>
  <c r="AG22" i="3"/>
  <c r="AF27" i="3"/>
  <c r="AI16" i="3"/>
  <c r="AH19" i="3"/>
  <c r="AI18" i="3"/>
  <c r="AF23" i="3"/>
  <c r="AF43" i="3"/>
  <c r="AG42" i="3"/>
  <c r="AG26" i="3"/>
  <c r="AH17" i="3"/>
  <c r="AN40" i="3" a="1"/>
  <c r="AN40" i="3" s="1"/>
  <c r="AL28" i="3" a="1"/>
  <c r="AL28" i="3" s="1"/>
  <c r="AJ32" i="3" a="1"/>
  <c r="AJ32" i="3" s="1"/>
  <c r="A30" i="3"/>
  <c r="AL24" i="3" a="1"/>
  <c r="AL24" i="3" s="1"/>
  <c r="AF38" i="3" a="1"/>
  <c r="AF38" i="3" s="1"/>
  <c r="AH36" i="3" a="1"/>
  <c r="AH36" i="3" s="1"/>
  <c r="AP52" i="3" a="1"/>
  <c r="AP52" i="3" s="1"/>
  <c r="AP53" i="3" a="1"/>
  <c r="AP53" i="3" s="1"/>
  <c r="AQ52" i="3" a="1"/>
  <c r="AQ52" i="3" s="1"/>
  <c r="AQ70" i="3" a="1"/>
  <c r="AQ70" i="3" s="1"/>
  <c r="AP71" i="3" a="1"/>
  <c r="AP71" i="3" s="1"/>
  <c r="AP70" i="3" a="1"/>
  <c r="AP70" i="3" s="1"/>
  <c r="AQ46" i="3" a="1"/>
  <c r="AQ46" i="3" s="1"/>
  <c r="AP47" i="3" a="1"/>
  <c r="AP47" i="3" s="1"/>
  <c r="AP46" i="3" a="1"/>
  <c r="AP46" i="3" s="1"/>
  <c r="AQ62" i="3" a="1"/>
  <c r="AQ62" i="3" s="1"/>
  <c r="AP63" i="3" a="1"/>
  <c r="AP63" i="3" s="1"/>
  <c r="AP62" i="3" a="1"/>
  <c r="AP62" i="3" s="1"/>
  <c r="AQ54" i="3" a="1"/>
  <c r="AQ54" i="3" s="1"/>
  <c r="AP54" i="3" a="1"/>
  <c r="AP54" i="3" s="1"/>
  <c r="AP55" i="3" a="1"/>
  <c r="AP55" i="3" s="1"/>
  <c r="AP67" i="3" a="1"/>
  <c r="AP67" i="3" s="1"/>
  <c r="AP66" i="3" a="1"/>
  <c r="AP66" i="3" s="1"/>
  <c r="AQ66" i="3" a="1"/>
  <c r="AQ66" i="3" s="1"/>
  <c r="AP50" i="3" a="1"/>
  <c r="AP50" i="3" s="1"/>
  <c r="AP51" i="3" a="1"/>
  <c r="AP51" i="3" s="1"/>
  <c r="AQ50" i="3" a="1"/>
  <c r="AQ50" i="3" s="1"/>
  <c r="AQ68" i="3" a="1"/>
  <c r="AQ68" i="3" s="1"/>
  <c r="AP68" i="3" a="1"/>
  <c r="AP68" i="3" s="1"/>
  <c r="AP69" i="3" a="1"/>
  <c r="AP69" i="3" s="1"/>
  <c r="AQ48" i="3" a="1"/>
  <c r="AQ48" i="3" s="1"/>
  <c r="AP48" i="3" a="1"/>
  <c r="AP48" i="3" s="1"/>
  <c r="AP49" i="3" a="1"/>
  <c r="AP49" i="3" s="1"/>
  <c r="AP64" i="3" a="1"/>
  <c r="AP64" i="3" s="1"/>
  <c r="AP65" i="3" a="1"/>
  <c r="AP65" i="3" s="1"/>
  <c r="AQ64" i="3" a="1"/>
  <c r="AQ64" i="3" s="1"/>
  <c r="AP57" i="3" a="1"/>
  <c r="AP57" i="3" s="1"/>
  <c r="AQ56" i="3" a="1"/>
  <c r="AQ56" i="3" s="1"/>
  <c r="AP56" i="3" a="1"/>
  <c r="AP56" i="3" s="1"/>
  <c r="AD12" i="3" a="1"/>
  <c r="AD12" i="3" s="1"/>
  <c r="AE13" i="3" s="1"/>
  <c r="AP58" i="3" a="1"/>
  <c r="AP58" i="3" s="1"/>
  <c r="AP59" i="3" a="1"/>
  <c r="AP59" i="3" s="1"/>
  <c r="AQ58" i="3" a="1"/>
  <c r="AQ58" i="3" s="1"/>
  <c r="AQ44" i="3" a="1"/>
  <c r="AQ44" i="3" s="1"/>
  <c r="AP44" i="3" a="1"/>
  <c r="AP44" i="3" s="1"/>
  <c r="AP45" i="3" a="1"/>
  <c r="AP45" i="3" s="1"/>
  <c r="AQ60" i="3" a="1"/>
  <c r="AQ60" i="3" s="1"/>
  <c r="AP61" i="3" a="1"/>
  <c r="AP61" i="3" s="1"/>
  <c r="AP60" i="3" a="1"/>
  <c r="AP60" i="3" s="1"/>
  <c r="AL29" i="3" a="1"/>
  <c r="AK32" i="3" a="1"/>
  <c r="AJ33" i="3" a="1"/>
  <c r="AG38" i="3" a="1"/>
  <c r="AO40" i="3" a="1"/>
  <c r="AH37" i="3" a="1"/>
  <c r="AM28" i="3" a="1"/>
  <c r="AL25" i="3" a="1"/>
  <c r="AI36" i="3" a="1"/>
  <c r="AM24" i="3" a="1"/>
  <c r="AF39" i="3" a="1"/>
  <c r="AE12" i="3" a="1"/>
  <c r="L30" i="3" a="1"/>
  <c r="AD13" i="3" a="1"/>
  <c r="AG39" i="3" l="1"/>
  <c r="AO35" i="3"/>
  <c r="AM29" i="3"/>
  <c r="AM25" i="3"/>
  <c r="AO21" i="3"/>
  <c r="AO15" i="3"/>
  <c r="AP14" i="3" a="1"/>
  <c r="AP14" i="3" s="1"/>
  <c r="AP15" i="3" a="1"/>
  <c r="AP15" i="3" s="1"/>
  <c r="AP21" i="3" a="1"/>
  <c r="AP21" i="3" s="1"/>
  <c r="AQ14" i="3" a="1"/>
  <c r="AQ14" i="3" s="1"/>
  <c r="AP34" i="3" a="1"/>
  <c r="AP34" i="3" s="1"/>
  <c r="AP35" i="3" a="1"/>
  <c r="AP35" i="3" s="1"/>
  <c r="AQ34" i="3" a="1"/>
  <c r="AQ34" i="3" s="1"/>
  <c r="AQ20" i="3" a="1"/>
  <c r="AQ20" i="3" s="1"/>
  <c r="AP30" i="3" a="1"/>
  <c r="AP30" i="3" s="1"/>
  <c r="AQ30" i="3" a="1"/>
  <c r="AQ30" i="3" s="1"/>
  <c r="AO41" i="3"/>
  <c r="AI37" i="3"/>
  <c r="AK33" i="3"/>
  <c r="L30" i="3"/>
  <c r="AQ71" i="3"/>
  <c r="AQ67" i="3"/>
  <c r="AQ69" i="3"/>
  <c r="AQ65" i="3"/>
  <c r="AQ63" i="3"/>
  <c r="AQ61" i="3"/>
  <c r="AQ59" i="3"/>
  <c r="AQ55" i="3"/>
  <c r="AQ57" i="3"/>
  <c r="AQ53" i="3"/>
  <c r="AQ51" i="3"/>
  <c r="AQ49" i="3"/>
  <c r="AQ47" i="3"/>
  <c r="AQ45" i="3"/>
  <c r="AF39" i="3"/>
  <c r="AM24" i="3"/>
  <c r="AI36" i="3"/>
  <c r="AL25" i="3"/>
  <c r="AM28" i="3"/>
  <c r="AH37" i="3"/>
  <c r="AO40" i="3"/>
  <c r="AG38" i="3"/>
  <c r="AJ33" i="3"/>
  <c r="AK32" i="3"/>
  <c r="AL29" i="3"/>
  <c r="A31" i="3"/>
  <c r="AJ18" i="3" a="1"/>
  <c r="AJ18" i="3" s="1"/>
  <c r="AH22" i="3" a="1"/>
  <c r="AH22" i="3" s="1"/>
  <c r="AH26" i="3" a="1"/>
  <c r="AH26" i="3" s="1"/>
  <c r="AH42" i="3" a="1"/>
  <c r="AH42" i="3" s="1"/>
  <c r="AJ16" i="3" a="1"/>
  <c r="AJ16" i="3" s="1"/>
  <c r="AE12" i="3"/>
  <c r="AD13" i="3"/>
  <c r="AR49" i="3" a="1"/>
  <c r="AR49" i="3" s="1"/>
  <c r="AS48" i="3" a="1"/>
  <c r="AS48" i="3" s="1"/>
  <c r="AR48" i="3" a="1"/>
  <c r="AR48" i="3" s="1"/>
  <c r="AR71" i="3" a="1"/>
  <c r="AR71" i="3" s="1"/>
  <c r="AR70" i="3" a="1"/>
  <c r="AR70" i="3" s="1"/>
  <c r="AS70" i="3" a="1"/>
  <c r="AS70" i="3" s="1"/>
  <c r="AR57" i="3" a="1"/>
  <c r="AR57" i="3" s="1"/>
  <c r="AS56" i="3" a="1"/>
  <c r="AS56" i="3" s="1"/>
  <c r="AR56" i="3" a="1"/>
  <c r="AR56" i="3" s="1"/>
  <c r="AS46" i="3" a="1"/>
  <c r="AS46" i="3" s="1"/>
  <c r="AR47" i="3" a="1"/>
  <c r="AR47" i="3" s="1"/>
  <c r="AR46" i="3" a="1"/>
  <c r="AR46" i="3" s="1"/>
  <c r="AS66" i="3" a="1"/>
  <c r="AS66" i="3" s="1"/>
  <c r="AR66" i="3" a="1"/>
  <c r="AR66" i="3" s="1"/>
  <c r="AR67" i="3" a="1"/>
  <c r="AR67" i="3" s="1"/>
  <c r="AR63" i="3" a="1"/>
  <c r="AR63" i="3" s="1"/>
  <c r="AS62" i="3" a="1"/>
  <c r="AS62" i="3" s="1"/>
  <c r="AR62" i="3" a="1"/>
  <c r="AR62" i="3" s="1"/>
  <c r="AS52" i="3" a="1"/>
  <c r="AS52" i="3" s="1"/>
  <c r="AR53" i="3" a="1"/>
  <c r="AR53" i="3" s="1"/>
  <c r="AR52" i="3" a="1"/>
  <c r="AR52" i="3" s="1"/>
  <c r="AR61" i="3" a="1"/>
  <c r="AR61" i="3" s="1"/>
  <c r="AR60" i="3" a="1"/>
  <c r="AR60" i="3" s="1"/>
  <c r="AS60" i="3" a="1"/>
  <c r="AS60" i="3" s="1"/>
  <c r="AR65" i="3" a="1"/>
  <c r="AR65" i="3" s="1"/>
  <c r="AS64" i="3" a="1"/>
  <c r="AS64" i="3" s="1"/>
  <c r="AR64" i="3" a="1"/>
  <c r="AR64" i="3" s="1"/>
  <c r="AR45" i="3" a="1"/>
  <c r="AR45" i="3" s="1"/>
  <c r="AS44" i="3" a="1"/>
  <c r="AS44" i="3" s="1"/>
  <c r="AR44" i="3" a="1"/>
  <c r="AR44" i="3" s="1"/>
  <c r="AR68" i="3" a="1"/>
  <c r="AR68" i="3" s="1"/>
  <c r="AR69" i="3" a="1"/>
  <c r="AR69" i="3" s="1"/>
  <c r="AS68" i="3" a="1"/>
  <c r="AS68" i="3" s="1"/>
  <c r="AR50" i="3" a="1"/>
  <c r="AR50" i="3" s="1"/>
  <c r="AR51" i="3" a="1"/>
  <c r="AR51" i="3" s="1"/>
  <c r="AS50" i="3" a="1"/>
  <c r="AS50" i="3" s="1"/>
  <c r="AR58" i="3" a="1"/>
  <c r="AR58" i="3" s="1"/>
  <c r="AR59" i="3" a="1"/>
  <c r="AR59" i="3" s="1"/>
  <c r="AS58" i="3" a="1"/>
  <c r="AS58" i="3" s="1"/>
  <c r="AR55" i="3" a="1"/>
  <c r="AR55" i="3" s="1"/>
  <c r="AS54" i="3" a="1"/>
  <c r="AS54" i="3" s="1"/>
  <c r="AR54" i="3" a="1"/>
  <c r="AR54" i="3" s="1"/>
  <c r="AH23" i="3" a="1"/>
  <c r="AJ17" i="3" a="1"/>
  <c r="AP31" i="3" a="1"/>
  <c r="AI22" i="3" a="1"/>
  <c r="AK16" i="3" a="1"/>
  <c r="AH27" i="3" a="1"/>
  <c r="AI26" i="3" a="1"/>
  <c r="AK18" i="3" a="1"/>
  <c r="AI42" i="3" a="1"/>
  <c r="AJ19" i="3" a="1"/>
  <c r="AH43" i="3" a="1"/>
  <c r="C27" i="2" a="1"/>
  <c r="B28" i="2" a="1"/>
  <c r="L31" i="3" a="1"/>
  <c r="AI43" i="3" l="1"/>
  <c r="AQ35" i="3"/>
  <c r="AQ31" i="3"/>
  <c r="AI27" i="3"/>
  <c r="AI23" i="3"/>
  <c r="AR20" i="3" a="1"/>
  <c r="AR20" i="3" s="1"/>
  <c r="AK19" i="3"/>
  <c r="AK17" i="3"/>
  <c r="AQ15" i="3"/>
  <c r="AR14" i="3" a="1"/>
  <c r="AR14" i="3" s="1"/>
  <c r="AS14" i="3" a="1"/>
  <c r="AS14" i="3" s="1"/>
  <c r="AT14" i="3" s="1" a="1"/>
  <c r="AT14" i="3" s="1"/>
  <c r="AU15" i="3" s="1"/>
  <c r="AR15" i="3" a="1"/>
  <c r="AR15" i="3" s="1"/>
  <c r="AR21" i="3" a="1"/>
  <c r="AR21" i="3" s="1"/>
  <c r="AS20" i="3" a="1"/>
  <c r="AS20" i="3" s="1"/>
  <c r="AT20" i="3" s="1" a="1"/>
  <c r="AT20" i="3" s="1"/>
  <c r="AU21" i="3" s="1"/>
  <c r="AR30" i="3" a="1"/>
  <c r="AR30" i="3" s="1"/>
  <c r="AS30" i="3" a="1"/>
  <c r="AS30" i="3" s="1"/>
  <c r="AR31" i="3" a="1"/>
  <c r="AR31" i="3" s="1"/>
  <c r="AR34" i="3" a="1"/>
  <c r="AR34" i="3" s="1"/>
  <c r="AS34" i="3" a="1"/>
  <c r="AS34" i="3" s="1"/>
  <c r="AR35" i="3" a="1"/>
  <c r="AR35" i="3" s="1"/>
  <c r="B28" i="2"/>
  <c r="C27" i="2"/>
  <c r="F27" i="2" s="1" a="1"/>
  <c r="F27" i="2" s="1"/>
  <c r="L31" i="3"/>
  <c r="AS71" i="3"/>
  <c r="AS67" i="3"/>
  <c r="AS69" i="3"/>
  <c r="AS63" i="3"/>
  <c r="AS65" i="3"/>
  <c r="AS61" i="3"/>
  <c r="AS59" i="3"/>
  <c r="AS55" i="3"/>
  <c r="AS57" i="3"/>
  <c r="AS53" i="3"/>
  <c r="AS51" i="3"/>
  <c r="AS47" i="3"/>
  <c r="AS49" i="3"/>
  <c r="AS45" i="3"/>
  <c r="AH43" i="3"/>
  <c r="AJ19" i="3"/>
  <c r="AI42" i="3"/>
  <c r="AK18" i="3"/>
  <c r="AI26" i="3"/>
  <c r="AH27" i="3"/>
  <c r="AK16" i="3"/>
  <c r="AI22" i="3"/>
  <c r="AP31" i="3"/>
  <c r="AJ17" i="3"/>
  <c r="AH23" i="3"/>
  <c r="AL32" i="3" a="1"/>
  <c r="AL32" i="3" s="1"/>
  <c r="AN28" i="3" a="1"/>
  <c r="AN28" i="3" s="1"/>
  <c r="AH38" i="3" a="1"/>
  <c r="AH38" i="3" s="1"/>
  <c r="AJ36" i="3" a="1"/>
  <c r="AJ36" i="3" s="1"/>
  <c r="AN24" i="3" a="1"/>
  <c r="AN24" i="3" s="1"/>
  <c r="AP40" i="3" a="1"/>
  <c r="AP40" i="3" s="1"/>
  <c r="AT51" i="3" a="1"/>
  <c r="AT51" i="3" s="1"/>
  <c r="AT50" i="3" a="1"/>
  <c r="AT50" i="3" s="1"/>
  <c r="AU50" i="3" a="1"/>
  <c r="AU50" i="3" s="1"/>
  <c r="AT58" i="3" a="1"/>
  <c r="AT58" i="3" s="1"/>
  <c r="AT59" i="3" a="1"/>
  <c r="AT59" i="3" s="1"/>
  <c r="AU58" i="3" a="1"/>
  <c r="AU58" i="3" s="1"/>
  <c r="AU48" i="3" a="1"/>
  <c r="AU48" i="3" s="1"/>
  <c r="AT48" i="3" a="1"/>
  <c r="AT48" i="3" s="1"/>
  <c r="AT49" i="3" a="1"/>
  <c r="AT49" i="3" s="1"/>
  <c r="AT57" i="3" a="1"/>
  <c r="AT57" i="3" s="1"/>
  <c r="AU56" i="3" a="1"/>
  <c r="AU56" i="3" s="1"/>
  <c r="AT56" i="3" a="1"/>
  <c r="AT56" i="3" s="1"/>
  <c r="AU44" i="3" a="1"/>
  <c r="AU44" i="3" s="1"/>
  <c r="AT44" i="3" a="1"/>
  <c r="AT44" i="3" s="1"/>
  <c r="AT45" i="3" a="1"/>
  <c r="AT45" i="3" s="1"/>
  <c r="AT63" i="3" a="1"/>
  <c r="AT63" i="3" s="1"/>
  <c r="AU62" i="3" a="1"/>
  <c r="AU62" i="3" s="1"/>
  <c r="AT62" i="3" a="1"/>
  <c r="AT62" i="3" s="1"/>
  <c r="AU68" i="3" a="1"/>
  <c r="AU68" i="3" s="1"/>
  <c r="AT69" i="3" a="1"/>
  <c r="AT69" i="3" s="1"/>
  <c r="AT68" i="3" a="1"/>
  <c r="AT68" i="3" s="1"/>
  <c r="AT64" i="3" a="1"/>
  <c r="AT64" i="3" s="1"/>
  <c r="AT65" i="3" a="1"/>
  <c r="AT65" i="3" s="1"/>
  <c r="AU64" i="3" a="1"/>
  <c r="AU64" i="3" s="1"/>
  <c r="AU66" i="3" a="1"/>
  <c r="AU66" i="3" s="1"/>
  <c r="AT66" i="3" a="1"/>
  <c r="AT66" i="3" s="1"/>
  <c r="AT67" i="3" a="1"/>
  <c r="AT67" i="3" s="1"/>
  <c r="AU70" i="3" a="1"/>
  <c r="AU70" i="3" s="1"/>
  <c r="AT71" i="3" a="1"/>
  <c r="AT71" i="3" s="1"/>
  <c r="AT70" i="3" a="1"/>
  <c r="AT70" i="3" s="1"/>
  <c r="AU46" i="3" a="1"/>
  <c r="AU46" i="3" s="1"/>
  <c r="AT47" i="3" a="1"/>
  <c r="AT47" i="3" s="1"/>
  <c r="AT46" i="3" a="1"/>
  <c r="AT46" i="3" s="1"/>
  <c r="AU60" i="3" a="1"/>
  <c r="AU60" i="3" s="1"/>
  <c r="AT60" i="3" a="1"/>
  <c r="AT60" i="3" s="1"/>
  <c r="AT61" i="3" a="1"/>
  <c r="AT61" i="3" s="1"/>
  <c r="AU54" i="3" a="1"/>
  <c r="AU54" i="3" s="1"/>
  <c r="AT54" i="3" a="1"/>
  <c r="AT54" i="3" s="1"/>
  <c r="AT55" i="3" a="1"/>
  <c r="AT55" i="3" s="1"/>
  <c r="AT52" i="3" a="1"/>
  <c r="AT52" i="3" s="1"/>
  <c r="AU52" i="3" a="1"/>
  <c r="AU52" i="3" s="1"/>
  <c r="AT53" i="3" a="1"/>
  <c r="AT53" i="3" s="1"/>
  <c r="AF12" i="3" a="1"/>
  <c r="AF12" i="3" s="1"/>
  <c r="AG13" i="3" s="1"/>
  <c r="J13" i="3" a="1"/>
  <c r="J14" i="3" a="1"/>
  <c r="J16" i="3" a="1"/>
  <c r="J15" i="3" a="1"/>
  <c r="J12" i="3" a="1"/>
  <c r="AO28" i="3" a="1"/>
  <c r="AN29" i="3" a="1"/>
  <c r="AI38" i="3" a="1"/>
  <c r="AN25" i="3" a="1"/>
  <c r="AH39" i="3" a="1"/>
  <c r="AQ40" i="3" a="1"/>
  <c r="AM32" i="3" a="1"/>
  <c r="AK36" i="3" a="1"/>
  <c r="AP41" i="3" a="1"/>
  <c r="AL33" i="3" a="1"/>
  <c r="AJ37" i="3" a="1"/>
  <c r="AO24" i="3" a="1"/>
  <c r="AG12" i="3" a="1"/>
  <c r="AF13" i="3" a="1"/>
  <c r="AI39" i="3" l="1"/>
  <c r="AS35" i="3"/>
  <c r="AS31" i="3"/>
  <c r="AO29" i="3"/>
  <c r="AO25" i="3"/>
  <c r="AS21" i="3"/>
  <c r="AS15" i="3"/>
  <c r="AT30" i="3" a="1"/>
  <c r="AT30" i="3" s="1"/>
  <c r="AU30" i="3" a="1"/>
  <c r="AU30" i="3" s="1"/>
  <c r="AV30" i="3" s="1" a="1"/>
  <c r="AV30" i="3" s="1"/>
  <c r="AW31" i="3" s="1"/>
  <c r="AT31" i="3" a="1"/>
  <c r="AT31" i="3" s="1"/>
  <c r="AU20" i="3" a="1"/>
  <c r="AT21" i="3" a="1"/>
  <c r="AT21" i="3" s="1"/>
  <c r="AT34" i="3" a="1"/>
  <c r="AT34" i="3" s="1"/>
  <c r="AT35" i="3" a="1"/>
  <c r="AT35" i="3" s="1"/>
  <c r="AU34" i="3" a="1"/>
  <c r="AU34" i="3" s="1"/>
  <c r="AU14" i="3" a="1"/>
  <c r="AU14" i="3" s="1"/>
  <c r="AT15" i="3" a="1"/>
  <c r="AT15" i="3" s="1"/>
  <c r="AM33" i="3"/>
  <c r="AQ41" i="3"/>
  <c r="AK37" i="3"/>
  <c r="J13" i="3"/>
  <c r="J14" i="3"/>
  <c r="J16" i="3"/>
  <c r="J15" i="3"/>
  <c r="J12" i="3"/>
  <c r="F19" i="2" a="1"/>
  <c r="F19" i="2" s="1"/>
  <c r="F23" i="2" a="1"/>
  <c r="F23" i="2" s="1"/>
  <c r="F24" i="2" a="1"/>
  <c r="F24" i="2" s="1"/>
  <c r="AU71" i="3"/>
  <c r="AU69" i="3"/>
  <c r="AU67" i="3"/>
  <c r="AU65" i="3"/>
  <c r="AU63" i="3"/>
  <c r="AU61" i="3"/>
  <c r="AU59" i="3"/>
  <c r="AU55" i="3"/>
  <c r="AU57" i="3"/>
  <c r="AU53" i="3"/>
  <c r="AU51" i="3"/>
  <c r="AU47" i="3"/>
  <c r="AU49" i="3"/>
  <c r="AU45" i="3"/>
  <c r="AU20" i="3"/>
  <c r="AW20" i="3" s="1" a="1"/>
  <c r="AO24" i="3"/>
  <c r="AJ37" i="3"/>
  <c r="AL33" i="3"/>
  <c r="AP41" i="3"/>
  <c r="AK36" i="3"/>
  <c r="AM32" i="3"/>
  <c r="AQ40" i="3"/>
  <c r="AH39" i="3"/>
  <c r="AN25" i="3"/>
  <c r="AI38" i="3"/>
  <c r="AN29" i="3"/>
  <c r="AO28" i="3"/>
  <c r="AJ22" i="3" a="1"/>
  <c r="AJ22" i="3" s="1"/>
  <c r="AL16" i="3" a="1"/>
  <c r="AL16" i="3" s="1"/>
  <c r="AJ42" i="3" a="1"/>
  <c r="AJ42" i="3" s="1"/>
  <c r="AJ26" i="3" a="1"/>
  <c r="AJ26" i="3" s="1"/>
  <c r="AL18" i="3" a="1"/>
  <c r="AL18" i="3" s="1"/>
  <c r="AF13" i="3"/>
  <c r="AG12" i="3"/>
  <c r="AV70" i="3" a="1"/>
  <c r="AV70" i="3" s="1"/>
  <c r="AW70" i="3" a="1"/>
  <c r="AW70" i="3" s="1"/>
  <c r="AV71" i="3" a="1"/>
  <c r="AV71" i="3" s="1"/>
  <c r="AV45" i="3" a="1"/>
  <c r="AV45" i="3" s="1"/>
  <c r="AW44" i="3" a="1"/>
  <c r="AW44" i="3" s="1"/>
  <c r="AV44" i="3" a="1"/>
  <c r="AV44" i="3" s="1"/>
  <c r="AW56" i="3" a="1"/>
  <c r="AW56" i="3" s="1"/>
  <c r="AV57" i="3" a="1"/>
  <c r="AV57" i="3" s="1"/>
  <c r="AV56" i="3" a="1"/>
  <c r="AV56" i="3" s="1"/>
  <c r="AW60" i="3" a="1"/>
  <c r="AW60" i="3" s="1"/>
  <c r="AV60" i="3" a="1"/>
  <c r="AV60" i="3" s="1"/>
  <c r="AV61" i="3" a="1"/>
  <c r="AV61" i="3" s="1"/>
  <c r="AV68" i="3" a="1"/>
  <c r="AV68" i="3" s="1"/>
  <c r="AW68" i="3" a="1"/>
  <c r="AW68" i="3" s="1"/>
  <c r="AV69" i="3" a="1"/>
  <c r="AV69" i="3" s="1"/>
  <c r="AV59" i="3" a="1"/>
  <c r="AV59" i="3" s="1"/>
  <c r="AV58" i="3" a="1"/>
  <c r="AV58" i="3" s="1"/>
  <c r="AW58" i="3" a="1"/>
  <c r="AW58" i="3" s="1"/>
  <c r="AV53" i="3" a="1"/>
  <c r="AV53" i="3" s="1"/>
  <c r="AW52" i="3" a="1"/>
  <c r="AW52" i="3" s="1"/>
  <c r="AV52" i="3" a="1"/>
  <c r="AV52" i="3" s="1"/>
  <c r="AW46" i="3" a="1"/>
  <c r="AW46" i="3" s="1"/>
  <c r="AV46" i="3" a="1"/>
  <c r="AV46" i="3" s="1"/>
  <c r="AV47" i="3" a="1"/>
  <c r="AV47" i="3" s="1"/>
  <c r="AV49" i="3" a="1"/>
  <c r="AV49" i="3" s="1"/>
  <c r="AW48" i="3" a="1"/>
  <c r="AW48" i="3" s="1"/>
  <c r="AV48" i="3" a="1"/>
  <c r="AV48" i="3" s="1"/>
  <c r="AW66" i="3" a="1"/>
  <c r="AW66" i="3" s="1"/>
  <c r="AV67" i="3" a="1"/>
  <c r="AV67" i="3" s="1"/>
  <c r="AV66" i="3" a="1"/>
  <c r="AV66" i="3" s="1"/>
  <c r="AV65" i="3" a="1"/>
  <c r="AV65" i="3" s="1"/>
  <c r="AW64" i="3" a="1"/>
  <c r="AW64" i="3" s="1"/>
  <c r="AV64" i="3" a="1"/>
  <c r="AV64" i="3" s="1"/>
  <c r="AV50" i="3" a="1"/>
  <c r="AV50" i="3" s="1"/>
  <c r="AV51" i="3" a="1"/>
  <c r="AV51" i="3" s="1"/>
  <c r="AW50" i="3" a="1"/>
  <c r="AW50" i="3" s="1"/>
  <c r="AV55" i="3" a="1"/>
  <c r="AV55" i="3" s="1"/>
  <c r="AW54" i="3" a="1"/>
  <c r="AW54" i="3" s="1"/>
  <c r="AV54" i="3" a="1"/>
  <c r="AV54" i="3" s="1"/>
  <c r="AV63" i="3" a="1"/>
  <c r="AV63" i="3" s="1"/>
  <c r="AW62" i="3" a="1"/>
  <c r="AW62" i="3" s="1"/>
  <c r="AV62" i="3" a="1"/>
  <c r="AV62" i="3" s="1"/>
  <c r="J21" i="3" a="1"/>
  <c r="J24" i="3" a="1"/>
  <c r="J28" i="3" a="1"/>
  <c r="J27" i="3" a="1"/>
  <c r="J29" i="3" a="1"/>
  <c r="J22" i="3" a="1"/>
  <c r="J30" i="3" a="1"/>
  <c r="J25" i="3" a="1"/>
  <c r="J31" i="3" a="1"/>
  <c r="J26" i="3" a="1"/>
  <c r="J23" i="3" a="1"/>
  <c r="J19" i="3" a="1"/>
  <c r="J20" i="3" a="1"/>
  <c r="J18" i="3" a="1"/>
  <c r="J17" i="3" a="1"/>
  <c r="AL19" i="3" a="1"/>
  <c r="AL17" i="3" a="1"/>
  <c r="AJ43" i="3" a="1"/>
  <c r="AK42" i="3" a="1"/>
  <c r="AJ23" i="3" a="1"/>
  <c r="AK22" i="3" a="1"/>
  <c r="AJ27" i="3" a="1"/>
  <c r="AK26" i="3" a="1"/>
  <c r="AM16" i="3" a="1"/>
  <c r="AM18" i="3" a="1"/>
  <c r="C28" i="2" a="1"/>
  <c r="B29" i="2" a="1"/>
  <c r="AK43" i="3" l="1"/>
  <c r="AU35" i="3"/>
  <c r="AU31" i="3"/>
  <c r="AK27" i="3"/>
  <c r="AK23" i="3"/>
  <c r="AV20" i="3" a="1"/>
  <c r="AV20" i="3" s="1"/>
  <c r="AW30" i="3" a="1"/>
  <c r="AW30" i="3" s="1"/>
  <c r="AM19" i="3"/>
  <c r="AM17" i="3"/>
  <c r="AV31" i="3" a="1"/>
  <c r="AV31" i="3" s="1"/>
  <c r="AV14" i="3" a="1"/>
  <c r="AV14" i="3" s="1"/>
  <c r="AV15" i="3" a="1"/>
  <c r="AV15" i="3" s="1"/>
  <c r="AW14" i="3" a="1"/>
  <c r="AW14" i="3" s="1"/>
  <c r="AV34" i="3" a="1"/>
  <c r="AV34" i="3" s="1"/>
  <c r="AW34" i="3" a="1"/>
  <c r="AW34" i="3" s="1"/>
  <c r="AX34" i="3" s="1" a="1"/>
  <c r="AX34" i="3" s="1"/>
  <c r="AY35" i="3" s="1"/>
  <c r="AV35" i="3" a="1"/>
  <c r="AV35" i="3" s="1"/>
  <c r="AV21" i="3" a="1"/>
  <c r="AV21" i="3" s="1"/>
  <c r="B29" i="2"/>
  <c r="C28" i="2"/>
  <c r="F28" i="2" s="1" a="1"/>
  <c r="F28" i="2" s="1"/>
  <c r="J23" i="3"/>
  <c r="J26" i="3"/>
  <c r="J31" i="3"/>
  <c r="J25" i="3"/>
  <c r="J30" i="3"/>
  <c r="J22" i="3"/>
  <c r="J29" i="3"/>
  <c r="J27" i="3"/>
  <c r="J28" i="3"/>
  <c r="J24" i="3"/>
  <c r="J21" i="3"/>
  <c r="J17" i="3"/>
  <c r="J18" i="3"/>
  <c r="J20" i="3"/>
  <c r="J19" i="3"/>
  <c r="AW71" i="3"/>
  <c r="AW67" i="3"/>
  <c r="AW69" i="3"/>
  <c r="AW65" i="3"/>
  <c r="AW63" i="3"/>
  <c r="AW59" i="3"/>
  <c r="AW61" i="3"/>
  <c r="AW55" i="3"/>
  <c r="AW57" i="3"/>
  <c r="AW51" i="3"/>
  <c r="AW53" i="3"/>
  <c r="AW49" i="3"/>
  <c r="AW47" i="3"/>
  <c r="AW45" i="3"/>
  <c r="AM18" i="3"/>
  <c r="AM16" i="3"/>
  <c r="AK26" i="3"/>
  <c r="AW20" i="3"/>
  <c r="AX20" i="3" s="1" a="1"/>
  <c r="AX20" i="3" s="1"/>
  <c r="AY21" i="3" s="1"/>
  <c r="AJ27" i="3"/>
  <c r="AK22" i="3"/>
  <c r="AJ23" i="3"/>
  <c r="AK42" i="3"/>
  <c r="AJ43" i="3"/>
  <c r="AL17" i="3"/>
  <c r="AL19" i="3"/>
  <c r="AJ38" i="3" a="1"/>
  <c r="AJ38" i="3" s="1"/>
  <c r="AR40" i="3" a="1"/>
  <c r="AR40" i="3" s="1"/>
  <c r="AP24" i="3" a="1"/>
  <c r="AP24" i="3" s="1"/>
  <c r="AP28" i="3" a="1"/>
  <c r="AP28" i="3" s="1"/>
  <c r="AN32" i="3" a="1"/>
  <c r="AN32" i="3" s="1"/>
  <c r="AL36" i="3" a="1"/>
  <c r="AL36" i="3" s="1"/>
  <c r="AY48" i="3" a="1"/>
  <c r="AY48" i="3" s="1"/>
  <c r="AX48" i="3" a="1"/>
  <c r="AX48" i="3" s="1"/>
  <c r="AX49" i="3" a="1"/>
  <c r="AX49" i="3" s="1"/>
  <c r="AX58" i="3" a="1"/>
  <c r="AX58" i="3" s="1"/>
  <c r="AY58" i="3" a="1"/>
  <c r="AY58" i="3" s="1"/>
  <c r="AX59" i="3" a="1"/>
  <c r="AX59" i="3" s="1"/>
  <c r="AX63" i="3" a="1"/>
  <c r="AX63" i="3" s="1"/>
  <c r="AY62" i="3" a="1"/>
  <c r="AY62" i="3" s="1"/>
  <c r="AX62" i="3" a="1"/>
  <c r="AX62" i="3" s="1"/>
  <c r="AX51" i="3" a="1"/>
  <c r="AX51" i="3" s="1"/>
  <c r="AX50" i="3" a="1"/>
  <c r="AX50" i="3" s="1"/>
  <c r="AY50" i="3" a="1"/>
  <c r="AY50" i="3" s="1"/>
  <c r="AX47" i="3" a="1"/>
  <c r="AX47" i="3" s="1"/>
  <c r="AY46" i="3" a="1"/>
  <c r="AY46" i="3" s="1"/>
  <c r="AX46" i="3" a="1"/>
  <c r="AX46" i="3" s="1"/>
  <c r="AX56" i="3" a="1"/>
  <c r="AX56" i="3" s="1"/>
  <c r="AX57" i="3" a="1"/>
  <c r="AX57" i="3" s="1"/>
  <c r="AY56" i="3" a="1"/>
  <c r="AY56" i="3" s="1"/>
  <c r="AY70" i="3" a="1"/>
  <c r="AY70" i="3" s="1"/>
  <c r="AX70" i="3" a="1"/>
  <c r="AX70" i="3" s="1"/>
  <c r="AX71" i="3" a="1"/>
  <c r="AX71" i="3" s="1"/>
  <c r="AX52" i="3" a="1"/>
  <c r="AX52" i="3" s="1"/>
  <c r="AX53" i="3" a="1"/>
  <c r="AX53" i="3" s="1"/>
  <c r="AY52" i="3" a="1"/>
  <c r="AY52" i="3" s="1"/>
  <c r="AY60" i="3" a="1"/>
  <c r="AY60" i="3" s="1"/>
  <c r="AX61" i="3" a="1"/>
  <c r="AX61" i="3" s="1"/>
  <c r="AX60" i="3" a="1"/>
  <c r="AX60" i="3" s="1"/>
  <c r="AY44" i="3" a="1"/>
  <c r="AY44" i="3" s="1"/>
  <c r="AX44" i="3" a="1"/>
  <c r="AX44" i="3" s="1"/>
  <c r="AX45" i="3" a="1"/>
  <c r="AX45" i="3" s="1"/>
  <c r="AX55" i="3" a="1"/>
  <c r="AX55" i="3" s="1"/>
  <c r="AY54" i="3" a="1"/>
  <c r="AY54" i="3" s="1"/>
  <c r="AX54" i="3" a="1"/>
  <c r="AX54" i="3" s="1"/>
  <c r="AY68" i="3" a="1"/>
  <c r="AY68" i="3" s="1"/>
  <c r="AX68" i="3" a="1"/>
  <c r="AX68" i="3" s="1"/>
  <c r="AX69" i="3" a="1"/>
  <c r="AX69" i="3" s="1"/>
  <c r="AH12" i="3" a="1"/>
  <c r="AH12" i="3" s="1"/>
  <c r="AI13" i="3" s="1"/>
  <c r="AX64" i="3" a="1"/>
  <c r="AX64" i="3" s="1"/>
  <c r="AY64" i="3" a="1"/>
  <c r="AY64" i="3" s="1"/>
  <c r="AX65" i="3" a="1"/>
  <c r="AX65" i="3" s="1"/>
  <c r="AY66" i="3" a="1"/>
  <c r="AY66" i="3" s="1"/>
  <c r="AX67" i="3" a="1"/>
  <c r="AX67" i="3" s="1"/>
  <c r="AX66" i="3" a="1"/>
  <c r="AX66" i="3" s="1"/>
  <c r="AK38" i="3" a="1"/>
  <c r="AP25" i="3" a="1"/>
  <c r="AL37" i="3" a="1"/>
  <c r="AJ39" i="3" a="1"/>
  <c r="AQ28" i="3" a="1"/>
  <c r="AM36" i="3" a="1"/>
  <c r="AP29" i="3" a="1"/>
  <c r="AN33" i="3" a="1"/>
  <c r="AS40" i="3" a="1"/>
  <c r="AR41" i="3" a="1"/>
  <c r="AO32" i="3" a="1"/>
  <c r="AQ24" i="3" a="1"/>
  <c r="AI12" i="3" a="1"/>
  <c r="AH13" i="3" a="1"/>
  <c r="AK39" i="3" l="1"/>
  <c r="AW35" i="3"/>
  <c r="AY20" i="3" a="1"/>
  <c r="AY20" i="3" s="1"/>
  <c r="AX30" i="3" a="1"/>
  <c r="AX30" i="3" s="1"/>
  <c r="AQ29" i="3"/>
  <c r="AQ25" i="3"/>
  <c r="AX35" i="3" a="1"/>
  <c r="AW21" i="3"/>
  <c r="AX14" i="3" a="1"/>
  <c r="AX14" i="3" s="1"/>
  <c r="AY15" i="3" s="1"/>
  <c r="AY14" i="3" a="1"/>
  <c r="AX21" i="3" a="1"/>
  <c r="AX21" i="3" s="1"/>
  <c r="AW15" i="3"/>
  <c r="AX31" i="3" a="1"/>
  <c r="AX31" i="3" s="1"/>
  <c r="AY30" i="3" a="1"/>
  <c r="AY30" i="3" s="1"/>
  <c r="AZ30" i="3" s="1" a="1"/>
  <c r="AZ30" i="3" s="1"/>
  <c r="BA31" i="3" s="1"/>
  <c r="AY34" i="3" a="1"/>
  <c r="AY34" i="3" s="1"/>
  <c r="AX15" i="3" a="1"/>
  <c r="AX15" i="3" s="1"/>
  <c r="AO33" i="3"/>
  <c r="AS41" i="3"/>
  <c r="AM37" i="3"/>
  <c r="AY71" i="3"/>
  <c r="AY67" i="3"/>
  <c r="AY69" i="3"/>
  <c r="AY65" i="3"/>
  <c r="AY63" i="3"/>
  <c r="AY59" i="3"/>
  <c r="AY61" i="3"/>
  <c r="AY55" i="3"/>
  <c r="AY57" i="3"/>
  <c r="AY53" i="3"/>
  <c r="AY51" i="3"/>
  <c r="AY49" i="3"/>
  <c r="AY47" i="3"/>
  <c r="AY45" i="3"/>
  <c r="AY14" i="3"/>
  <c r="AQ24" i="3"/>
  <c r="AO32" i="3"/>
  <c r="AR41" i="3"/>
  <c r="AS40" i="3"/>
  <c r="AX35" i="3"/>
  <c r="AN33" i="3"/>
  <c r="AP29" i="3"/>
  <c r="AM36" i="3"/>
  <c r="AQ28" i="3"/>
  <c r="AJ39" i="3"/>
  <c r="AL37" i="3"/>
  <c r="AP25" i="3"/>
  <c r="AK38" i="3"/>
  <c r="AL26" i="3" a="1"/>
  <c r="AL26" i="3" s="1"/>
  <c r="AL42" i="3" a="1"/>
  <c r="AL42" i="3" s="1"/>
  <c r="AN16" i="3" a="1"/>
  <c r="AN16" i="3" s="1"/>
  <c r="AN18" i="3" a="1"/>
  <c r="AN18" i="3" s="1"/>
  <c r="AL22" i="3" a="1"/>
  <c r="AL22" i="3" s="1"/>
  <c r="AI12" i="3"/>
  <c r="AH13" i="3"/>
  <c r="AZ50" i="3" a="1"/>
  <c r="AZ50" i="3" s="1"/>
  <c r="AZ51" i="3" a="1"/>
  <c r="AZ51" i="3" s="1"/>
  <c r="BA50" i="3" a="1"/>
  <c r="BA50" i="3" s="1"/>
  <c r="AZ55" i="3" a="1"/>
  <c r="AZ55" i="3" s="1"/>
  <c r="BA54" i="3" a="1"/>
  <c r="BA54" i="3" s="1"/>
  <c r="AZ54" i="3" a="1"/>
  <c r="AZ54" i="3" s="1"/>
  <c r="AZ59" i="3" a="1"/>
  <c r="AZ59" i="3" s="1"/>
  <c r="AZ58" i="3" a="1"/>
  <c r="AZ58" i="3" s="1"/>
  <c r="BA58" i="3" a="1"/>
  <c r="BA58" i="3" s="1"/>
  <c r="AZ57" i="3" a="1"/>
  <c r="AZ57" i="3" s="1"/>
  <c r="BA56" i="3" a="1"/>
  <c r="BA56" i="3" s="1"/>
  <c r="AZ56" i="3" a="1"/>
  <c r="AZ56" i="3" s="1"/>
  <c r="AZ47" i="3" a="1"/>
  <c r="AZ47" i="3" s="1"/>
  <c r="BA46" i="3" a="1"/>
  <c r="BA46" i="3" s="1"/>
  <c r="AZ46" i="3" a="1"/>
  <c r="AZ46" i="3" s="1"/>
  <c r="AZ68" i="3" a="1"/>
  <c r="AZ68" i="3" s="1"/>
  <c r="BA68" i="3" a="1"/>
  <c r="BA68" i="3" s="1"/>
  <c r="AZ69" i="3" a="1"/>
  <c r="AZ69" i="3" s="1"/>
  <c r="AZ45" i="3" a="1"/>
  <c r="AZ45" i="3" s="1"/>
  <c r="BA44" i="3" a="1"/>
  <c r="BA44" i="3" s="1"/>
  <c r="AZ44" i="3" a="1"/>
  <c r="AZ44" i="3" s="1"/>
  <c r="AZ67" i="3" a="1"/>
  <c r="AZ67" i="3" s="1"/>
  <c r="BA66" i="3" a="1"/>
  <c r="BA66" i="3" s="1"/>
  <c r="AZ66" i="3" a="1"/>
  <c r="AZ66" i="3" s="1"/>
  <c r="BA60" i="3" a="1"/>
  <c r="BA60" i="3" s="1"/>
  <c r="AZ60" i="3" a="1"/>
  <c r="AZ60" i="3" s="1"/>
  <c r="AZ61" i="3" a="1"/>
  <c r="AZ61" i="3" s="1"/>
  <c r="AZ63" i="3" a="1"/>
  <c r="AZ63" i="3" s="1"/>
  <c r="BA62" i="3" a="1"/>
  <c r="BA62" i="3" s="1"/>
  <c r="AZ62" i="3" a="1"/>
  <c r="AZ62" i="3" s="1"/>
  <c r="AZ49" i="3" a="1"/>
  <c r="AZ49" i="3" s="1"/>
  <c r="BA48" i="3" a="1"/>
  <c r="BA48" i="3" s="1"/>
  <c r="AZ48" i="3" a="1"/>
  <c r="AZ48" i="3" s="1"/>
  <c r="BA64" i="3" a="1"/>
  <c r="BA64" i="3" s="1"/>
  <c r="AZ65" i="3" a="1"/>
  <c r="AZ65" i="3" s="1"/>
  <c r="AZ64" i="3" a="1"/>
  <c r="AZ64" i="3" s="1"/>
  <c r="AZ70" i="3" a="1"/>
  <c r="AZ70" i="3" s="1"/>
  <c r="AZ71" i="3" a="1"/>
  <c r="AZ71" i="3" s="1"/>
  <c r="BA70" i="3" a="1"/>
  <c r="BA70" i="3" s="1"/>
  <c r="AZ53" i="3" a="1"/>
  <c r="AZ53" i="3" s="1"/>
  <c r="BA52" i="3" a="1"/>
  <c r="BA52" i="3" s="1"/>
  <c r="AZ52" i="3" a="1"/>
  <c r="AZ52" i="3" s="1"/>
  <c r="AL23" i="3" a="1"/>
  <c r="AO16" i="3" a="1"/>
  <c r="AL27" i="3" a="1"/>
  <c r="AN17" i="3" a="1"/>
  <c r="AN19" i="3" a="1"/>
  <c r="AM26" i="3" a="1"/>
  <c r="AO18" i="3" a="1"/>
  <c r="AL43" i="3" a="1"/>
  <c r="AM22" i="3" a="1"/>
  <c r="AM42" i="3" a="1"/>
  <c r="C29" i="2" a="1"/>
  <c r="B30" i="2" a="1"/>
  <c r="AM43" i="3" l="1"/>
  <c r="AY31" i="3"/>
  <c r="AM27" i="3"/>
  <c r="AM23" i="3"/>
  <c r="AZ34" i="3" a="1"/>
  <c r="AZ34" i="3" s="1"/>
  <c r="BA34" i="3" a="1"/>
  <c r="BA34" i="3" s="1"/>
  <c r="BB34" i="3" s="1" a="1"/>
  <c r="BB34" i="3" s="1"/>
  <c r="BC35" i="3" s="1"/>
  <c r="AZ20" i="3" a="1"/>
  <c r="AZ20" i="3" s="1"/>
  <c r="AO19" i="3"/>
  <c r="AO17" i="3"/>
  <c r="AZ14" i="3" a="1"/>
  <c r="AZ14" i="3" s="1"/>
  <c r="BA30" i="3" a="1"/>
  <c r="BA30" i="3" s="1"/>
  <c r="AZ15" i="3" a="1"/>
  <c r="AZ15" i="3" s="1"/>
  <c r="BA14" i="3" a="1"/>
  <c r="BA14" i="3" s="1"/>
  <c r="BB14" i="3" s="1" a="1"/>
  <c r="BB14" i="3" s="1"/>
  <c r="BC15" i="3" s="1"/>
  <c r="AZ31" i="3" a="1"/>
  <c r="AZ31" i="3" s="1"/>
  <c r="BA20" i="3" a="1"/>
  <c r="BA20" i="3" s="1"/>
  <c r="BB20" i="3" s="1" a="1"/>
  <c r="BB20" i="3" s="1"/>
  <c r="BC21" i="3" s="1"/>
  <c r="AZ21" i="3" a="1"/>
  <c r="AZ21" i="3" s="1"/>
  <c r="B30" i="2"/>
  <c r="C29" i="2"/>
  <c r="F29" i="2" s="1" a="1"/>
  <c r="F29" i="2" s="1"/>
  <c r="BA71" i="3"/>
  <c r="BA67" i="3"/>
  <c r="BA69" i="3"/>
  <c r="BA63" i="3"/>
  <c r="BA65" i="3"/>
  <c r="BA61" i="3"/>
  <c r="BA59" i="3"/>
  <c r="BA55" i="3"/>
  <c r="BA57" i="3"/>
  <c r="BA51" i="3"/>
  <c r="BA53" i="3"/>
  <c r="BA49" i="3"/>
  <c r="BA47" i="3"/>
  <c r="BA45" i="3"/>
  <c r="AM42" i="3"/>
  <c r="AM22" i="3"/>
  <c r="AL43" i="3"/>
  <c r="AO18" i="3"/>
  <c r="AM26" i="3"/>
  <c r="AN19" i="3"/>
  <c r="AN17" i="3"/>
  <c r="AL27" i="3"/>
  <c r="AO16" i="3"/>
  <c r="AL23" i="3"/>
  <c r="AR28" i="3" a="1"/>
  <c r="AR28" i="3" s="1"/>
  <c r="AT40" i="3" a="1"/>
  <c r="AT40" i="3" s="1"/>
  <c r="AN36" i="3" a="1"/>
  <c r="AN36" i="3" s="1"/>
  <c r="AP32" i="3" a="1"/>
  <c r="AP32" i="3" s="1"/>
  <c r="AL38" i="3" a="1"/>
  <c r="AL38" i="3" s="1"/>
  <c r="AR24" i="3" a="1"/>
  <c r="AR24" i="3" s="1"/>
  <c r="BB47" i="3" a="1"/>
  <c r="BB47" i="3" s="1"/>
  <c r="BC46" i="3" a="1"/>
  <c r="BC46" i="3" s="1"/>
  <c r="BB46" i="3" a="1"/>
  <c r="BB46" i="3" s="1"/>
  <c r="BC54" i="3" a="1"/>
  <c r="BC54" i="3" s="1"/>
  <c r="BB55" i="3" a="1"/>
  <c r="BB55" i="3" s="1"/>
  <c r="BB54" i="3" a="1"/>
  <c r="BB54" i="3" s="1"/>
  <c r="BB58" i="3" a="1"/>
  <c r="BB58" i="3" s="1"/>
  <c r="BB59" i="3" a="1"/>
  <c r="BB59" i="3" s="1"/>
  <c r="BC58" i="3" a="1"/>
  <c r="BC58" i="3" s="1"/>
  <c r="BC68" i="3" a="1"/>
  <c r="BC68" i="3" s="1"/>
  <c r="BB69" i="3" a="1"/>
  <c r="BB69" i="3" s="1"/>
  <c r="BB68" i="3" a="1"/>
  <c r="BB68" i="3" s="1"/>
  <c r="BB67" i="3" a="1"/>
  <c r="BB67" i="3" s="1"/>
  <c r="BC66" i="3" a="1"/>
  <c r="BC66" i="3" s="1"/>
  <c r="BB66" i="3" a="1"/>
  <c r="BB66" i="3" s="1"/>
  <c r="BC60" i="3" a="1"/>
  <c r="BC60" i="3" s="1"/>
  <c r="BB61" i="3" a="1"/>
  <c r="BB61" i="3" s="1"/>
  <c r="BB60" i="3" a="1"/>
  <c r="BB60" i="3" s="1"/>
  <c r="BB57" i="3" a="1"/>
  <c r="BB57" i="3" s="1"/>
  <c r="BC56" i="3" a="1"/>
  <c r="BC56" i="3" s="1"/>
  <c r="BB56" i="3" a="1"/>
  <c r="BB56" i="3" s="1"/>
  <c r="BB52" i="3" a="1"/>
  <c r="BB52" i="3" s="1"/>
  <c r="BB53" i="3" a="1"/>
  <c r="BB53" i="3" s="1"/>
  <c r="BC52" i="3" a="1"/>
  <c r="BC52" i="3" s="1"/>
  <c r="BC70" i="3" a="1"/>
  <c r="BC70" i="3" s="1"/>
  <c r="BB70" i="3" a="1"/>
  <c r="BB70" i="3" s="1"/>
  <c r="BB71" i="3" a="1"/>
  <c r="BB71" i="3" s="1"/>
  <c r="BC62" i="3" a="1"/>
  <c r="BC62" i="3" s="1"/>
  <c r="BB63" i="3" a="1"/>
  <c r="BB63" i="3" s="1"/>
  <c r="BB62" i="3" a="1"/>
  <c r="BB62" i="3" s="1"/>
  <c r="BB51" i="3" a="1"/>
  <c r="BB51" i="3" s="1"/>
  <c r="BB50" i="3" a="1"/>
  <c r="BB50" i="3" s="1"/>
  <c r="BC50" i="3" a="1"/>
  <c r="BC50" i="3" s="1"/>
  <c r="BC48" i="3" a="1"/>
  <c r="BC48" i="3" s="1"/>
  <c r="BB49" i="3" a="1"/>
  <c r="BB49" i="3" s="1"/>
  <c r="BB48" i="3" a="1"/>
  <c r="BB48" i="3" s="1"/>
  <c r="BC44" i="3" a="1"/>
  <c r="BC44" i="3" s="1"/>
  <c r="BB45" i="3" a="1"/>
  <c r="BB45" i="3" s="1"/>
  <c r="BB44" i="3" a="1"/>
  <c r="BB44" i="3" s="1"/>
  <c r="AJ12" i="3" a="1"/>
  <c r="AJ12" i="3" s="1"/>
  <c r="AK13" i="3" s="1"/>
  <c r="BB64" i="3" a="1"/>
  <c r="BB64" i="3" s="1"/>
  <c r="BC64" i="3" a="1"/>
  <c r="BC64" i="3" s="1"/>
  <c r="BB65" i="3" a="1"/>
  <c r="BB65" i="3" s="1"/>
  <c r="AR29" i="3" a="1"/>
  <c r="AZ35" i="3" a="1"/>
  <c r="AR25" i="3" a="1"/>
  <c r="AS28" i="3" a="1"/>
  <c r="AS24" i="3" a="1"/>
  <c r="AQ32" i="3" a="1"/>
  <c r="AP33" i="3" a="1"/>
  <c r="AT41" i="3" a="1"/>
  <c r="AU40" i="3" a="1"/>
  <c r="AL39" i="3" a="1"/>
  <c r="AN37" i="3" a="1"/>
  <c r="AM38" i="3" a="1"/>
  <c r="AO36" i="3" a="1"/>
  <c r="AJ13" i="3" a="1"/>
  <c r="AK12" i="3" a="1"/>
  <c r="AM39" i="3" l="1"/>
  <c r="BA35" i="3"/>
  <c r="AS29" i="3"/>
  <c r="AS25" i="3"/>
  <c r="BA21" i="3"/>
  <c r="BA15" i="3"/>
  <c r="BB30" i="3" a="1"/>
  <c r="BB30" i="3" s="1"/>
  <c r="BB31" i="3" a="1"/>
  <c r="BB31" i="3" s="1"/>
  <c r="BC34" i="3" a="1"/>
  <c r="BC34" i="3" s="1"/>
  <c r="BC14" i="3" a="1"/>
  <c r="BC14" i="3" s="1"/>
  <c r="BB35" i="3" a="1"/>
  <c r="BB35" i="3" s="1"/>
  <c r="BC20" i="3" a="1"/>
  <c r="BC20" i="3" s="1"/>
  <c r="BB21" i="3" a="1"/>
  <c r="BB21" i="3" s="1"/>
  <c r="BB15" i="3" a="1"/>
  <c r="BB15" i="3" s="1"/>
  <c r="BC30" i="3" a="1"/>
  <c r="BC30" i="3" s="1"/>
  <c r="AQ33" i="3"/>
  <c r="AO37" i="3"/>
  <c r="AU41" i="3"/>
  <c r="BC71" i="3"/>
  <c r="BC67" i="3"/>
  <c r="BC69" i="3"/>
  <c r="BC63" i="3"/>
  <c r="BC65" i="3"/>
  <c r="BC61" i="3"/>
  <c r="BC59" i="3"/>
  <c r="BC55" i="3"/>
  <c r="BC57" i="3"/>
  <c r="BC51" i="3"/>
  <c r="BC53" i="3"/>
  <c r="BC49" i="3"/>
  <c r="BC47" i="3"/>
  <c r="BC45" i="3"/>
  <c r="AO36" i="3"/>
  <c r="AM38" i="3"/>
  <c r="AN37" i="3"/>
  <c r="AL39" i="3"/>
  <c r="AU40" i="3"/>
  <c r="AT41" i="3"/>
  <c r="AP33" i="3"/>
  <c r="AQ32" i="3"/>
  <c r="AS24" i="3"/>
  <c r="AS28" i="3"/>
  <c r="AR25" i="3"/>
  <c r="AZ35" i="3"/>
  <c r="AR29" i="3"/>
  <c r="AN26" i="3" a="1"/>
  <c r="AN26" i="3" s="1"/>
  <c r="AP18" i="3" a="1"/>
  <c r="AP18" i="3" s="1"/>
  <c r="AP16" i="3" a="1"/>
  <c r="AP16" i="3" s="1"/>
  <c r="AN22" i="3" a="1"/>
  <c r="AN22" i="3" s="1"/>
  <c r="AN42" i="3" a="1"/>
  <c r="AN42" i="3" s="1"/>
  <c r="AJ13" i="3"/>
  <c r="AK12" i="3"/>
  <c r="BD51" i="3" a="1"/>
  <c r="BD51" i="3" s="1"/>
  <c r="BD50" i="3" a="1"/>
  <c r="BD50" i="3" s="1"/>
  <c r="BE50" i="3" a="1"/>
  <c r="BE50" i="3" s="1"/>
  <c r="BE52" i="3" a="1"/>
  <c r="BE52" i="3" s="1"/>
  <c r="BD53" i="3" a="1"/>
  <c r="BD53" i="3" s="1"/>
  <c r="BD52" i="3" a="1"/>
  <c r="BD52" i="3" s="1"/>
  <c r="BD61" i="3" a="1"/>
  <c r="BD61" i="3" s="1"/>
  <c r="BE60" i="3" a="1"/>
  <c r="BE60" i="3" s="1"/>
  <c r="BD60" i="3" a="1"/>
  <c r="BD60" i="3" s="1"/>
  <c r="BE54" i="3" a="1"/>
  <c r="BE54" i="3" s="1"/>
  <c r="BD54" i="3" a="1"/>
  <c r="BD54" i="3" s="1"/>
  <c r="BD55" i="3" a="1"/>
  <c r="BD55" i="3" s="1"/>
  <c r="BE48" i="3" a="1"/>
  <c r="BE48" i="3" s="1"/>
  <c r="BD49" i="3" a="1"/>
  <c r="BD49" i="3" s="1"/>
  <c r="BD48" i="3" a="1"/>
  <c r="BD48" i="3" s="1"/>
  <c r="BD64" i="3" a="1"/>
  <c r="BD64" i="3" s="1"/>
  <c r="BD65" i="3" a="1"/>
  <c r="BD65" i="3" s="1"/>
  <c r="BE64" i="3" a="1"/>
  <c r="BE64" i="3" s="1"/>
  <c r="BE66" i="3" a="1"/>
  <c r="BE66" i="3" s="1"/>
  <c r="BD67" i="3" a="1"/>
  <c r="BD67" i="3" s="1"/>
  <c r="BD66" i="3" a="1"/>
  <c r="BD66" i="3" s="1"/>
  <c r="BD69" i="3" a="1"/>
  <c r="BD69" i="3" s="1"/>
  <c r="BD68" i="3" a="1"/>
  <c r="BD68" i="3" s="1"/>
  <c r="BE68" i="3" a="1"/>
  <c r="BE68" i="3" s="1"/>
  <c r="BE46" i="3" a="1"/>
  <c r="BE46" i="3" s="1"/>
  <c r="BD47" i="3" a="1"/>
  <c r="BD47" i="3" s="1"/>
  <c r="BD46" i="3" a="1"/>
  <c r="BD46" i="3" s="1"/>
  <c r="BD71" i="3" a="1"/>
  <c r="BD71" i="3" s="1"/>
  <c r="BD70" i="3" a="1"/>
  <c r="BD70" i="3" s="1"/>
  <c r="BE70" i="3" a="1"/>
  <c r="BE70" i="3" s="1"/>
  <c r="BE44" i="3" a="1"/>
  <c r="BE44" i="3" s="1"/>
  <c r="BD45" i="3" a="1"/>
  <c r="BD45" i="3" s="1"/>
  <c r="BD44" i="3" a="1"/>
  <c r="BD44" i="3" s="1"/>
  <c r="BD63" i="3" a="1"/>
  <c r="BD63" i="3" s="1"/>
  <c r="BE62" i="3" a="1"/>
  <c r="BE62" i="3" s="1"/>
  <c r="BD62" i="3" a="1"/>
  <c r="BD62" i="3" s="1"/>
  <c r="BD57" i="3" a="1"/>
  <c r="BD57" i="3" s="1"/>
  <c r="BE56" i="3" a="1"/>
  <c r="BE56" i="3" s="1"/>
  <c r="BD56" i="3" a="1"/>
  <c r="BD56" i="3" s="1"/>
  <c r="BD59" i="3" a="1"/>
  <c r="BD59" i="3" s="1"/>
  <c r="BD58" i="3" a="1"/>
  <c r="BD58" i="3" s="1"/>
  <c r="BE58" i="3" a="1"/>
  <c r="BE58" i="3" s="1"/>
  <c r="AP19" i="3" a="1"/>
  <c r="AQ18" i="3" a="1"/>
  <c r="AP17" i="3" a="1"/>
  <c r="AO42" i="3" a="1"/>
  <c r="AQ16" i="3" a="1"/>
  <c r="AO26" i="3" a="1"/>
  <c r="AN27" i="3" a="1"/>
  <c r="AN23" i="3" a="1"/>
  <c r="AO22" i="3" a="1"/>
  <c r="AN43" i="3" a="1"/>
  <c r="B31" i="2" a="1"/>
  <c r="C30" i="2" a="1"/>
  <c r="AO43" i="3" l="1"/>
  <c r="BD34" i="3" a="1"/>
  <c r="BD34" i="3" s="1"/>
  <c r="BC31" i="3"/>
  <c r="AO27" i="3"/>
  <c r="AO23" i="3"/>
  <c r="AQ19" i="3"/>
  <c r="AQ17" i="3"/>
  <c r="BD20" i="3" a="1"/>
  <c r="BD20" i="3" s="1"/>
  <c r="BE20" i="3" a="1"/>
  <c r="BE20" i="3" s="1"/>
  <c r="BD14" i="3" a="1"/>
  <c r="BD14" i="3" s="1"/>
  <c r="BD15" i="3" a="1"/>
  <c r="BD15" i="3" s="1"/>
  <c r="BD21" i="3" a="1"/>
  <c r="BD21" i="3" s="1"/>
  <c r="BD31" i="3" a="1"/>
  <c r="BD31" i="3" s="1"/>
  <c r="BE30" i="3" a="1"/>
  <c r="BE30" i="3" s="1"/>
  <c r="BE34" i="3" a="1"/>
  <c r="BE34" i="3" s="1"/>
  <c r="BF34" i="3" s="1" a="1"/>
  <c r="BF34" i="3" s="1"/>
  <c r="BG35" i="3" s="1"/>
  <c r="BD35" i="3" a="1"/>
  <c r="BD35" i="3" s="1"/>
  <c r="C30" i="2"/>
  <c r="F30" i="2" s="1" a="1"/>
  <c r="F30" i="2" s="1"/>
  <c r="B31" i="2"/>
  <c r="BE71" i="3"/>
  <c r="BE67" i="3"/>
  <c r="BE69" i="3"/>
  <c r="BE65" i="3"/>
  <c r="BE63" i="3"/>
  <c r="BE59" i="3"/>
  <c r="BE61" i="3"/>
  <c r="BE55" i="3"/>
  <c r="BE57" i="3"/>
  <c r="BE53" i="3"/>
  <c r="BE51" i="3"/>
  <c r="BE47" i="3"/>
  <c r="BE49" i="3"/>
  <c r="BE45" i="3"/>
  <c r="AN43" i="3"/>
  <c r="AO22" i="3"/>
  <c r="AN23" i="3"/>
  <c r="AN27" i="3"/>
  <c r="AO26" i="3"/>
  <c r="AQ16" i="3"/>
  <c r="AO42" i="3"/>
  <c r="AP17" i="3"/>
  <c r="AQ18" i="3"/>
  <c r="AP19" i="3"/>
  <c r="BD30" i="3" a="1"/>
  <c r="BD30" i="3" s="1"/>
  <c r="AT28" i="3" a="1"/>
  <c r="AT28" i="3" s="1"/>
  <c r="AV40" i="3" a="1"/>
  <c r="AV40" i="3" s="1"/>
  <c r="AR32" i="3" a="1"/>
  <c r="AR32" i="3" s="1"/>
  <c r="AT24" i="3" a="1"/>
  <c r="AT24" i="3" s="1"/>
  <c r="AN38" i="3" a="1"/>
  <c r="AN38" i="3" s="1"/>
  <c r="AP36" i="3" a="1"/>
  <c r="AP36" i="3" s="1"/>
  <c r="BG66" i="3" a="1"/>
  <c r="BG66" i="3" s="1"/>
  <c r="BF66" i="3" a="1"/>
  <c r="BF66" i="3" s="1"/>
  <c r="BF67" i="3" a="1"/>
  <c r="BF67" i="3" s="1"/>
  <c r="BF50" i="3" a="1"/>
  <c r="BF50" i="3" s="1"/>
  <c r="BF51" i="3" a="1"/>
  <c r="BF51" i="3" s="1"/>
  <c r="BG50" i="3" a="1"/>
  <c r="BG50" i="3" s="1"/>
  <c r="BF64" i="3" a="1"/>
  <c r="BF64" i="3" s="1"/>
  <c r="BF65" i="3" a="1"/>
  <c r="BF65" i="3" s="1"/>
  <c r="BG64" i="3" a="1"/>
  <c r="BG64" i="3" s="1"/>
  <c r="BF46" i="3" a="1"/>
  <c r="BF46" i="3" s="1"/>
  <c r="BF47" i="3" a="1"/>
  <c r="BF47" i="3" s="1"/>
  <c r="BG46" i="3" a="1"/>
  <c r="BG46" i="3" s="1"/>
  <c r="BG48" i="3" a="1"/>
  <c r="BG48" i="3" s="1"/>
  <c r="BF48" i="3" a="1"/>
  <c r="BF48" i="3" s="1"/>
  <c r="BF49" i="3" a="1"/>
  <c r="BF49" i="3" s="1"/>
  <c r="BF58" i="3" a="1"/>
  <c r="BF58" i="3" s="1"/>
  <c r="BF59" i="3" a="1"/>
  <c r="BF59" i="3" s="1"/>
  <c r="BG58" i="3" a="1"/>
  <c r="BG58" i="3" s="1"/>
  <c r="BG68" i="3" a="1"/>
  <c r="BG68" i="3" s="1"/>
  <c r="BF69" i="3" a="1"/>
  <c r="BF69" i="3" s="1"/>
  <c r="BF68" i="3" a="1"/>
  <c r="BF68" i="3" s="1"/>
  <c r="BG60" i="3" a="1"/>
  <c r="BG60" i="3" s="1"/>
  <c r="BF60" i="3" a="1"/>
  <c r="BF60" i="3" s="1"/>
  <c r="BF61" i="3" a="1"/>
  <c r="BF61" i="3" s="1"/>
  <c r="BF57" i="3" a="1"/>
  <c r="BF57" i="3" s="1"/>
  <c r="BG56" i="3" a="1"/>
  <c r="BG56" i="3" s="1"/>
  <c r="BF56" i="3" a="1"/>
  <c r="BF56" i="3" s="1"/>
  <c r="BG54" i="3" a="1"/>
  <c r="BG54" i="3" s="1"/>
  <c r="BF54" i="3" a="1"/>
  <c r="BF54" i="3" s="1"/>
  <c r="BF55" i="3" a="1"/>
  <c r="BF55" i="3" s="1"/>
  <c r="BG44" i="3" a="1"/>
  <c r="BG44" i="3" s="1"/>
  <c r="BF44" i="3" a="1"/>
  <c r="BF44" i="3" s="1"/>
  <c r="BF45" i="3" a="1"/>
  <c r="BF45" i="3" s="1"/>
  <c r="AL12" i="3" a="1"/>
  <c r="AL12" i="3" s="1"/>
  <c r="AM13" i="3" s="1"/>
  <c r="BG70" i="3" a="1"/>
  <c r="BG70" i="3" s="1"/>
  <c r="BF71" i="3" a="1"/>
  <c r="BF71" i="3" s="1"/>
  <c r="BF70" i="3" a="1"/>
  <c r="BF70" i="3" s="1"/>
  <c r="BF63" i="3" a="1"/>
  <c r="BF63" i="3" s="1"/>
  <c r="BG62" i="3" a="1"/>
  <c r="BG62" i="3" s="1"/>
  <c r="BF62" i="3" a="1"/>
  <c r="BF62" i="3" s="1"/>
  <c r="BF52" i="3" a="1"/>
  <c r="BF52" i="3" s="1"/>
  <c r="BF53" i="3" a="1"/>
  <c r="BF53" i="3" s="1"/>
  <c r="BG52" i="3" a="1"/>
  <c r="BG52" i="3" s="1"/>
  <c r="AW40" i="3" a="1"/>
  <c r="AO38" i="3" a="1"/>
  <c r="BE14" i="3" a="1"/>
  <c r="AN39" i="3" a="1"/>
  <c r="AS32" i="3" a="1"/>
  <c r="AU28" i="3" a="1"/>
  <c r="AR33" i="3" a="1"/>
  <c r="AQ36" i="3" a="1"/>
  <c r="AT25" i="3" a="1"/>
  <c r="AP37" i="3" a="1"/>
  <c r="AT29" i="3" a="1"/>
  <c r="AU24" i="3" a="1"/>
  <c r="AV41" i="3" a="1"/>
  <c r="AM12" i="3" a="1"/>
  <c r="AL13" i="3" a="1"/>
  <c r="AO39" i="3" l="1"/>
  <c r="BE35" i="3"/>
  <c r="BE31" i="3"/>
  <c r="AU29" i="3"/>
  <c r="AU25" i="3"/>
  <c r="BE21" i="3"/>
  <c r="BE15" i="3"/>
  <c r="BF20" i="3" a="1"/>
  <c r="BF20" i="3" s="1"/>
  <c r="BG20" i="3" a="1"/>
  <c r="BG20" i="3" s="1"/>
  <c r="BH20" i="3" s="1" a="1"/>
  <c r="BH20" i="3" s="1"/>
  <c r="BI21" i="3" s="1"/>
  <c r="BF30" i="3" a="1"/>
  <c r="BF30" i="3" s="1"/>
  <c r="BF31" i="3" a="1"/>
  <c r="BF31" i="3" s="1"/>
  <c r="BG30" i="3" a="1"/>
  <c r="BG30" i="3" s="1"/>
  <c r="BH30" i="3" s="1" a="1"/>
  <c r="BH30" i="3" s="1"/>
  <c r="BI31" i="3" s="1"/>
  <c r="BF21" i="3" a="1"/>
  <c r="BF21" i="3" s="1"/>
  <c r="BG34" i="3" a="1"/>
  <c r="BG34" i="3" s="1"/>
  <c r="BF35" i="3" a="1"/>
  <c r="BF35" i="3" s="1"/>
  <c r="AS33" i="3"/>
  <c r="AW41" i="3"/>
  <c r="AQ37" i="3"/>
  <c r="BG71" i="3"/>
  <c r="BG67" i="3"/>
  <c r="BG69" i="3"/>
  <c r="BG63" i="3"/>
  <c r="BG65" i="3"/>
  <c r="BG59" i="3"/>
  <c r="BG61" i="3"/>
  <c r="BG57" i="3"/>
  <c r="BG55" i="3"/>
  <c r="BG53" i="3"/>
  <c r="BG51" i="3"/>
  <c r="BG47" i="3"/>
  <c r="BG49" i="3"/>
  <c r="BG45" i="3"/>
  <c r="AV41" i="3"/>
  <c r="AU24" i="3"/>
  <c r="AT29" i="3"/>
  <c r="AP37" i="3"/>
  <c r="AT25" i="3"/>
  <c r="AQ36" i="3"/>
  <c r="AR33" i="3"/>
  <c r="AU28" i="3"/>
  <c r="AS32" i="3"/>
  <c r="AN39" i="3"/>
  <c r="BE14" i="3"/>
  <c r="AO38" i="3"/>
  <c r="AW40" i="3"/>
  <c r="AR18" i="3" a="1"/>
  <c r="AR18" i="3" s="1"/>
  <c r="AP42" i="3" a="1"/>
  <c r="AP42" i="3" s="1"/>
  <c r="AP22" i="3" a="1"/>
  <c r="AP22" i="3" s="1"/>
  <c r="AR16" i="3" a="1"/>
  <c r="AR16" i="3" s="1"/>
  <c r="AP26" i="3" a="1"/>
  <c r="AP26" i="3" s="1"/>
  <c r="AL13" i="3"/>
  <c r="AM12" i="3"/>
  <c r="BH71" i="3" a="1"/>
  <c r="BH71" i="3" s="1"/>
  <c r="BH70" i="3" a="1"/>
  <c r="BH70" i="3" s="1"/>
  <c r="BI70" i="3" a="1"/>
  <c r="BI70" i="3" s="1"/>
  <c r="BI46" i="3" a="1"/>
  <c r="BI46" i="3" s="1"/>
  <c r="BH47" i="3" a="1"/>
  <c r="BH47" i="3" s="1"/>
  <c r="BH46" i="3" a="1"/>
  <c r="BH46" i="3" s="1"/>
  <c r="BI64" i="3" a="1"/>
  <c r="BI64" i="3" s="1"/>
  <c r="BH64" i="3" a="1"/>
  <c r="BH64" i="3" s="1"/>
  <c r="BH65" i="3" a="1"/>
  <c r="BH65" i="3" s="1"/>
  <c r="BH50" i="3" a="1"/>
  <c r="BH50" i="3" s="1"/>
  <c r="BH51" i="3" a="1"/>
  <c r="BH51" i="3" s="1"/>
  <c r="BI50" i="3" a="1"/>
  <c r="BI50" i="3" s="1"/>
  <c r="BH55" i="3" a="1"/>
  <c r="BH55" i="3" s="1"/>
  <c r="BI54" i="3" a="1"/>
  <c r="BI54" i="3" s="1"/>
  <c r="BH54" i="3" a="1"/>
  <c r="BH54" i="3" s="1"/>
  <c r="BH57" i="3" a="1"/>
  <c r="BH57" i="3" s="1"/>
  <c r="BH56" i="3" a="1"/>
  <c r="BH56" i="3" s="1"/>
  <c r="BI56" i="3" a="1"/>
  <c r="BI56" i="3" s="1"/>
  <c r="BH68" i="3" a="1"/>
  <c r="BH68" i="3" s="1"/>
  <c r="BH69" i="3" a="1"/>
  <c r="BH69" i="3" s="1"/>
  <c r="BI68" i="3" a="1"/>
  <c r="BI68" i="3" s="1"/>
  <c r="BH49" i="3" a="1"/>
  <c r="BH49" i="3" s="1"/>
  <c r="BI48" i="3" a="1"/>
  <c r="BI48" i="3" s="1"/>
  <c r="BH48" i="3" a="1"/>
  <c r="BH48" i="3" s="1"/>
  <c r="BH63" i="3" a="1"/>
  <c r="BH63" i="3" s="1"/>
  <c r="BI62" i="3" a="1"/>
  <c r="BI62" i="3" s="1"/>
  <c r="BH62" i="3" a="1"/>
  <c r="BH62" i="3" s="1"/>
  <c r="BH45" i="3" a="1"/>
  <c r="BH45" i="3" s="1"/>
  <c r="BI44" i="3" a="1"/>
  <c r="BI44" i="3" s="1"/>
  <c r="BH44" i="3" a="1"/>
  <c r="BH44" i="3" s="1"/>
  <c r="BH61" i="3" a="1"/>
  <c r="BH61" i="3" s="1"/>
  <c r="BI60" i="3" a="1"/>
  <c r="BI60" i="3" s="1"/>
  <c r="BH60" i="3" a="1"/>
  <c r="BH60" i="3" s="1"/>
  <c r="BI52" i="3" a="1"/>
  <c r="BI52" i="3" s="1"/>
  <c r="BH53" i="3" a="1"/>
  <c r="BH53" i="3" s="1"/>
  <c r="BH52" i="3" a="1"/>
  <c r="BH52" i="3" s="1"/>
  <c r="BH58" i="3" a="1"/>
  <c r="BH58" i="3" s="1"/>
  <c r="BH59" i="3" a="1"/>
  <c r="BH59" i="3" s="1"/>
  <c r="BI58" i="3" a="1"/>
  <c r="BI58" i="3" s="1"/>
  <c r="BI66" i="3" a="1"/>
  <c r="BI66" i="3" s="1"/>
  <c r="BH66" i="3" a="1"/>
  <c r="BH66" i="3" s="1"/>
  <c r="BH67" i="3" a="1"/>
  <c r="BH67" i="3" s="1"/>
  <c r="AQ42" i="3" a="1"/>
  <c r="AP23" i="3" a="1"/>
  <c r="AQ26" i="3" a="1"/>
  <c r="AQ22" i="3" a="1"/>
  <c r="AR19" i="3" a="1"/>
  <c r="AR17" i="3" a="1"/>
  <c r="AS18" i="3" a="1"/>
  <c r="AS16" i="3" a="1"/>
  <c r="AP43" i="3" a="1"/>
  <c r="AP27" i="3" a="1"/>
  <c r="C31" i="2" a="1"/>
  <c r="B32" i="2" a="1"/>
  <c r="AQ43" i="3" l="1"/>
  <c r="BH34" i="3" a="1"/>
  <c r="BH34" i="3" s="1"/>
  <c r="BG31" i="3"/>
  <c r="AQ27" i="3"/>
  <c r="AQ23" i="3"/>
  <c r="BG21" i="3"/>
  <c r="AS19" i="3"/>
  <c r="AS17" i="3"/>
  <c r="BH35" i="3" a="1"/>
  <c r="BH35" i="3" s="1"/>
  <c r="BI34" i="3" a="1"/>
  <c r="BI34" i="3" s="1"/>
  <c r="BJ34" i="3" s="1" a="1"/>
  <c r="BJ34" i="3" s="1"/>
  <c r="BK35" i="3" s="1"/>
  <c r="B32" i="2"/>
  <c r="C31" i="2"/>
  <c r="F31" i="2" s="1" a="1"/>
  <c r="F31" i="2" s="1"/>
  <c r="BI20" i="3" a="1"/>
  <c r="BI20" i="3" s="1"/>
  <c r="BH31" i="3" a="1"/>
  <c r="BH31" i="3" s="1"/>
  <c r="BI71" i="3"/>
  <c r="BI69" i="3"/>
  <c r="BI67" i="3"/>
  <c r="BI65" i="3"/>
  <c r="BI63" i="3"/>
  <c r="BI59" i="3"/>
  <c r="BI61" i="3"/>
  <c r="BI57" i="3"/>
  <c r="BI55" i="3"/>
  <c r="BI51" i="3"/>
  <c r="BI53" i="3"/>
  <c r="BI47" i="3"/>
  <c r="BI49" i="3"/>
  <c r="BI45" i="3"/>
  <c r="AP27" i="3"/>
  <c r="AP43" i="3"/>
  <c r="AS16" i="3"/>
  <c r="AS18" i="3"/>
  <c r="AR17" i="3"/>
  <c r="AR19" i="3"/>
  <c r="AQ22" i="3"/>
  <c r="AQ26" i="3"/>
  <c r="AP23" i="3"/>
  <c r="AQ42" i="3"/>
  <c r="AT32" i="3" a="1"/>
  <c r="AT32" i="3" s="1"/>
  <c r="AV28" i="3" a="1"/>
  <c r="AV28" i="3" s="1"/>
  <c r="AV24" i="3" a="1"/>
  <c r="AV24" i="3" s="1"/>
  <c r="AX40" i="3" a="1"/>
  <c r="AX40" i="3" s="1"/>
  <c r="AR36" i="3" a="1"/>
  <c r="AR36" i="3" s="1"/>
  <c r="AP38" i="3" a="1"/>
  <c r="AP38" i="3" s="1"/>
  <c r="BF14" i="3" a="1"/>
  <c r="BF14" i="3" s="1"/>
  <c r="BJ67" i="3" a="1"/>
  <c r="BJ67" i="3" s="1"/>
  <c r="BK66" i="3" a="1"/>
  <c r="BK66" i="3" s="1"/>
  <c r="BJ66" i="3" a="1"/>
  <c r="BJ66" i="3" s="1"/>
  <c r="BJ57" i="3" a="1"/>
  <c r="BJ57" i="3" s="1"/>
  <c r="BJ56" i="3" a="1"/>
  <c r="BJ56" i="3" s="1"/>
  <c r="BK56" i="3" a="1"/>
  <c r="BK56" i="3" s="1"/>
  <c r="BJ64" i="3" a="1"/>
  <c r="BJ64" i="3" s="1"/>
  <c r="BJ65" i="3" a="1"/>
  <c r="BJ65" i="3" s="1"/>
  <c r="BK64" i="3" a="1"/>
  <c r="BK64" i="3" s="1"/>
  <c r="BK44" i="3" a="1"/>
  <c r="BK44" i="3" s="1"/>
  <c r="BJ44" i="3" a="1"/>
  <c r="BJ44" i="3" s="1"/>
  <c r="BJ45" i="3" a="1"/>
  <c r="BJ45" i="3" s="1"/>
  <c r="BK70" i="3" a="1"/>
  <c r="BK70" i="3" s="1"/>
  <c r="BJ71" i="3" a="1"/>
  <c r="BJ71" i="3" s="1"/>
  <c r="BJ70" i="3" a="1"/>
  <c r="BJ70" i="3" s="1"/>
  <c r="BK54" i="3" a="1"/>
  <c r="BK54" i="3" s="1"/>
  <c r="BJ54" i="3" a="1"/>
  <c r="BJ54" i="3" s="1"/>
  <c r="BJ55" i="3" a="1"/>
  <c r="BJ55" i="3" s="1"/>
  <c r="BJ58" i="3" a="1"/>
  <c r="BJ58" i="3" s="1"/>
  <c r="BJ59" i="3" a="1"/>
  <c r="BJ59" i="3" s="1"/>
  <c r="BK58" i="3" a="1"/>
  <c r="BK58" i="3" s="1"/>
  <c r="BK48" i="3" a="1"/>
  <c r="BK48" i="3" s="1"/>
  <c r="BJ48" i="3" a="1"/>
  <c r="BJ48" i="3" s="1"/>
  <c r="BJ49" i="3" a="1"/>
  <c r="BJ49" i="3" s="1"/>
  <c r="BJ51" i="3" a="1"/>
  <c r="BJ51" i="3" s="1"/>
  <c r="BJ50" i="3" a="1"/>
  <c r="BJ50" i="3" s="1"/>
  <c r="BK50" i="3" a="1"/>
  <c r="BK50" i="3" s="1"/>
  <c r="BK62" i="3" a="1"/>
  <c r="BK62" i="3" s="1"/>
  <c r="BJ63" i="3" a="1"/>
  <c r="BJ63" i="3" s="1"/>
  <c r="BJ62" i="3" a="1"/>
  <c r="BJ62" i="3" s="1"/>
  <c r="AN12" i="3" a="1"/>
  <c r="AN12" i="3" s="1"/>
  <c r="AO13" i="3" s="1"/>
  <c r="BK60" i="3" a="1"/>
  <c r="BK60" i="3" s="1"/>
  <c r="BJ61" i="3" a="1"/>
  <c r="BJ61" i="3" s="1"/>
  <c r="BJ60" i="3" a="1"/>
  <c r="BJ60" i="3" s="1"/>
  <c r="BK68" i="3" a="1"/>
  <c r="BK68" i="3" s="1"/>
  <c r="BJ69" i="3" a="1"/>
  <c r="BJ69" i="3" s="1"/>
  <c r="BJ68" i="3" a="1"/>
  <c r="BJ68" i="3" s="1"/>
  <c r="BJ52" i="3" a="1"/>
  <c r="BJ52" i="3" s="1"/>
  <c r="BJ53" i="3" a="1"/>
  <c r="BJ53" i="3" s="1"/>
  <c r="BK52" i="3" a="1"/>
  <c r="BK52" i="3" s="1"/>
  <c r="BJ47" i="3" a="1"/>
  <c r="BJ47" i="3" s="1"/>
  <c r="BJ46" i="3" a="1"/>
  <c r="BJ46" i="3" s="1"/>
  <c r="BK46" i="3" a="1"/>
  <c r="BK46" i="3" s="1"/>
  <c r="AT33" i="3" a="1"/>
  <c r="BI30" i="3" a="1"/>
  <c r="AX41" i="3" a="1"/>
  <c r="AP39" i="3" a="1"/>
  <c r="AV29" i="3" a="1"/>
  <c r="AY40" i="3" a="1"/>
  <c r="BF15" i="3" a="1"/>
  <c r="AW28" i="3" a="1"/>
  <c r="BG14" i="3" a="1"/>
  <c r="AV25" i="3" a="1"/>
  <c r="AS36" i="3" a="1"/>
  <c r="AR37" i="3" a="1"/>
  <c r="AU32" i="3" a="1"/>
  <c r="AW24" i="3" a="1"/>
  <c r="BH21" i="3" a="1"/>
  <c r="AQ38" i="3" a="1"/>
  <c r="AN13" i="3" a="1"/>
  <c r="AO12" i="3" a="1"/>
  <c r="AQ39" i="3" l="1"/>
  <c r="BI35" i="3"/>
  <c r="AW29" i="3"/>
  <c r="AW25" i="3"/>
  <c r="BJ20" i="3" a="1"/>
  <c r="BJ20" i="3" s="1"/>
  <c r="BG15" i="3"/>
  <c r="BK20" i="3" a="1"/>
  <c r="BK20" i="3" s="1"/>
  <c r="BL20" i="3" s="1" a="1"/>
  <c r="BL20" i="3" s="1"/>
  <c r="BM21" i="3" s="1"/>
  <c r="BJ35" i="3" a="1"/>
  <c r="BJ35" i="3" s="1"/>
  <c r="BK34" i="3" a="1"/>
  <c r="BK34" i="3" s="1"/>
  <c r="BJ21" i="3" a="1"/>
  <c r="BJ21" i="3" s="1"/>
  <c r="AY41" i="3"/>
  <c r="AU33" i="3"/>
  <c r="AS37" i="3"/>
  <c r="BK71" i="3"/>
  <c r="BK67" i="3"/>
  <c r="BK69" i="3"/>
  <c r="BK65" i="3"/>
  <c r="BK63" i="3"/>
  <c r="BK61" i="3"/>
  <c r="BK59" i="3"/>
  <c r="BK57" i="3"/>
  <c r="BK55" i="3"/>
  <c r="BK53" i="3"/>
  <c r="BK51" i="3"/>
  <c r="BK47" i="3"/>
  <c r="BK49" i="3"/>
  <c r="BK45" i="3"/>
  <c r="AQ38" i="3"/>
  <c r="BH21" i="3"/>
  <c r="AW24" i="3"/>
  <c r="AU32" i="3"/>
  <c r="AR37" i="3"/>
  <c r="AS36" i="3"/>
  <c r="AV25" i="3"/>
  <c r="BG14" i="3"/>
  <c r="AW28" i="3"/>
  <c r="BF15" i="3"/>
  <c r="AY40" i="3"/>
  <c r="AV29" i="3"/>
  <c r="AP39" i="3"/>
  <c r="AX41" i="3"/>
  <c r="BI30" i="3"/>
  <c r="AT33" i="3"/>
  <c r="AR42" i="3" a="1"/>
  <c r="AR42" i="3" s="1"/>
  <c r="AT18" i="3" a="1"/>
  <c r="AT18" i="3" s="1"/>
  <c r="AT16" i="3" a="1"/>
  <c r="AT16" i="3" s="1"/>
  <c r="AR26" i="3" a="1"/>
  <c r="AR26" i="3" s="1"/>
  <c r="AR22" i="3" a="1"/>
  <c r="AR22" i="3" s="1"/>
  <c r="AO12" i="3"/>
  <c r="AN13" i="3"/>
  <c r="BM60" i="3" a="1"/>
  <c r="BM60" i="3" s="1"/>
  <c r="BL61" i="3" a="1"/>
  <c r="BL61" i="3" s="1"/>
  <c r="BL60" i="3" a="1"/>
  <c r="BL60" i="3" s="1"/>
  <c r="BM56" i="3" a="1"/>
  <c r="BM56" i="3" s="1"/>
  <c r="BL56" i="3" a="1"/>
  <c r="BL56" i="3" s="1"/>
  <c r="BL57" i="3" a="1"/>
  <c r="BL57" i="3" s="1"/>
  <c r="BL68" i="3" a="1"/>
  <c r="BL68" i="3" s="1"/>
  <c r="BL69" i="3" a="1"/>
  <c r="BL69" i="3" s="1"/>
  <c r="BM68" i="3" a="1"/>
  <c r="BM68" i="3" s="1"/>
  <c r="BL50" i="3" a="1"/>
  <c r="BL50" i="3" s="1"/>
  <c r="BL51" i="3" a="1"/>
  <c r="BL51" i="3" s="1"/>
  <c r="BM50" i="3" a="1"/>
  <c r="BM50" i="3" s="1"/>
  <c r="BL49" i="3" a="1"/>
  <c r="BL49" i="3" s="1"/>
  <c r="BM48" i="3" a="1"/>
  <c r="BM48" i="3" s="1"/>
  <c r="BL48" i="3" a="1"/>
  <c r="BL48" i="3" s="1"/>
  <c r="BM46" i="3" a="1"/>
  <c r="BM46" i="3" s="1"/>
  <c r="BL46" i="3" a="1"/>
  <c r="BL46" i="3" s="1"/>
  <c r="BL47" i="3" a="1"/>
  <c r="BL47" i="3" s="1"/>
  <c r="BL65" i="3" a="1"/>
  <c r="BL65" i="3" s="1"/>
  <c r="BM64" i="3" a="1"/>
  <c r="BM64" i="3" s="1"/>
  <c r="BL64" i="3" a="1"/>
  <c r="BL64" i="3" s="1"/>
  <c r="BL71" i="3" a="1"/>
  <c r="BL71" i="3" s="1"/>
  <c r="BL70" i="3" a="1"/>
  <c r="BL70" i="3" s="1"/>
  <c r="BM70" i="3" a="1"/>
  <c r="BM70" i="3" s="1"/>
  <c r="BL63" i="3" a="1"/>
  <c r="BL63" i="3" s="1"/>
  <c r="BM62" i="3" a="1"/>
  <c r="BM62" i="3" s="1"/>
  <c r="BL62" i="3" a="1"/>
  <c r="BL62" i="3" s="1"/>
  <c r="BL59" i="3" a="1"/>
  <c r="BL59" i="3" s="1"/>
  <c r="BL58" i="3" a="1"/>
  <c r="BL58" i="3" s="1"/>
  <c r="BM58" i="3" a="1"/>
  <c r="BM58" i="3" s="1"/>
  <c r="BL55" i="3" a="1"/>
  <c r="BL55" i="3" s="1"/>
  <c r="BM54" i="3" a="1"/>
  <c r="BM54" i="3" s="1"/>
  <c r="BL54" i="3" a="1"/>
  <c r="BL54" i="3" s="1"/>
  <c r="BL45" i="3" a="1"/>
  <c r="BL45" i="3" s="1"/>
  <c r="BM44" i="3" a="1"/>
  <c r="BM44" i="3" s="1"/>
  <c r="BL44" i="3" a="1"/>
  <c r="BL44" i="3" s="1"/>
  <c r="BM66" i="3" a="1"/>
  <c r="BM66" i="3" s="1"/>
  <c r="BL67" i="3" a="1"/>
  <c r="BL67" i="3" s="1"/>
  <c r="BL66" i="3" a="1"/>
  <c r="BL66" i="3" s="1"/>
  <c r="BL53" i="3" a="1"/>
  <c r="BL53" i="3" s="1"/>
  <c r="BM52" i="3" a="1"/>
  <c r="BM52" i="3" s="1"/>
  <c r="BL52" i="3" a="1"/>
  <c r="BL52" i="3" s="1"/>
  <c r="AT19" i="3" a="1"/>
  <c r="AR23" i="3" a="1"/>
  <c r="AU18" i="3" a="1"/>
  <c r="AS22" i="3" a="1"/>
  <c r="AT17" i="3" a="1"/>
  <c r="AS42" i="3" a="1"/>
  <c r="AU16" i="3" a="1"/>
  <c r="AR43" i="3" a="1"/>
  <c r="AR27" i="3" a="1"/>
  <c r="AS26" i="3" a="1"/>
  <c r="B33" i="2" a="1"/>
  <c r="C32" i="2" a="1"/>
  <c r="AS43" i="3" l="1"/>
  <c r="BL34" i="3" a="1"/>
  <c r="BL34" i="3" s="1"/>
  <c r="AS27" i="3"/>
  <c r="AS23" i="3"/>
  <c r="BL21" i="3" a="1"/>
  <c r="BL21" i="3" s="1"/>
  <c r="BL35" i="3" a="1"/>
  <c r="BL35" i="3" s="1"/>
  <c r="BM34" i="3" a="1"/>
  <c r="BM34" i="3" s="1"/>
  <c r="BN34" i="3" s="1" a="1"/>
  <c r="BN34" i="3" s="1"/>
  <c r="BO35" i="3" s="1"/>
  <c r="BK21" i="3"/>
  <c r="AU19" i="3"/>
  <c r="AU17" i="3"/>
  <c r="BM20" i="3" a="1"/>
  <c r="BM20" i="3" s="1"/>
  <c r="C32" i="2"/>
  <c r="F32" i="2" s="1" a="1"/>
  <c r="F32" i="2" s="1"/>
  <c r="B33" i="2"/>
  <c r="BM71" i="3"/>
  <c r="BM67" i="3"/>
  <c r="BM69" i="3"/>
  <c r="BM63" i="3"/>
  <c r="BM65" i="3"/>
  <c r="BM59" i="3"/>
  <c r="BM61" i="3"/>
  <c r="BM55" i="3"/>
  <c r="BM57" i="3"/>
  <c r="BM53" i="3"/>
  <c r="BM51" i="3"/>
  <c r="BM47" i="3"/>
  <c r="BM49" i="3"/>
  <c r="BM45" i="3"/>
  <c r="AS26" i="3"/>
  <c r="AR27" i="3"/>
  <c r="AR43" i="3"/>
  <c r="AU16" i="3"/>
  <c r="AS42" i="3"/>
  <c r="AT17" i="3"/>
  <c r="AS22" i="3"/>
  <c r="AU18" i="3"/>
  <c r="AR23" i="3"/>
  <c r="AT19" i="3"/>
  <c r="AT36" i="3" a="1"/>
  <c r="AT36" i="3" s="1"/>
  <c r="AZ40" i="3" a="1"/>
  <c r="AZ40" i="3" s="1"/>
  <c r="AV32" i="3" a="1"/>
  <c r="AV32" i="3" s="1"/>
  <c r="AX24" i="3" a="1"/>
  <c r="AX24" i="3" s="1"/>
  <c r="AX28" i="3" a="1"/>
  <c r="AX28" i="3" s="1"/>
  <c r="BJ30" i="3" a="1"/>
  <c r="BJ30" i="3" s="1"/>
  <c r="BH14" i="3" a="1"/>
  <c r="BH14" i="3" s="1"/>
  <c r="AR38" i="3" a="1"/>
  <c r="AR38" i="3" s="1"/>
  <c r="BO60" i="3" a="1"/>
  <c r="BO60" i="3" s="1"/>
  <c r="BN60" i="3" a="1"/>
  <c r="BN60" i="3" s="1"/>
  <c r="BN61" i="3" a="1"/>
  <c r="BN61" i="3" s="1"/>
  <c r="BN55" i="3" a="1"/>
  <c r="BN55" i="3" s="1"/>
  <c r="BO54" i="3" a="1"/>
  <c r="BO54" i="3" s="1"/>
  <c r="BN54" i="3" a="1"/>
  <c r="BN54" i="3" s="1"/>
  <c r="BO48" i="3" a="1"/>
  <c r="BO48" i="3" s="1"/>
  <c r="BN48" i="3" a="1"/>
  <c r="BN48" i="3" s="1"/>
  <c r="BN49" i="3" a="1"/>
  <c r="BN49" i="3" s="1"/>
  <c r="BO44" i="3" a="1"/>
  <c r="BO44" i="3" s="1"/>
  <c r="BN44" i="3" a="1"/>
  <c r="BN44" i="3" s="1"/>
  <c r="BN45" i="3" a="1"/>
  <c r="BN45" i="3" s="1"/>
  <c r="BO62" i="3" a="1"/>
  <c r="BO62" i="3" s="1"/>
  <c r="BN63" i="3" a="1"/>
  <c r="BN63" i="3" s="1"/>
  <c r="BN62" i="3" a="1"/>
  <c r="BN62" i="3" s="1"/>
  <c r="BO68" i="3" a="1"/>
  <c r="BO68" i="3" s="1"/>
  <c r="BN69" i="3" a="1"/>
  <c r="BN69" i="3" s="1"/>
  <c r="BN68" i="3" a="1"/>
  <c r="BN68" i="3" s="1"/>
  <c r="BN67" i="3" a="1"/>
  <c r="BN67" i="3" s="1"/>
  <c r="BO66" i="3" a="1"/>
  <c r="BO66" i="3" s="1"/>
  <c r="BN66" i="3" a="1"/>
  <c r="BN66" i="3" s="1"/>
  <c r="BN58" i="3" a="1"/>
  <c r="BN58" i="3" s="1"/>
  <c r="BN59" i="3" a="1"/>
  <c r="BN59" i="3" s="1"/>
  <c r="BO58" i="3" a="1"/>
  <c r="BO58" i="3" s="1"/>
  <c r="BO46" i="3" a="1"/>
  <c r="BO46" i="3" s="1"/>
  <c r="BN46" i="3" a="1"/>
  <c r="BN46" i="3" s="1"/>
  <c r="BN47" i="3" a="1"/>
  <c r="BN47" i="3" s="1"/>
  <c r="BN51" i="3" a="1"/>
  <c r="BN51" i="3" s="1"/>
  <c r="BN50" i="3" a="1"/>
  <c r="BN50" i="3" s="1"/>
  <c r="BO50" i="3" a="1"/>
  <c r="BO50" i="3" s="1"/>
  <c r="BN52" i="3" a="1"/>
  <c r="BN52" i="3" s="1"/>
  <c r="BO52" i="3" a="1"/>
  <c r="BO52" i="3" s="1"/>
  <c r="BN53" i="3" a="1"/>
  <c r="BN53" i="3" s="1"/>
  <c r="BN64" i="3" a="1"/>
  <c r="BN64" i="3" s="1"/>
  <c r="BN65" i="3" a="1"/>
  <c r="BN65" i="3" s="1"/>
  <c r="BO64" i="3" a="1"/>
  <c r="BO64" i="3" s="1"/>
  <c r="BN71" i="3" a="1"/>
  <c r="BN71" i="3" s="1"/>
  <c r="BO70" i="3" a="1"/>
  <c r="BO70" i="3" s="1"/>
  <c r="BN70" i="3" a="1"/>
  <c r="BN70" i="3" s="1"/>
  <c r="AP12" i="3" a="1"/>
  <c r="AP12" i="3" s="1"/>
  <c r="AQ13" i="3" s="1"/>
  <c r="BN56" i="3" a="1"/>
  <c r="BN56" i="3" s="1"/>
  <c r="BN57" i="3" a="1"/>
  <c r="BN57" i="3" s="1"/>
  <c r="BO56" i="3" a="1"/>
  <c r="BO56" i="3" s="1"/>
  <c r="AU36" i="3" a="1"/>
  <c r="AY24" i="3" a="1"/>
  <c r="BI14" i="3" a="1"/>
  <c r="BA40" i="3" a="1"/>
  <c r="AX25" i="3" a="1"/>
  <c r="AY28" i="3" a="1"/>
  <c r="BH15" i="3" a="1"/>
  <c r="AR39" i="3" a="1"/>
  <c r="AZ41" i="3" a="1"/>
  <c r="AX29" i="3" a="1"/>
  <c r="AW32" i="3" a="1"/>
  <c r="AS38" i="3" a="1"/>
  <c r="AV33" i="3" a="1"/>
  <c r="BJ31" i="3" a="1"/>
  <c r="AT37" i="3" a="1"/>
  <c r="BK30" i="3" a="1"/>
  <c r="AP13" i="3" a="1"/>
  <c r="AQ12" i="3" a="1"/>
  <c r="AS39" i="3" l="1"/>
  <c r="BM35" i="3"/>
  <c r="BK31" i="3"/>
  <c r="AY29" i="3"/>
  <c r="AY25" i="3"/>
  <c r="BN20" i="3" a="1"/>
  <c r="BN20" i="3" s="1"/>
  <c r="BO20" i="3" a="1"/>
  <c r="BO20" i="3" s="1"/>
  <c r="BN21" i="3" a="1"/>
  <c r="BN21" i="3" s="1"/>
  <c r="BI15" i="3"/>
  <c r="BN35" i="3" a="1"/>
  <c r="BN35" i="3" s="1"/>
  <c r="BO34" i="3" a="1"/>
  <c r="BO34" i="3" s="1"/>
  <c r="AW33" i="3"/>
  <c r="BA41" i="3"/>
  <c r="AU37" i="3"/>
  <c r="BO71" i="3"/>
  <c r="BO69" i="3"/>
  <c r="BO67" i="3"/>
  <c r="BO63" i="3"/>
  <c r="BO65" i="3"/>
  <c r="BO61" i="3"/>
  <c r="BO59" i="3"/>
  <c r="BO57" i="3"/>
  <c r="BO55" i="3"/>
  <c r="BO53" i="3"/>
  <c r="BO51" i="3"/>
  <c r="BO47" i="3"/>
  <c r="BO49" i="3"/>
  <c r="BO45" i="3"/>
  <c r="BK30" i="3"/>
  <c r="AT37" i="3"/>
  <c r="BJ31" i="3"/>
  <c r="AV33" i="3"/>
  <c r="AS38" i="3"/>
  <c r="AW32" i="3"/>
  <c r="AX29" i="3"/>
  <c r="AZ41" i="3"/>
  <c r="AR39" i="3"/>
  <c r="BH15" i="3"/>
  <c r="AY28" i="3"/>
  <c r="AX25" i="3"/>
  <c r="BA40" i="3"/>
  <c r="BI14" i="3"/>
  <c r="AY24" i="3"/>
  <c r="AU36" i="3"/>
  <c r="AT42" i="3" a="1"/>
  <c r="AT42" i="3" s="1"/>
  <c r="AV16" i="3" a="1"/>
  <c r="AV16" i="3" s="1"/>
  <c r="AV18" i="3" a="1"/>
  <c r="AV18" i="3" s="1"/>
  <c r="AT22" i="3" a="1"/>
  <c r="AT22" i="3" s="1"/>
  <c r="AT26" i="3" a="1"/>
  <c r="AT26" i="3" s="1"/>
  <c r="AP13" i="3"/>
  <c r="AQ12" i="3"/>
  <c r="BP57" i="3" a="1"/>
  <c r="BP57" i="3" s="1"/>
  <c r="BQ56" i="3" a="1"/>
  <c r="BQ56" i="3" s="1"/>
  <c r="BP56" i="3" a="1"/>
  <c r="BP56" i="3" s="1"/>
  <c r="BP55" i="3" a="1"/>
  <c r="BP55" i="3" s="1"/>
  <c r="BQ54" i="3" a="1"/>
  <c r="BQ54" i="3" s="1"/>
  <c r="BP54" i="3" a="1"/>
  <c r="BP54" i="3" s="1"/>
  <c r="BP68" i="3" a="1"/>
  <c r="BP68" i="3" s="1"/>
  <c r="BP69" i="3" a="1"/>
  <c r="BP69" i="3" s="1"/>
  <c r="BQ68" i="3" a="1"/>
  <c r="BQ68" i="3" s="1"/>
  <c r="BP65" i="3" a="1"/>
  <c r="BP65" i="3" s="1"/>
  <c r="BQ64" i="3" a="1"/>
  <c r="BQ64" i="3" s="1"/>
  <c r="BP64" i="3" a="1"/>
  <c r="BP64" i="3" s="1"/>
  <c r="BP51" i="3" a="1"/>
  <c r="BP51" i="3" s="1"/>
  <c r="BP50" i="3" a="1"/>
  <c r="BP50" i="3" s="1"/>
  <c r="BQ50" i="3" a="1"/>
  <c r="BQ50" i="3" s="1"/>
  <c r="BP49" i="3" a="1"/>
  <c r="BP49" i="3" s="1"/>
  <c r="BQ48" i="3" a="1"/>
  <c r="BQ48" i="3" s="1"/>
  <c r="BP48" i="3" a="1"/>
  <c r="BP48" i="3" s="1"/>
  <c r="BP71" i="3" a="1"/>
  <c r="BP71" i="3" s="1"/>
  <c r="BP70" i="3" a="1"/>
  <c r="BP70" i="3" s="1"/>
  <c r="BQ70" i="3" a="1"/>
  <c r="BQ70" i="3" s="1"/>
  <c r="BP47" i="3" a="1"/>
  <c r="BP47" i="3" s="1"/>
  <c r="BQ46" i="3" a="1"/>
  <c r="BQ46" i="3" s="1"/>
  <c r="BP46" i="3" a="1"/>
  <c r="BP46" i="3" s="1"/>
  <c r="BP67" i="3" a="1"/>
  <c r="BP67" i="3" s="1"/>
  <c r="BQ66" i="3" a="1"/>
  <c r="BQ66" i="3" s="1"/>
  <c r="BP66" i="3" a="1"/>
  <c r="BP66" i="3" s="1"/>
  <c r="BP53" i="3" a="1"/>
  <c r="BP53" i="3" s="1"/>
  <c r="BQ52" i="3" a="1"/>
  <c r="BQ52" i="3" s="1"/>
  <c r="BP52" i="3" a="1"/>
  <c r="BP52" i="3" s="1"/>
  <c r="BP59" i="3" a="1"/>
  <c r="BP59" i="3" s="1"/>
  <c r="BP58" i="3" a="1"/>
  <c r="BP58" i="3" s="1"/>
  <c r="BQ58" i="3" a="1"/>
  <c r="BQ58" i="3" s="1"/>
  <c r="BP45" i="3" a="1"/>
  <c r="BP45" i="3" s="1"/>
  <c r="BQ44" i="3" a="1"/>
  <c r="BQ44" i="3" s="1"/>
  <c r="BP44" i="3" a="1"/>
  <c r="BP44" i="3" s="1"/>
  <c r="BP63" i="3" a="1"/>
  <c r="BP63" i="3" s="1"/>
  <c r="BP62" i="3" a="1"/>
  <c r="BP62" i="3" s="1"/>
  <c r="BQ62" i="3" a="1"/>
  <c r="BQ62" i="3" s="1"/>
  <c r="BP61" i="3" a="1"/>
  <c r="BP61" i="3" s="1"/>
  <c r="BQ60" i="3" a="1"/>
  <c r="BQ60" i="3" s="1"/>
  <c r="BP60" i="3" a="1"/>
  <c r="BP60" i="3" s="1"/>
  <c r="AT27" i="3" a="1"/>
  <c r="AU22" i="3" a="1"/>
  <c r="AW16" i="3" a="1"/>
  <c r="AV19" i="3" a="1"/>
  <c r="AU26" i="3" a="1"/>
  <c r="AW18" i="3" a="1"/>
  <c r="AT43" i="3" a="1"/>
  <c r="AU42" i="3" a="1"/>
  <c r="AT23" i="3" a="1"/>
  <c r="AV17" i="3" a="1"/>
  <c r="B34" i="2" a="1"/>
  <c r="C33" i="2" a="1"/>
  <c r="AU43" i="3" l="1"/>
  <c r="BP34" i="3" a="1"/>
  <c r="BP34" i="3" s="1"/>
  <c r="AU27" i="3"/>
  <c r="AU23" i="3"/>
  <c r="BP20" i="3" a="1"/>
  <c r="BP20" i="3" s="1"/>
  <c r="BQ20" i="3" a="1"/>
  <c r="BQ20" i="3" s="1"/>
  <c r="BR20" i="3" s="1" a="1"/>
  <c r="BR20" i="3" s="1"/>
  <c r="BS21" i="3" s="1"/>
  <c r="BP21" i="3" a="1"/>
  <c r="BP21" i="3" s="1"/>
  <c r="BO21" i="3"/>
  <c r="AW19" i="3"/>
  <c r="AW17" i="3"/>
  <c r="BQ34" i="3" a="1"/>
  <c r="BQ34" i="3" s="1"/>
  <c r="BR34" i="3" s="1" a="1"/>
  <c r="BR34" i="3" s="1"/>
  <c r="BS35" i="3" s="1"/>
  <c r="BP35" i="3" a="1"/>
  <c r="BP35" i="3" s="1"/>
  <c r="C33" i="2"/>
  <c r="F33" i="2" s="1" a="1"/>
  <c r="F33" i="2" s="1"/>
  <c r="B34" i="2"/>
  <c r="BQ71" i="3"/>
  <c r="BQ67" i="3"/>
  <c r="BQ69" i="3"/>
  <c r="BQ65" i="3"/>
  <c r="BQ63" i="3"/>
  <c r="BQ61" i="3"/>
  <c r="BQ59" i="3"/>
  <c r="BQ57" i="3"/>
  <c r="BQ55" i="3"/>
  <c r="BQ51" i="3"/>
  <c r="BQ53" i="3"/>
  <c r="BQ49" i="3"/>
  <c r="BQ47" i="3"/>
  <c r="BQ45" i="3"/>
  <c r="AV17" i="3"/>
  <c r="AT23" i="3"/>
  <c r="AU42" i="3"/>
  <c r="AT43" i="3"/>
  <c r="AW18" i="3"/>
  <c r="AU26" i="3"/>
  <c r="AV19" i="3"/>
  <c r="AW16" i="3"/>
  <c r="AU22" i="3"/>
  <c r="AT27" i="3"/>
  <c r="BB40" i="3" a="1"/>
  <c r="BB40" i="3" s="1"/>
  <c r="AX32" i="3" a="1"/>
  <c r="AX32" i="3" s="1"/>
  <c r="AT38" i="3" a="1"/>
  <c r="AT38" i="3" s="1"/>
  <c r="AV36" i="3" a="1"/>
  <c r="AV36" i="3" s="1"/>
  <c r="AZ28" i="3" a="1"/>
  <c r="AZ28" i="3" s="1"/>
  <c r="AZ24" i="3" a="1"/>
  <c r="AZ24" i="3" s="1"/>
  <c r="BJ14" i="3" a="1"/>
  <c r="BJ14" i="3" s="1"/>
  <c r="BL30" i="3" a="1"/>
  <c r="BL30" i="3" s="1"/>
  <c r="BR50" i="3" a="1"/>
  <c r="BR50" i="3" s="1"/>
  <c r="BR51" i="3" a="1"/>
  <c r="BR51" i="3" s="1"/>
  <c r="BS50" i="3" a="1"/>
  <c r="BS50" i="3" s="1"/>
  <c r="BS70" i="3" a="1"/>
  <c r="BS70" i="3" s="1"/>
  <c r="BR71" i="3" a="1"/>
  <c r="BR71" i="3" s="1"/>
  <c r="BR70" i="3" a="1"/>
  <c r="BR70" i="3" s="1"/>
  <c r="AR12" i="3" a="1"/>
  <c r="AR12" i="3" s="1"/>
  <c r="AS13" i="3" s="1"/>
  <c r="BS46" i="3" a="1"/>
  <c r="BS46" i="3" s="1"/>
  <c r="BR46" i="3" a="1"/>
  <c r="BR46" i="3" s="1"/>
  <c r="BR47" i="3" a="1"/>
  <c r="BR47" i="3" s="1"/>
  <c r="BR58" i="3" a="1"/>
  <c r="BR58" i="3" s="1"/>
  <c r="BR59" i="3" a="1"/>
  <c r="BR59" i="3" s="1"/>
  <c r="BS58" i="3" a="1"/>
  <c r="BS58" i="3" s="1"/>
  <c r="BS44" i="3" a="1"/>
  <c r="BS44" i="3" s="1"/>
  <c r="BR45" i="3" a="1"/>
  <c r="BR45" i="3" s="1"/>
  <c r="BR44" i="3" a="1"/>
  <c r="BR44" i="3" s="1"/>
  <c r="BR52" i="3" a="1"/>
  <c r="BR52" i="3" s="1"/>
  <c r="BR53" i="3" a="1"/>
  <c r="BR53" i="3" s="1"/>
  <c r="BS52" i="3" a="1"/>
  <c r="BS52" i="3" s="1"/>
  <c r="BR65" i="3" a="1"/>
  <c r="BR65" i="3" s="1"/>
  <c r="BR64" i="3" a="1"/>
  <c r="BR64" i="3" s="1"/>
  <c r="BS64" i="3" a="1"/>
  <c r="BS64" i="3" s="1"/>
  <c r="BS60" i="3" a="1"/>
  <c r="BS60" i="3" s="1"/>
  <c r="BR60" i="3" a="1"/>
  <c r="BR60" i="3" s="1"/>
  <c r="BR61" i="3" a="1"/>
  <c r="BR61" i="3" s="1"/>
  <c r="BR63" i="3" a="1"/>
  <c r="BR63" i="3" s="1"/>
  <c r="BS62" i="3" a="1"/>
  <c r="BS62" i="3" s="1"/>
  <c r="BR62" i="3" a="1"/>
  <c r="BR62" i="3" s="1"/>
  <c r="BR57" i="3" a="1"/>
  <c r="BR57" i="3" s="1"/>
  <c r="BS56" i="3" a="1"/>
  <c r="BS56" i="3" s="1"/>
  <c r="BR56" i="3" a="1"/>
  <c r="BR56" i="3" s="1"/>
  <c r="BS54" i="3" a="1"/>
  <c r="BS54" i="3" s="1"/>
  <c r="BR55" i="3" a="1"/>
  <c r="BR55" i="3" s="1"/>
  <c r="BR54" i="3" a="1"/>
  <c r="BR54" i="3" s="1"/>
  <c r="BS68" i="3" a="1"/>
  <c r="BS68" i="3" s="1"/>
  <c r="BR69" i="3" a="1"/>
  <c r="BR69" i="3" s="1"/>
  <c r="BR68" i="3" a="1"/>
  <c r="BR68" i="3" s="1"/>
  <c r="BR67" i="3" a="1"/>
  <c r="BR67" i="3" s="1"/>
  <c r="BS66" i="3" a="1"/>
  <c r="BS66" i="3" s="1"/>
  <c r="BR66" i="3" a="1"/>
  <c r="BR66" i="3" s="1"/>
  <c r="BS48" i="3" a="1"/>
  <c r="BS48" i="3" s="1"/>
  <c r="BR49" i="3" a="1"/>
  <c r="BR49" i="3" s="1"/>
  <c r="BR48" i="3" a="1"/>
  <c r="BR48" i="3" s="1"/>
  <c r="BC40" i="3" a="1"/>
  <c r="AW36" i="3" a="1"/>
  <c r="AY32" i="3" a="1"/>
  <c r="BJ15" i="3" a="1"/>
  <c r="BL31" i="3" a="1"/>
  <c r="AX33" i="3" a="1"/>
  <c r="BA28" i="3" a="1"/>
  <c r="BK14" i="3" a="1"/>
  <c r="AZ29" i="3" a="1"/>
  <c r="BM30" i="3" a="1"/>
  <c r="AU38" i="3" a="1"/>
  <c r="AT39" i="3" a="1"/>
  <c r="AZ25" i="3" a="1"/>
  <c r="BB41" i="3" a="1"/>
  <c r="AV37" i="3" a="1"/>
  <c r="BA24" i="3" a="1"/>
  <c r="AR13" i="3" a="1"/>
  <c r="AS12" i="3" a="1"/>
  <c r="AU39" i="3" l="1"/>
  <c r="BQ35" i="3"/>
  <c r="BM31" i="3"/>
  <c r="BA29" i="3"/>
  <c r="BA25" i="3"/>
  <c r="BR35" i="3" a="1"/>
  <c r="BR35" i="3" s="1"/>
  <c r="BS34" i="3" a="1"/>
  <c r="BS34" i="3" s="1"/>
  <c r="BS20" i="3" a="1"/>
  <c r="BS20" i="3" s="1"/>
  <c r="BQ21" i="3"/>
  <c r="BK15" i="3"/>
  <c r="BR21" i="3" a="1"/>
  <c r="BR21" i="3" s="1"/>
  <c r="AW37" i="3"/>
  <c r="AY33" i="3"/>
  <c r="BC41" i="3"/>
  <c r="BS71" i="3"/>
  <c r="BS69" i="3"/>
  <c r="BS67" i="3"/>
  <c r="BS65" i="3"/>
  <c r="BS63" i="3"/>
  <c r="BS59" i="3"/>
  <c r="BS61" i="3"/>
  <c r="BS55" i="3"/>
  <c r="BS57" i="3"/>
  <c r="BS53" i="3"/>
  <c r="BS51" i="3"/>
  <c r="BS47" i="3"/>
  <c r="BS49" i="3"/>
  <c r="BS45" i="3"/>
  <c r="BA24" i="3"/>
  <c r="AV37" i="3"/>
  <c r="BB41" i="3"/>
  <c r="AZ25" i="3"/>
  <c r="AT39" i="3"/>
  <c r="AU38" i="3"/>
  <c r="BM30" i="3"/>
  <c r="AZ29" i="3"/>
  <c r="BK14" i="3"/>
  <c r="BA28" i="3"/>
  <c r="AX33" i="3"/>
  <c r="BL31" i="3"/>
  <c r="BJ15" i="3"/>
  <c r="AY32" i="3"/>
  <c r="AW36" i="3"/>
  <c r="BC40" i="3"/>
  <c r="AX18" i="3" a="1"/>
  <c r="AX18" i="3" s="1"/>
  <c r="AV22" i="3" a="1"/>
  <c r="AV22" i="3" s="1"/>
  <c r="AV42" i="3" a="1"/>
  <c r="AV42" i="3" s="1"/>
  <c r="AX16" i="3" a="1"/>
  <c r="AX16" i="3" s="1"/>
  <c r="AV26" i="3" a="1"/>
  <c r="AV26" i="3" s="1"/>
  <c r="AR13" i="3"/>
  <c r="AS12" i="3"/>
  <c r="BU66" i="3" a="1"/>
  <c r="BU66" i="3" s="1"/>
  <c r="BT66" i="3" a="1"/>
  <c r="BT66" i="3" s="1"/>
  <c r="BT67" i="3" a="1"/>
  <c r="BT67" i="3" s="1"/>
  <c r="BU44" i="3" a="1"/>
  <c r="BU44" i="3" s="1"/>
  <c r="BT45" i="3" a="1"/>
  <c r="BT45" i="3" s="1"/>
  <c r="BT44" i="3" a="1"/>
  <c r="BT44" i="3" s="1"/>
  <c r="BT51" i="3" a="1"/>
  <c r="BT51" i="3" s="1"/>
  <c r="BT50" i="3" a="1"/>
  <c r="BT50" i="3" s="1"/>
  <c r="BU50" i="3" a="1"/>
  <c r="BU50" i="3" s="1"/>
  <c r="BU48" i="3" a="1"/>
  <c r="BU48" i="3" s="1"/>
  <c r="BT49" i="3" a="1"/>
  <c r="BT49" i="3" s="1"/>
  <c r="BT48" i="3" a="1"/>
  <c r="BT48" i="3" s="1"/>
  <c r="BU52" i="3" a="1"/>
  <c r="BU52" i="3" s="1"/>
  <c r="BT53" i="3" a="1"/>
  <c r="BT53" i="3" s="1"/>
  <c r="BT52" i="3" a="1"/>
  <c r="BT52" i="3" s="1"/>
  <c r="BT64" i="3" a="1"/>
  <c r="BT64" i="3" s="1"/>
  <c r="BU64" i="3" a="1"/>
  <c r="BU64" i="3" s="1"/>
  <c r="BT65" i="3" a="1"/>
  <c r="BT65" i="3" s="1"/>
  <c r="BT57" i="3" a="1"/>
  <c r="BT57" i="3" s="1"/>
  <c r="BT56" i="3" a="1"/>
  <c r="BT56" i="3" s="1"/>
  <c r="BU56" i="3" a="1"/>
  <c r="BU56" i="3" s="1"/>
  <c r="BT69" i="3" a="1"/>
  <c r="BT69" i="3" s="1"/>
  <c r="BT68" i="3" a="1"/>
  <c r="BT68" i="3" s="1"/>
  <c r="BU68" i="3" a="1"/>
  <c r="BU68" i="3" s="1"/>
  <c r="BT60" i="3" a="1"/>
  <c r="BT60" i="3" s="1"/>
  <c r="BT61" i="3" a="1"/>
  <c r="BT61" i="3" s="1"/>
  <c r="BU60" i="3" a="1"/>
  <c r="BU60" i="3" s="1"/>
  <c r="BT63" i="3" a="1"/>
  <c r="BT63" i="3" s="1"/>
  <c r="BU62" i="3" a="1"/>
  <c r="BU62" i="3" s="1"/>
  <c r="BT62" i="3" a="1"/>
  <c r="BT62" i="3" s="1"/>
  <c r="BT71" i="3" a="1"/>
  <c r="BT71" i="3" s="1"/>
  <c r="BT70" i="3" a="1"/>
  <c r="BT70" i="3" s="1"/>
  <c r="BU70" i="3" a="1"/>
  <c r="BU70" i="3" s="1"/>
  <c r="BU54" i="3" a="1"/>
  <c r="BU54" i="3" s="1"/>
  <c r="BT55" i="3" a="1"/>
  <c r="BT55" i="3" s="1"/>
  <c r="BT54" i="3" a="1"/>
  <c r="BT54" i="3" s="1"/>
  <c r="BT59" i="3" a="1"/>
  <c r="BT59" i="3" s="1"/>
  <c r="BT58" i="3" a="1"/>
  <c r="BT58" i="3" s="1"/>
  <c r="BU58" i="3" a="1"/>
  <c r="BU58" i="3" s="1"/>
  <c r="BU46" i="3" a="1"/>
  <c r="BU46" i="3" s="1"/>
  <c r="BT47" i="3" a="1"/>
  <c r="BT47" i="3" s="1"/>
  <c r="BT46" i="3" a="1"/>
  <c r="BT46" i="3" s="1"/>
  <c r="AW22" i="3" a="1"/>
  <c r="AW26" i="3" a="1"/>
  <c r="AW42" i="3" a="1"/>
  <c r="AV27" i="3" a="1"/>
  <c r="AY16" i="3" a="1"/>
  <c r="AY18" i="3" a="1"/>
  <c r="AV43" i="3" a="1"/>
  <c r="AX19" i="3" a="1"/>
  <c r="AV23" i="3" a="1"/>
  <c r="AX17" i="3" a="1"/>
  <c r="C34" i="2" a="1"/>
  <c r="B35" i="2" a="1"/>
  <c r="AW43" i="3" l="1"/>
  <c r="BT34" i="3" a="1"/>
  <c r="BT34" i="3" s="1"/>
  <c r="AW27" i="3"/>
  <c r="AW23" i="3"/>
  <c r="BT20" i="3" a="1"/>
  <c r="BT20" i="3" s="1"/>
  <c r="BU20" i="3" a="1"/>
  <c r="BU20" i="3" s="1"/>
  <c r="BV20" i="3" s="1" a="1"/>
  <c r="BV20" i="3" s="1"/>
  <c r="BW21" i="3" s="1"/>
  <c r="BT35" i="3" a="1"/>
  <c r="BT35" i="3" s="1"/>
  <c r="AY19" i="3"/>
  <c r="BT21" i="3" a="1"/>
  <c r="BT21" i="3" s="1"/>
  <c r="AY17" i="3"/>
  <c r="B35" i="2"/>
  <c r="C34" i="2"/>
  <c r="F34" i="2" s="1" a="1"/>
  <c r="F34" i="2" s="1"/>
  <c r="BU34" i="3" a="1"/>
  <c r="BU34" i="3" s="1"/>
  <c r="BV34" i="3" s="1" a="1"/>
  <c r="BV34" i="3" s="1"/>
  <c r="BW35" i="3" s="1"/>
  <c r="BU71" i="3"/>
  <c r="BU69" i="3"/>
  <c r="BU67" i="3"/>
  <c r="BU65" i="3"/>
  <c r="BU63" i="3"/>
  <c r="BU59" i="3"/>
  <c r="BU61" i="3"/>
  <c r="BU55" i="3"/>
  <c r="BU57" i="3"/>
  <c r="BU51" i="3"/>
  <c r="BU53" i="3"/>
  <c r="BU49" i="3"/>
  <c r="BU47" i="3"/>
  <c r="BU45" i="3"/>
  <c r="AX17" i="3"/>
  <c r="AV23" i="3"/>
  <c r="AX19" i="3"/>
  <c r="AV43" i="3"/>
  <c r="AY18" i="3"/>
  <c r="AY16" i="3"/>
  <c r="AV27" i="3"/>
  <c r="AW42" i="3"/>
  <c r="AW26" i="3"/>
  <c r="AW22" i="3"/>
  <c r="BN30" i="3" a="1"/>
  <c r="BN30" i="3" s="1"/>
  <c r="AV38" i="3" a="1"/>
  <c r="AV38" i="3" s="1"/>
  <c r="BD40" i="3" a="1"/>
  <c r="BD40" i="3" s="1"/>
  <c r="BB28" i="3" a="1"/>
  <c r="BB28" i="3" s="1"/>
  <c r="AX36" i="3" a="1"/>
  <c r="AX36" i="3" s="1"/>
  <c r="BL14" i="3" a="1"/>
  <c r="BL14" i="3" s="1"/>
  <c r="BB24" i="3" a="1"/>
  <c r="BB24" i="3" s="1"/>
  <c r="AZ32" i="3" a="1"/>
  <c r="AZ32" i="3" s="1"/>
  <c r="BW60" i="3" a="1"/>
  <c r="BW60" i="3" s="1"/>
  <c r="BV61" i="3" a="1"/>
  <c r="BV61" i="3" s="1"/>
  <c r="BV60" i="3" a="1"/>
  <c r="BV60" i="3" s="1"/>
  <c r="BV47" i="3" a="1"/>
  <c r="BV47" i="3" s="1"/>
  <c r="BW46" i="3" a="1"/>
  <c r="BW46" i="3" s="1"/>
  <c r="BV46" i="3" a="1"/>
  <c r="BV46" i="3" s="1"/>
  <c r="BW56" i="3" a="1"/>
  <c r="BW56" i="3" s="1"/>
  <c r="BV56" i="3" a="1"/>
  <c r="BV56" i="3" s="1"/>
  <c r="BV57" i="3" a="1"/>
  <c r="BV57" i="3" s="1"/>
  <c r="BV51" i="3" a="1"/>
  <c r="BV51" i="3" s="1"/>
  <c r="BV50" i="3" a="1"/>
  <c r="BV50" i="3" s="1"/>
  <c r="BW50" i="3" a="1"/>
  <c r="BW50" i="3" s="1"/>
  <c r="BW48" i="3" a="1"/>
  <c r="BW48" i="3" s="1"/>
  <c r="BV48" i="3" a="1"/>
  <c r="BV48" i="3" s="1"/>
  <c r="BV49" i="3" a="1"/>
  <c r="BV49" i="3" s="1"/>
  <c r="BW44" i="3" a="1"/>
  <c r="BW44" i="3" s="1"/>
  <c r="BV44" i="3" a="1"/>
  <c r="BV44" i="3" s="1"/>
  <c r="BV45" i="3" a="1"/>
  <c r="BV45" i="3" s="1"/>
  <c r="BV58" i="3" a="1"/>
  <c r="BV58" i="3" s="1"/>
  <c r="BV59" i="3" a="1"/>
  <c r="BV59" i="3" s="1"/>
  <c r="BW58" i="3" a="1"/>
  <c r="BW58" i="3" s="1"/>
  <c r="BW70" i="3" a="1"/>
  <c r="BW70" i="3" s="1"/>
  <c r="BV71" i="3" a="1"/>
  <c r="BV71" i="3" s="1"/>
  <c r="BV70" i="3" a="1"/>
  <c r="BV70" i="3" s="1"/>
  <c r="BW62" i="3" a="1"/>
  <c r="BW62" i="3" s="1"/>
  <c r="BV63" i="3" a="1"/>
  <c r="BV63" i="3" s="1"/>
  <c r="BV62" i="3" a="1"/>
  <c r="BV62" i="3" s="1"/>
  <c r="BV52" i="3" a="1"/>
  <c r="BV52" i="3" s="1"/>
  <c r="BV53" i="3" a="1"/>
  <c r="BV53" i="3" s="1"/>
  <c r="BW52" i="3" a="1"/>
  <c r="BW52" i="3" s="1"/>
  <c r="BV64" i="3" a="1"/>
  <c r="BV64" i="3" s="1"/>
  <c r="BV65" i="3" a="1"/>
  <c r="BV65" i="3" s="1"/>
  <c r="BW64" i="3" a="1"/>
  <c r="BW64" i="3" s="1"/>
  <c r="BV67" i="3" a="1"/>
  <c r="BV67" i="3" s="1"/>
  <c r="BV66" i="3" a="1"/>
  <c r="BV66" i="3" s="1"/>
  <c r="BW66" i="3" a="1"/>
  <c r="BW66" i="3" s="1"/>
  <c r="BW68" i="3" a="1"/>
  <c r="BW68" i="3" s="1"/>
  <c r="BV68" i="3" a="1"/>
  <c r="BV68" i="3" s="1"/>
  <c r="BV69" i="3" a="1"/>
  <c r="BV69" i="3" s="1"/>
  <c r="AT12" i="3" a="1"/>
  <c r="AT12" i="3" s="1"/>
  <c r="AU13" i="3" s="1"/>
  <c r="BW54" i="3" a="1"/>
  <c r="BW54" i="3" s="1"/>
  <c r="BV54" i="3" a="1"/>
  <c r="BV54" i="3" s="1"/>
  <c r="BV55" i="3" a="1"/>
  <c r="BV55" i="3" s="1"/>
  <c r="BB29" i="3" a="1"/>
  <c r="BC24" i="3" a="1"/>
  <c r="AV39" i="3" a="1"/>
  <c r="BC28" i="3" a="1"/>
  <c r="AW38" i="3" a="1"/>
  <c r="BB25" i="3" a="1"/>
  <c r="AX37" i="3" a="1"/>
  <c r="BA32" i="3" a="1"/>
  <c r="BD41" i="3" a="1"/>
  <c r="AY36" i="3" a="1"/>
  <c r="BE40" i="3" a="1"/>
  <c r="BL15" i="3" a="1"/>
  <c r="AZ33" i="3" a="1"/>
  <c r="BM14" i="3" a="1"/>
  <c r="BO30" i="3" a="1"/>
  <c r="BN31" i="3" a="1"/>
  <c r="AT13" i="3" a="1"/>
  <c r="AU12" i="3" a="1"/>
  <c r="AW39" i="3" l="1"/>
  <c r="BV21" i="3" a="1"/>
  <c r="BV21" i="3" s="1"/>
  <c r="BU35" i="3"/>
  <c r="BO31" i="3"/>
  <c r="BC29" i="3"/>
  <c r="BC25" i="3"/>
  <c r="BU21" i="3"/>
  <c r="BM15" i="3"/>
  <c r="BV35" i="3" a="1"/>
  <c r="BV35" i="3" s="1"/>
  <c r="BW34" i="3" a="1"/>
  <c r="BW34" i="3" s="1"/>
  <c r="BW20" i="3" a="1"/>
  <c r="BW20" i="3" s="1"/>
  <c r="BE41" i="3"/>
  <c r="BA33" i="3"/>
  <c r="AY37" i="3"/>
  <c r="BW71" i="3"/>
  <c r="BW69" i="3"/>
  <c r="BW67" i="3"/>
  <c r="BW63" i="3"/>
  <c r="BW65" i="3"/>
  <c r="BW59" i="3"/>
  <c r="BW61" i="3"/>
  <c r="BW55" i="3"/>
  <c r="BW57" i="3"/>
  <c r="BW51" i="3"/>
  <c r="BW53" i="3"/>
  <c r="BW49" i="3"/>
  <c r="BW47" i="3"/>
  <c r="BW45" i="3"/>
  <c r="BN31" i="3"/>
  <c r="BO30" i="3"/>
  <c r="BM14" i="3"/>
  <c r="AZ33" i="3"/>
  <c r="BL15" i="3"/>
  <c r="BE40" i="3"/>
  <c r="AY36" i="3"/>
  <c r="BD41" i="3"/>
  <c r="BA32" i="3"/>
  <c r="AX37" i="3"/>
  <c r="BB25" i="3"/>
  <c r="AW38" i="3"/>
  <c r="BC28" i="3"/>
  <c r="AV39" i="3"/>
  <c r="BC24" i="3"/>
  <c r="BB29" i="3"/>
  <c r="AZ18" i="3" a="1"/>
  <c r="AZ18" i="3" s="1"/>
  <c r="AX22" i="3" a="1"/>
  <c r="AX22" i="3" s="1"/>
  <c r="AX26" i="3" a="1"/>
  <c r="AX26" i="3" s="1"/>
  <c r="AX42" i="3" a="1"/>
  <c r="AX42" i="3" s="1"/>
  <c r="AZ16" i="3" a="1"/>
  <c r="AZ16" i="3" s="1"/>
  <c r="AU12" i="3"/>
  <c r="AT13" i="3"/>
  <c r="BX55" i="3" a="1"/>
  <c r="BX55" i="3" s="1"/>
  <c r="BY54" i="3" a="1"/>
  <c r="BY54" i="3" s="1"/>
  <c r="BX54" i="3" a="1"/>
  <c r="BX54" i="3" s="1"/>
  <c r="BX50" i="3" a="1"/>
  <c r="BX50" i="3" s="1"/>
  <c r="BX51" i="3" a="1"/>
  <c r="BX51" i="3" s="1"/>
  <c r="BY50" i="3" a="1"/>
  <c r="BY50" i="3" s="1"/>
  <c r="BY46" i="3" a="1"/>
  <c r="BY46" i="3" s="1"/>
  <c r="BX46" i="3" a="1"/>
  <c r="BX46" i="3" s="1"/>
  <c r="BX47" i="3" a="1"/>
  <c r="BX47" i="3" s="1"/>
  <c r="BX65" i="3" a="1"/>
  <c r="BX65" i="3" s="1"/>
  <c r="BY64" i="3" a="1"/>
  <c r="BY64" i="3" s="1"/>
  <c r="BX64" i="3" a="1"/>
  <c r="BX64" i="3" s="1"/>
  <c r="BX63" i="3" a="1"/>
  <c r="BX63" i="3" s="1"/>
  <c r="BY62" i="3" a="1"/>
  <c r="BY62" i="3" s="1"/>
  <c r="BX62" i="3" a="1"/>
  <c r="BX62" i="3" s="1"/>
  <c r="BX45" i="3" a="1"/>
  <c r="BX45" i="3" s="1"/>
  <c r="BY44" i="3" a="1"/>
  <c r="BY44" i="3" s="1"/>
  <c r="BX44" i="3" a="1"/>
  <c r="BX44" i="3" s="1"/>
  <c r="BX68" i="3" a="1"/>
  <c r="BX68" i="3" s="1"/>
  <c r="BX69" i="3" a="1"/>
  <c r="BX69" i="3" s="1"/>
  <c r="BY68" i="3" a="1"/>
  <c r="BY68" i="3" s="1"/>
  <c r="BY66" i="3" a="1"/>
  <c r="BY66" i="3" s="1"/>
  <c r="BX66" i="3" a="1"/>
  <c r="BX66" i="3" s="1"/>
  <c r="BX67" i="3" a="1"/>
  <c r="BX67" i="3" s="1"/>
  <c r="BY52" i="3" a="1"/>
  <c r="BY52" i="3" s="1"/>
  <c r="BX53" i="3" a="1"/>
  <c r="BX53" i="3" s="1"/>
  <c r="BX52" i="3" a="1"/>
  <c r="BX52" i="3" s="1"/>
  <c r="BX71" i="3" a="1"/>
  <c r="BX71" i="3" s="1"/>
  <c r="BX70" i="3" a="1"/>
  <c r="BX70" i="3" s="1"/>
  <c r="BY70" i="3" a="1"/>
  <c r="BY70" i="3" s="1"/>
  <c r="BX56" i="3" a="1"/>
  <c r="BX56" i="3" s="1"/>
  <c r="BX57" i="3" a="1"/>
  <c r="BX57" i="3" s="1"/>
  <c r="BY56" i="3" a="1"/>
  <c r="BY56" i="3" s="1"/>
  <c r="BY58" i="3" a="1"/>
  <c r="BY58" i="3" s="1"/>
  <c r="BX58" i="3" a="1"/>
  <c r="BX58" i="3" s="1"/>
  <c r="BX59" i="3" a="1"/>
  <c r="BX59" i="3" s="1"/>
  <c r="BX49" i="3" a="1"/>
  <c r="BX49" i="3" s="1"/>
  <c r="BY48" i="3" a="1"/>
  <c r="BY48" i="3" s="1"/>
  <c r="BX48" i="3" a="1"/>
  <c r="BX48" i="3" s="1"/>
  <c r="BX61" i="3" a="1"/>
  <c r="BX61" i="3" s="1"/>
  <c r="BX60" i="3" a="1"/>
  <c r="BX60" i="3" s="1"/>
  <c r="BY60" i="3" a="1"/>
  <c r="BY60" i="3" s="1"/>
  <c r="AX23" i="3" a="1"/>
  <c r="AZ17" i="3" a="1"/>
  <c r="BA16" i="3" a="1"/>
  <c r="AY26" i="3" a="1"/>
  <c r="AX27" i="3" a="1"/>
  <c r="BA18" i="3" a="1"/>
  <c r="AZ19" i="3" a="1"/>
  <c r="AX43" i="3" a="1"/>
  <c r="AY22" i="3" a="1"/>
  <c r="AY42" i="3" a="1"/>
  <c r="B36" i="2" a="1"/>
  <c r="C35" i="2" a="1"/>
  <c r="AY43" i="3" l="1"/>
  <c r="AY27" i="3"/>
  <c r="AY23" i="3"/>
  <c r="BA19" i="3"/>
  <c r="BY20" i="3" a="1"/>
  <c r="BY20" i="3" s="1"/>
  <c r="BX21" i="3" a="1"/>
  <c r="BX21" i="3" s="1"/>
  <c r="BA17" i="3"/>
  <c r="BX35" i="3" a="1"/>
  <c r="BX35" i="3" s="1"/>
  <c r="BY34" i="3" a="1"/>
  <c r="BY34" i="3" s="1"/>
  <c r="C35" i="2"/>
  <c r="B36" i="2"/>
  <c r="BX34" i="3" a="1"/>
  <c r="BX34" i="3" s="1"/>
  <c r="BX20" i="3" a="1"/>
  <c r="BX20" i="3" s="1"/>
  <c r="BY71" i="3"/>
  <c r="BY69" i="3"/>
  <c r="BY67" i="3"/>
  <c r="BY65" i="3"/>
  <c r="BY63" i="3"/>
  <c r="BY59" i="3"/>
  <c r="BY61" i="3"/>
  <c r="BY57" i="3"/>
  <c r="BY55" i="3"/>
  <c r="BY51" i="3"/>
  <c r="BY53" i="3"/>
  <c r="BY49" i="3"/>
  <c r="BY47" i="3"/>
  <c r="BY45" i="3"/>
  <c r="AY42" i="3"/>
  <c r="AY22" i="3"/>
  <c r="AX43" i="3"/>
  <c r="AZ19" i="3"/>
  <c r="BA18" i="3"/>
  <c r="AX27" i="3"/>
  <c r="AY26" i="3"/>
  <c r="BA16" i="3"/>
  <c r="AZ17" i="3"/>
  <c r="AX23" i="3"/>
  <c r="AZ36" i="3" a="1"/>
  <c r="AZ36" i="3" s="1"/>
  <c r="AX38" i="3" a="1"/>
  <c r="AX38" i="3" s="1"/>
  <c r="BF40" i="3" a="1"/>
  <c r="BF40" i="3" s="1"/>
  <c r="G16" i="3"/>
  <c r="D22" i="2" s="1" a="1"/>
  <c r="D22" i="2" s="1"/>
  <c r="I16" i="3"/>
  <c r="E22" i="2" s="1" a="1"/>
  <c r="E22" i="2" s="1"/>
  <c r="G26" i="3"/>
  <c r="I26" i="3"/>
  <c r="BB32" i="3" a="1"/>
  <c r="BB32" i="3" s="1"/>
  <c r="BD24" i="3" a="1"/>
  <c r="BD24" i="3" s="1"/>
  <c r="BN14" i="3" a="1"/>
  <c r="BN14" i="3" s="1"/>
  <c r="I23" i="3"/>
  <c r="G23" i="3"/>
  <c r="I30" i="3"/>
  <c r="G30" i="3"/>
  <c r="I24" i="3"/>
  <c r="E30" i="2" s="1" a="1"/>
  <c r="E30" i="2" s="1"/>
  <c r="G24" i="3"/>
  <c r="D30" i="2" s="1" a="1"/>
  <c r="D30" i="2" s="1"/>
  <c r="BP30" i="3" a="1"/>
  <c r="BP30" i="3" s="1"/>
  <c r="BD28" i="3" a="1"/>
  <c r="BD28" i="3" s="1"/>
  <c r="AV12" i="3" a="1"/>
  <c r="AV12" i="3" s="1"/>
  <c r="AW13" i="3" s="1"/>
  <c r="BE24" i="3" a="1"/>
  <c r="BQ30" i="3" a="1"/>
  <c r="AY38" i="3" a="1"/>
  <c r="BO14" i="3" a="1"/>
  <c r="AX39" i="3" a="1"/>
  <c r="BN15" i="3" a="1"/>
  <c r="BF41" i="3" a="1"/>
  <c r="BC32" i="3" a="1"/>
  <c r="BP31" i="3" a="1"/>
  <c r="BD29" i="3" a="1"/>
  <c r="BE28" i="3" a="1"/>
  <c r="BD25" i="3" a="1"/>
  <c r="BA36" i="3" a="1"/>
  <c r="BG40" i="3" a="1"/>
  <c r="BB33" i="3" a="1"/>
  <c r="AZ37" i="3" a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AW12" i="3" a="1"/>
  <c r="AV13" i="3" a="1"/>
  <c r="O70" i="3" l="1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AY39" i="3"/>
  <c r="BQ31" i="3"/>
  <c r="BE29" i="3"/>
  <c r="BE25" i="3"/>
  <c r="BO15" i="3"/>
  <c r="D35" i="2" a="1"/>
  <c r="D35" i="2" s="1"/>
  <c r="F35" i="2" a="1"/>
  <c r="F35" i="2" s="1"/>
  <c r="E35" i="2" a="1"/>
  <c r="E35" i="2" s="1"/>
  <c r="BA37" i="3"/>
  <c r="BC33" i="3"/>
  <c r="BY21" i="3"/>
  <c r="BG41" i="3"/>
  <c r="BY35" i="3"/>
  <c r="D29" i="2" a="1"/>
  <c r="D29" i="2" s="1"/>
  <c r="E29" i="2" a="1"/>
  <c r="E29" i="2" s="1"/>
  <c r="E32" i="2" a="1"/>
  <c r="E32" i="2" s="1"/>
  <c r="E31" i="2" a="1"/>
  <c r="E31" i="2" s="1"/>
  <c r="D32" i="2" a="1"/>
  <c r="D32" i="2" s="1"/>
  <c r="D31" i="2" a="1"/>
  <c r="D31" i="2" s="1"/>
  <c r="AZ37" i="3"/>
  <c r="BB33" i="3"/>
  <c r="BG40" i="3"/>
  <c r="BA36" i="3"/>
  <c r="BD25" i="3"/>
  <c r="BE28" i="3"/>
  <c r="BD29" i="3"/>
  <c r="BP31" i="3"/>
  <c r="BC32" i="3"/>
  <c r="BF41" i="3"/>
  <c r="BN15" i="3"/>
  <c r="AX39" i="3"/>
  <c r="BO14" i="3"/>
  <c r="AY38" i="3"/>
  <c r="BQ30" i="3"/>
  <c r="BE24" i="3"/>
  <c r="BB18" i="3" a="1"/>
  <c r="BB18" i="3" s="1"/>
  <c r="BB16" i="3" a="1"/>
  <c r="BB16" i="3" s="1"/>
  <c r="AZ26" i="3" a="1"/>
  <c r="AZ26" i="3" s="1"/>
  <c r="AZ22" i="3" a="1"/>
  <c r="AZ22" i="3" s="1"/>
  <c r="AZ42" i="3" a="1"/>
  <c r="AZ42" i="3" s="1"/>
  <c r="AW12" i="3"/>
  <c r="AV13" i="3"/>
  <c r="BB19" i="3" a="1"/>
  <c r="BC16" i="3" a="1"/>
  <c r="BC18" i="3" a="1"/>
  <c r="AZ23" i="3" a="1"/>
  <c r="BB17" i="3" a="1"/>
  <c r="BA42" i="3" a="1"/>
  <c r="AZ43" i="3" a="1"/>
  <c r="AZ27" i="3" a="1"/>
  <c r="BA22" i="3" a="1"/>
  <c r="BA26" i="3" a="1"/>
  <c r="O34" i="3" a="1"/>
  <c r="O20" i="3" a="1"/>
  <c r="B37" i="2" a="1"/>
  <c r="C36" i="2" a="1"/>
  <c r="BA43" i="3" l="1"/>
  <c r="O34" i="3"/>
  <c r="BA27" i="3"/>
  <c r="BA23" i="3"/>
  <c r="O20" i="3"/>
  <c r="BC19" i="3"/>
  <c r="BC17" i="3"/>
  <c r="C36" i="2"/>
  <c r="B37" i="2"/>
  <c r="BA26" i="3"/>
  <c r="BA22" i="3"/>
  <c r="AZ27" i="3"/>
  <c r="AZ43" i="3"/>
  <c r="BA42" i="3"/>
  <c r="BB17" i="3"/>
  <c r="AZ23" i="3"/>
  <c r="BC18" i="3"/>
  <c r="BC16" i="3"/>
  <c r="BB19" i="3"/>
  <c r="BR30" i="3" a="1"/>
  <c r="BR30" i="3" s="1"/>
  <c r="BF24" i="3" a="1"/>
  <c r="BF24" i="3" s="1"/>
  <c r="AZ38" i="3" a="1"/>
  <c r="AZ38" i="3" s="1"/>
  <c r="BF28" i="3" a="1"/>
  <c r="BF28" i="3" s="1"/>
  <c r="BP14" i="3" a="1"/>
  <c r="BP14" i="3" s="1"/>
  <c r="BB36" i="3" a="1"/>
  <c r="BB36" i="3" s="1"/>
  <c r="BH40" i="3" a="1"/>
  <c r="BH40" i="3" s="1"/>
  <c r="BD32" i="3" a="1"/>
  <c r="BD32" i="3" s="1"/>
  <c r="AX12" i="3" a="1"/>
  <c r="AX12" i="3" s="1"/>
  <c r="AY13" i="3" s="1"/>
  <c r="BB37" i="3" a="1"/>
  <c r="BA38" i="3" a="1"/>
  <c r="BR31" i="3" a="1"/>
  <c r="BF29" i="3" a="1"/>
  <c r="BC36" i="3" a="1"/>
  <c r="BF25" i="3" a="1"/>
  <c r="BS30" i="3" a="1"/>
  <c r="BG28" i="3" a="1"/>
  <c r="BH41" i="3" a="1"/>
  <c r="BI40" i="3" a="1"/>
  <c r="BG24" i="3" a="1"/>
  <c r="BQ14" i="3" a="1"/>
  <c r="BP15" i="3" a="1"/>
  <c r="BD33" i="3" a="1"/>
  <c r="AZ39" i="3" a="1"/>
  <c r="BE32" i="3" a="1"/>
  <c r="AX13" i="3" a="1"/>
  <c r="AY12" i="3" a="1"/>
  <c r="BA39" i="3" l="1"/>
  <c r="BS31" i="3"/>
  <c r="BG29" i="3"/>
  <c r="BG25" i="3"/>
  <c r="BQ15" i="3"/>
  <c r="F36" i="2" a="1"/>
  <c r="F36" i="2" s="1"/>
  <c r="D36" i="2" a="1"/>
  <c r="D36" i="2" s="1"/>
  <c r="E36" i="2" a="1"/>
  <c r="E36" i="2" s="1"/>
  <c r="BI41" i="3"/>
  <c r="BC37" i="3"/>
  <c r="BE33" i="3"/>
  <c r="BE32" i="3"/>
  <c r="AZ39" i="3"/>
  <c r="BD33" i="3"/>
  <c r="BP15" i="3"/>
  <c r="BQ14" i="3"/>
  <c r="BG24" i="3"/>
  <c r="BI40" i="3"/>
  <c r="BH41" i="3"/>
  <c r="BG28" i="3"/>
  <c r="BS30" i="3"/>
  <c r="BF25" i="3"/>
  <c r="BC36" i="3"/>
  <c r="BF29" i="3"/>
  <c r="BR31" i="3"/>
  <c r="BA38" i="3"/>
  <c r="BB37" i="3"/>
  <c r="BD18" i="3" a="1"/>
  <c r="BD18" i="3" s="1"/>
  <c r="BB42" i="3" a="1"/>
  <c r="BB42" i="3" s="1"/>
  <c r="BB22" i="3" a="1"/>
  <c r="BB22" i="3" s="1"/>
  <c r="BD16" i="3" a="1"/>
  <c r="BD16" i="3" s="1"/>
  <c r="BB26" i="3" a="1"/>
  <c r="BB26" i="3" s="1"/>
  <c r="AX13" i="3"/>
  <c r="AY12" i="3"/>
  <c r="BE18" i="3" a="1"/>
  <c r="BB23" i="3" a="1"/>
  <c r="BE16" i="3" a="1"/>
  <c r="BD17" i="3" a="1"/>
  <c r="BD19" i="3" a="1"/>
  <c r="BC42" i="3" a="1"/>
  <c r="BB43" i="3" a="1"/>
  <c r="BC22" i="3" a="1"/>
  <c r="BB27" i="3" a="1"/>
  <c r="BC26" i="3" a="1"/>
  <c r="B38" i="2" a="1"/>
  <c r="C37" i="2" a="1"/>
  <c r="BC43" i="3" l="1"/>
  <c r="BC27" i="3"/>
  <c r="BC23" i="3"/>
  <c r="BE19" i="3"/>
  <c r="BE17" i="3"/>
  <c r="C37" i="2"/>
  <c r="B38" i="2"/>
  <c r="BC26" i="3"/>
  <c r="BB27" i="3"/>
  <c r="BC22" i="3"/>
  <c r="BB43" i="3"/>
  <c r="BC42" i="3"/>
  <c r="BD19" i="3"/>
  <c r="BD17" i="3"/>
  <c r="BE16" i="3"/>
  <c r="BB23" i="3"/>
  <c r="BE18" i="3"/>
  <c r="BB38" i="3" a="1"/>
  <c r="BB38" i="3" s="1"/>
  <c r="BJ40" i="3" a="1"/>
  <c r="BJ40" i="3" s="1"/>
  <c r="BD36" i="3" a="1"/>
  <c r="BD36" i="3" s="1"/>
  <c r="BH24" i="3" a="1"/>
  <c r="BH24" i="3" s="1"/>
  <c r="BR14" i="3" a="1"/>
  <c r="BR14" i="3" s="1"/>
  <c r="BT30" i="3" a="1"/>
  <c r="BT30" i="3" s="1"/>
  <c r="BH28" i="3" a="1"/>
  <c r="BH28" i="3" s="1"/>
  <c r="BF32" i="3" a="1"/>
  <c r="BF32" i="3" s="1"/>
  <c r="AZ12" i="3" a="1"/>
  <c r="AZ12" i="3" s="1"/>
  <c r="BA13" i="3" s="1"/>
  <c r="BD37" i="3" a="1"/>
  <c r="BS14" i="3" a="1"/>
  <c r="BU30" i="3" a="1"/>
  <c r="BH29" i="3" a="1"/>
  <c r="BH25" i="3" a="1"/>
  <c r="BE36" i="3" a="1"/>
  <c r="BT31" i="3" a="1"/>
  <c r="BF33" i="3" a="1"/>
  <c r="BI28" i="3" a="1"/>
  <c r="BC38" i="3" a="1"/>
  <c r="BI24" i="3" a="1"/>
  <c r="BB39" i="3" a="1"/>
  <c r="BJ41" i="3" a="1"/>
  <c r="BK40" i="3" a="1"/>
  <c r="BR15" i="3" a="1"/>
  <c r="BG32" i="3" a="1"/>
  <c r="AZ13" i="3" a="1"/>
  <c r="BA12" i="3" a="1"/>
  <c r="BC39" i="3" l="1"/>
  <c r="BU31" i="3"/>
  <c r="BI29" i="3"/>
  <c r="BI25" i="3"/>
  <c r="BS15" i="3"/>
  <c r="F37" i="2" a="1"/>
  <c r="F37" i="2" s="1"/>
  <c r="D37" i="2" a="1"/>
  <c r="D37" i="2" s="1"/>
  <c r="BE37" i="3"/>
  <c r="BK41" i="3"/>
  <c r="BG33" i="3"/>
  <c r="BG32" i="3"/>
  <c r="BR15" i="3"/>
  <c r="BK40" i="3"/>
  <c r="BJ41" i="3"/>
  <c r="BB39" i="3"/>
  <c r="BI24" i="3"/>
  <c r="BC38" i="3"/>
  <c r="BI28" i="3"/>
  <c r="BF33" i="3"/>
  <c r="BT31" i="3"/>
  <c r="BE36" i="3"/>
  <c r="BH25" i="3"/>
  <c r="BH29" i="3"/>
  <c r="BU30" i="3"/>
  <c r="BS14" i="3"/>
  <c r="BD37" i="3"/>
  <c r="BF16" i="3" a="1"/>
  <c r="BF16" i="3" s="1"/>
  <c r="BD42" i="3" a="1"/>
  <c r="BD42" i="3" s="1"/>
  <c r="BD22" i="3" a="1"/>
  <c r="BD22" i="3" s="1"/>
  <c r="BF18" i="3" a="1"/>
  <c r="BF18" i="3" s="1"/>
  <c r="BD26" i="3" a="1"/>
  <c r="BD26" i="3" s="1"/>
  <c r="BA12" i="3"/>
  <c r="AZ13" i="3"/>
  <c r="BF17" i="3" a="1"/>
  <c r="BF19" i="3" a="1"/>
  <c r="BG18" i="3" a="1"/>
  <c r="BE42" i="3" a="1"/>
  <c r="BD43" i="3" a="1"/>
  <c r="BE26" i="3" a="1"/>
  <c r="BG16" i="3" a="1"/>
  <c r="BD27" i="3" a="1"/>
  <c r="BE22" i="3" a="1"/>
  <c r="BD23" i="3" a="1"/>
  <c r="B39" i="2" a="1"/>
  <c r="C38" i="2" a="1"/>
  <c r="BE43" i="3" l="1"/>
  <c r="BE27" i="3"/>
  <c r="BE23" i="3"/>
  <c r="BG19" i="3"/>
  <c r="BG17" i="3"/>
  <c r="C38" i="2"/>
  <c r="B39" i="2"/>
  <c r="BD23" i="3"/>
  <c r="BE22" i="3"/>
  <c r="BD27" i="3"/>
  <c r="BG16" i="3"/>
  <c r="BE26" i="3"/>
  <c r="BD43" i="3"/>
  <c r="BE42" i="3"/>
  <c r="BG18" i="3"/>
  <c r="BF19" i="3"/>
  <c r="BF17" i="3"/>
  <c r="BJ28" i="3" a="1"/>
  <c r="BJ28" i="3" s="1"/>
  <c r="BT14" i="3" a="1"/>
  <c r="BT14" i="3" s="1"/>
  <c r="BD38" i="3" a="1"/>
  <c r="BD38" i="3" s="1"/>
  <c r="BF36" i="3" a="1"/>
  <c r="BF36" i="3" s="1"/>
  <c r="BL40" i="3" a="1"/>
  <c r="BL40" i="3" s="1"/>
  <c r="BV30" i="3" a="1"/>
  <c r="BV30" i="3" s="1"/>
  <c r="BJ24" i="3" a="1"/>
  <c r="BJ24" i="3" s="1"/>
  <c r="BH32" i="3" a="1"/>
  <c r="BH32" i="3" s="1"/>
  <c r="BB12" i="3" a="1"/>
  <c r="BB12" i="3" s="1"/>
  <c r="BC13" i="3" s="1"/>
  <c r="BD39" i="3" a="1"/>
  <c r="BV31" i="3" a="1"/>
  <c r="BI32" i="3" a="1"/>
  <c r="BE38" i="3" a="1"/>
  <c r="BM40" i="3" a="1"/>
  <c r="BH33" i="3" a="1"/>
  <c r="BJ29" i="3" a="1"/>
  <c r="BK28" i="3" a="1"/>
  <c r="BG36" i="3" a="1"/>
  <c r="BW30" i="3" a="1"/>
  <c r="BK24" i="3" a="1"/>
  <c r="BT15" i="3" a="1"/>
  <c r="BF37" i="3" a="1"/>
  <c r="BJ25" i="3" a="1"/>
  <c r="BL41" i="3" a="1"/>
  <c r="BU14" i="3" a="1"/>
  <c r="BC12" i="3" a="1"/>
  <c r="BB13" i="3" a="1"/>
  <c r="BE39" i="3" l="1"/>
  <c r="BW31" i="3"/>
  <c r="BK29" i="3"/>
  <c r="BK25" i="3"/>
  <c r="BU15" i="3"/>
  <c r="F38" i="2" a="1"/>
  <c r="F38" i="2" s="1"/>
  <c r="D38" i="2" a="1"/>
  <c r="D38" i="2" s="1"/>
  <c r="E38" i="2" a="1"/>
  <c r="E38" i="2" s="1"/>
  <c r="BM41" i="3"/>
  <c r="BG37" i="3"/>
  <c r="BI33" i="3"/>
  <c r="BU14" i="3"/>
  <c r="BL41" i="3"/>
  <c r="BJ25" i="3"/>
  <c r="BF37" i="3"/>
  <c r="BT15" i="3"/>
  <c r="BK24" i="3"/>
  <c r="BW30" i="3"/>
  <c r="BG36" i="3"/>
  <c r="BK28" i="3"/>
  <c r="BJ29" i="3"/>
  <c r="BH33" i="3"/>
  <c r="BM40" i="3"/>
  <c r="BE38" i="3"/>
  <c r="BI32" i="3"/>
  <c r="BV31" i="3"/>
  <c r="BD39" i="3"/>
  <c r="BH18" i="3" a="1"/>
  <c r="BH18" i="3" s="1"/>
  <c r="BF42" i="3" a="1"/>
  <c r="BF42" i="3" s="1"/>
  <c r="BF26" i="3" a="1"/>
  <c r="BF26" i="3" s="1"/>
  <c r="BH16" i="3" a="1"/>
  <c r="BH16" i="3" s="1"/>
  <c r="BF22" i="3" a="1"/>
  <c r="BF22" i="3" s="1"/>
  <c r="BB13" i="3"/>
  <c r="BC12" i="3"/>
  <c r="BH19" i="3" a="1"/>
  <c r="BG26" i="3" a="1"/>
  <c r="BI18" i="3" a="1"/>
  <c r="BH17" i="3" a="1"/>
  <c r="BG42" i="3" a="1"/>
  <c r="BI16" i="3" a="1"/>
  <c r="BF23" i="3" a="1"/>
  <c r="BF43" i="3" a="1"/>
  <c r="BG22" i="3" a="1"/>
  <c r="BF27" i="3" a="1"/>
  <c r="C39" i="2" a="1"/>
  <c r="B40" i="2" a="1"/>
  <c r="BG43" i="3" l="1"/>
  <c r="BG27" i="3"/>
  <c r="BG23" i="3"/>
  <c r="BI19" i="3"/>
  <c r="BI17" i="3"/>
  <c r="B40" i="2"/>
  <c r="C39" i="2"/>
  <c r="BF27" i="3"/>
  <c r="BG22" i="3"/>
  <c r="BF43" i="3"/>
  <c r="BF23" i="3"/>
  <c r="BI16" i="3"/>
  <c r="BG42" i="3"/>
  <c r="BH17" i="3"/>
  <c r="BI18" i="3"/>
  <c r="BG26" i="3"/>
  <c r="BH19" i="3"/>
  <c r="BH36" i="3" a="1"/>
  <c r="BH36" i="3" s="1"/>
  <c r="BF38" i="3" a="1"/>
  <c r="BF38" i="3" s="1"/>
  <c r="BL24" i="3" a="1"/>
  <c r="BL24" i="3" s="1"/>
  <c r="BJ32" i="3" a="1"/>
  <c r="BJ32" i="3" s="1"/>
  <c r="BX30" i="3" a="1"/>
  <c r="BX30" i="3" s="1"/>
  <c r="I22" i="3"/>
  <c r="E28" i="2" s="1" a="1"/>
  <c r="E28" i="2" s="1"/>
  <c r="G22" i="3"/>
  <c r="D28" i="2" s="1" a="1"/>
  <c r="D28" i="2" s="1"/>
  <c r="BN40" i="3" a="1"/>
  <c r="BN40" i="3" s="1"/>
  <c r="BL28" i="3" a="1"/>
  <c r="BL28" i="3" s="1"/>
  <c r="BV14" i="3" a="1"/>
  <c r="BV14" i="3" s="1"/>
  <c r="BD12" i="3" a="1"/>
  <c r="BD12" i="3" s="1"/>
  <c r="BE13" i="3" s="1"/>
  <c r="BL25" i="3" a="1"/>
  <c r="BV15" i="3" a="1"/>
  <c r="BI36" i="3" a="1"/>
  <c r="BM24" i="3" a="1"/>
  <c r="BK32" i="3" a="1"/>
  <c r="BN41" i="3" a="1"/>
  <c r="BW14" i="3" a="1"/>
  <c r="BH37" i="3" a="1"/>
  <c r="BF39" i="3" a="1"/>
  <c r="BJ33" i="3" a="1"/>
  <c r="BO40" i="3" a="1"/>
  <c r="BG38" i="3" a="1"/>
  <c r="BX31" i="3" a="1"/>
  <c r="BL29" i="3" a="1"/>
  <c r="BY30" i="3" a="1"/>
  <c r="BM28" i="3" a="1"/>
  <c r="C40" i="2" a="1"/>
  <c r="BE12" i="3" a="1"/>
  <c r="BD13" i="3" a="1"/>
  <c r="BG39" i="3" l="1"/>
  <c r="BM29" i="3"/>
  <c r="BM25" i="3"/>
  <c r="BW15" i="3"/>
  <c r="C40" i="2"/>
  <c r="F39" i="2" a="1"/>
  <c r="F39" i="2" s="1"/>
  <c r="D39" i="2" a="1"/>
  <c r="D39" i="2" s="1"/>
  <c r="E39" i="2" a="1"/>
  <c r="E39" i="2" s="1"/>
  <c r="BK33" i="3"/>
  <c r="BI37" i="3"/>
  <c r="BY31" i="3"/>
  <c r="BO41" i="3"/>
  <c r="BM28" i="3"/>
  <c r="BY30" i="3"/>
  <c r="BL29" i="3"/>
  <c r="BX31" i="3"/>
  <c r="BG38" i="3"/>
  <c r="BO40" i="3"/>
  <c r="BJ33" i="3"/>
  <c r="BF39" i="3"/>
  <c r="BH37" i="3"/>
  <c r="BW14" i="3"/>
  <c r="BN41" i="3"/>
  <c r="BK32" i="3"/>
  <c r="BM24" i="3"/>
  <c r="BI36" i="3"/>
  <c r="BV15" i="3"/>
  <c r="BL25" i="3"/>
  <c r="BJ18" i="3" a="1"/>
  <c r="BJ18" i="3" s="1"/>
  <c r="BH42" i="3" a="1"/>
  <c r="BH42" i="3" s="1"/>
  <c r="BJ16" i="3" a="1"/>
  <c r="BJ16" i="3" s="1"/>
  <c r="BH22" i="3" a="1"/>
  <c r="BH22" i="3" s="1"/>
  <c r="BH26" i="3" a="1"/>
  <c r="BH26" i="3" s="1"/>
  <c r="BE12" i="3"/>
  <c r="BD13" i="3"/>
  <c r="BJ17" i="3" a="1"/>
  <c r="BJ19" i="3" a="1"/>
  <c r="BK18" i="3" a="1"/>
  <c r="BH23" i="3" a="1"/>
  <c r="BI22" i="3" a="1"/>
  <c r="BI26" i="3" a="1"/>
  <c r="BI42" i="3" a="1"/>
  <c r="BH27" i="3" a="1"/>
  <c r="BH43" i="3" a="1"/>
  <c r="BK16" i="3" a="1"/>
  <c r="O30" i="3" a="1"/>
  <c r="BI43" i="3" l="1"/>
  <c r="O30" i="3"/>
  <c r="BI27" i="3"/>
  <c r="BI23" i="3"/>
  <c r="BK19" i="3"/>
  <c r="BK17" i="3"/>
  <c r="E40" i="2" a="1"/>
  <c r="E40" i="2" s="1"/>
  <c r="F40" i="2" a="1"/>
  <c r="F40" i="2" s="1"/>
  <c r="D40" i="2" a="1"/>
  <c r="D40" i="2" s="1"/>
  <c r="BK16" i="3"/>
  <c r="BH43" i="3"/>
  <c r="BH27" i="3"/>
  <c r="BI42" i="3"/>
  <c r="BI26" i="3"/>
  <c r="BI22" i="3"/>
  <c r="BH23" i="3"/>
  <c r="BK18" i="3"/>
  <c r="BJ19" i="3"/>
  <c r="BJ17" i="3"/>
  <c r="BJ36" i="3" a="1"/>
  <c r="BJ36" i="3" s="1"/>
  <c r="BP40" i="3" a="1"/>
  <c r="BP40" i="3" s="1"/>
  <c r="BN24" i="3" a="1"/>
  <c r="BN24" i="3" s="1"/>
  <c r="BH38" i="3" a="1"/>
  <c r="BH38" i="3" s="1"/>
  <c r="I13" i="3"/>
  <c r="E19" i="2" s="1" a="1"/>
  <c r="E19" i="2" s="1"/>
  <c r="G13" i="3"/>
  <c r="D19" i="2" s="1" a="1"/>
  <c r="D19" i="2" s="1"/>
  <c r="BL32" i="3" a="1"/>
  <c r="BL32" i="3" s="1"/>
  <c r="BX14" i="3" a="1"/>
  <c r="BX14" i="3" s="1"/>
  <c r="BN28" i="3" a="1"/>
  <c r="BN28" i="3" s="1"/>
  <c r="BF12" i="3" a="1"/>
  <c r="BF12" i="3" s="1"/>
  <c r="BG13" i="3" s="1"/>
  <c r="BO24" i="3" a="1"/>
  <c r="BM32" i="3" a="1"/>
  <c r="BL33" i="3" a="1"/>
  <c r="BH39" i="3" a="1"/>
  <c r="BO28" i="3" a="1"/>
  <c r="BK36" i="3" a="1"/>
  <c r="BN25" i="3" a="1"/>
  <c r="BY14" i="3" a="1"/>
  <c r="BN29" i="3" a="1"/>
  <c r="BJ37" i="3" a="1"/>
  <c r="BI38" i="3" a="1"/>
  <c r="BX15" i="3" a="1"/>
  <c r="BQ40" i="3" a="1"/>
  <c r="BP41" i="3" a="1"/>
  <c r="BG12" i="3" a="1"/>
  <c r="BF13" i="3" a="1"/>
  <c r="BI39" i="3" l="1"/>
  <c r="BO29" i="3"/>
  <c r="BO25" i="3"/>
  <c r="BY15" i="3"/>
  <c r="BQ41" i="3"/>
  <c r="BK37" i="3"/>
  <c r="BM33" i="3"/>
  <c r="BP41" i="3"/>
  <c r="BQ40" i="3"/>
  <c r="BX15" i="3"/>
  <c r="BI38" i="3"/>
  <c r="BJ37" i="3"/>
  <c r="BN29" i="3"/>
  <c r="BY14" i="3"/>
  <c r="BN25" i="3"/>
  <c r="BK36" i="3"/>
  <c r="BO28" i="3"/>
  <c r="BH39" i="3"/>
  <c r="BL33" i="3"/>
  <c r="BM32" i="3"/>
  <c r="BO24" i="3"/>
  <c r="BL18" i="3" a="1"/>
  <c r="BL18" i="3" s="1"/>
  <c r="BJ22" i="3" a="1"/>
  <c r="BJ22" i="3" s="1"/>
  <c r="BJ26" i="3" a="1"/>
  <c r="BJ26" i="3" s="1"/>
  <c r="BJ42" i="3" a="1"/>
  <c r="BJ42" i="3" s="1"/>
  <c r="BL16" i="3" a="1"/>
  <c r="BL16" i="3" s="1"/>
  <c r="BG12" i="3"/>
  <c r="BF13" i="3"/>
  <c r="BK42" i="3" a="1"/>
  <c r="BK22" i="3" a="1"/>
  <c r="BL17" i="3" a="1"/>
  <c r="BJ23" i="3" a="1"/>
  <c r="BM16" i="3" a="1"/>
  <c r="BJ27" i="3" a="1"/>
  <c r="BL19" i="3" a="1"/>
  <c r="BK26" i="3" a="1"/>
  <c r="BM18" i="3" a="1"/>
  <c r="BJ43" i="3" a="1"/>
  <c r="O14" i="3" a="1"/>
  <c r="BK43" i="3" l="1"/>
  <c r="BK27" i="3"/>
  <c r="BK23" i="3"/>
  <c r="BM19" i="3"/>
  <c r="BM17" i="3"/>
  <c r="O14" i="3"/>
  <c r="BJ43" i="3"/>
  <c r="BM18" i="3"/>
  <c r="BK26" i="3"/>
  <c r="BL19" i="3"/>
  <c r="BJ27" i="3"/>
  <c r="BM16" i="3"/>
  <c r="BJ23" i="3"/>
  <c r="BL17" i="3"/>
  <c r="BK22" i="3"/>
  <c r="BK42" i="3"/>
  <c r="BP24" i="3" a="1"/>
  <c r="BP24" i="3" s="1"/>
  <c r="BN32" i="3" a="1"/>
  <c r="BN32" i="3" s="1"/>
  <c r="BJ38" i="3" a="1"/>
  <c r="BJ38" i="3" s="1"/>
  <c r="BP28" i="3" a="1"/>
  <c r="BP28" i="3" s="1"/>
  <c r="BR40" i="3" a="1"/>
  <c r="BR40" i="3" s="1"/>
  <c r="BL36" i="3" a="1"/>
  <c r="BL36" i="3" s="1"/>
  <c r="BH12" i="3" a="1"/>
  <c r="BH12" i="3" s="1"/>
  <c r="BI13" i="3" s="1"/>
  <c r="BJ39" i="3" a="1"/>
  <c r="BR41" i="3" a="1"/>
  <c r="BK38" i="3" a="1"/>
  <c r="BL37" i="3" a="1"/>
  <c r="BM36" i="3" a="1"/>
  <c r="BP25" i="3" a="1"/>
  <c r="BQ24" i="3" a="1"/>
  <c r="BQ28" i="3" a="1"/>
  <c r="BP29" i="3" a="1"/>
  <c r="BO32" i="3" a="1"/>
  <c r="BN33" i="3" a="1"/>
  <c r="BS40" i="3" a="1"/>
  <c r="BH13" i="3" a="1"/>
  <c r="BI12" i="3" a="1"/>
  <c r="BK39" i="3" l="1"/>
  <c r="BQ29" i="3"/>
  <c r="BQ25" i="3"/>
  <c r="BS41" i="3"/>
  <c r="BO33" i="3"/>
  <c r="BM37" i="3"/>
  <c r="BS40" i="3"/>
  <c r="BN33" i="3"/>
  <c r="BO32" i="3"/>
  <c r="BP29" i="3"/>
  <c r="BQ28" i="3"/>
  <c r="BQ24" i="3"/>
  <c r="BP25" i="3"/>
  <c r="BM36" i="3"/>
  <c r="BL37" i="3"/>
  <c r="BK38" i="3"/>
  <c r="BR41" i="3"/>
  <c r="BJ39" i="3"/>
  <c r="BN16" i="3" a="1"/>
  <c r="BN16" i="3" s="1"/>
  <c r="BL26" i="3" a="1"/>
  <c r="BL26" i="3" s="1"/>
  <c r="BL42" i="3" a="1"/>
  <c r="BL42" i="3" s="1"/>
  <c r="BN18" i="3" a="1"/>
  <c r="BN18" i="3" s="1"/>
  <c r="BL22" i="3" a="1"/>
  <c r="BL22" i="3" s="1"/>
  <c r="BI12" i="3"/>
  <c r="BH13" i="3"/>
  <c r="BM26" i="3" a="1"/>
  <c r="BL23" i="3" a="1"/>
  <c r="BM42" i="3" a="1"/>
  <c r="BM22" i="3" a="1"/>
  <c r="BL43" i="3" a="1"/>
  <c r="BN17" i="3" a="1"/>
  <c r="BO16" i="3" a="1"/>
  <c r="BN19" i="3" a="1"/>
  <c r="BO18" i="3" a="1"/>
  <c r="BL27" i="3" a="1"/>
  <c r="BM43" i="3" l="1"/>
  <c r="BM27" i="3"/>
  <c r="BM23" i="3"/>
  <c r="BO19" i="3"/>
  <c r="BO17" i="3"/>
  <c r="BL27" i="3"/>
  <c r="BO18" i="3"/>
  <c r="BN19" i="3"/>
  <c r="BO16" i="3"/>
  <c r="BN17" i="3"/>
  <c r="BL43" i="3"/>
  <c r="BM22" i="3"/>
  <c r="BM42" i="3"/>
  <c r="BL23" i="3"/>
  <c r="BM26" i="3"/>
  <c r="BN36" i="3" a="1"/>
  <c r="BN36" i="3" s="1"/>
  <c r="BR24" i="3" a="1"/>
  <c r="BR24" i="3" s="1"/>
  <c r="BR28" i="3" a="1"/>
  <c r="BR28" i="3" s="1"/>
  <c r="BP32" i="3" a="1"/>
  <c r="BP32" i="3" s="1"/>
  <c r="BL38" i="3" a="1"/>
  <c r="BL38" i="3" s="1"/>
  <c r="BT40" i="3" a="1"/>
  <c r="BT40" i="3" s="1"/>
  <c r="BJ12" i="3" a="1"/>
  <c r="BJ12" i="3" s="1"/>
  <c r="BK13" i="3" s="1"/>
  <c r="BS28" i="3" a="1"/>
  <c r="BM38" i="3" a="1"/>
  <c r="BR29" i="3" a="1"/>
  <c r="BT41" i="3" a="1"/>
  <c r="BU40" i="3" a="1"/>
  <c r="BN37" i="3" a="1"/>
  <c r="BO36" i="3" a="1"/>
  <c r="BR25" i="3" a="1"/>
  <c r="BP33" i="3" a="1"/>
  <c r="BS24" i="3" a="1"/>
  <c r="BL39" i="3" a="1"/>
  <c r="BQ32" i="3" a="1"/>
  <c r="BK12" i="3" a="1"/>
  <c r="BJ13" i="3" a="1"/>
  <c r="BM39" i="3" l="1"/>
  <c r="BS29" i="3"/>
  <c r="BS25" i="3"/>
  <c r="BU41" i="3"/>
  <c r="BQ33" i="3"/>
  <c r="BO37" i="3"/>
  <c r="BQ32" i="3"/>
  <c r="BL39" i="3"/>
  <c r="BS24" i="3"/>
  <c r="BP33" i="3"/>
  <c r="BR25" i="3"/>
  <c r="BO36" i="3"/>
  <c r="BN37" i="3"/>
  <c r="BU40" i="3"/>
  <c r="BT41" i="3"/>
  <c r="BR29" i="3"/>
  <c r="BM38" i="3"/>
  <c r="BS28" i="3"/>
  <c r="BN42" i="3" a="1"/>
  <c r="BN42" i="3" s="1"/>
  <c r="BN22" i="3" a="1"/>
  <c r="BN22" i="3" s="1"/>
  <c r="BP16" i="3" a="1"/>
  <c r="BP16" i="3" s="1"/>
  <c r="BN26" i="3" a="1"/>
  <c r="BN26" i="3" s="1"/>
  <c r="BP18" i="3" a="1"/>
  <c r="BP18" i="3" s="1"/>
  <c r="BK12" i="3"/>
  <c r="BJ13" i="3"/>
  <c r="BO22" i="3" a="1"/>
  <c r="BQ18" i="3" a="1"/>
  <c r="BQ16" i="3" a="1"/>
  <c r="BP19" i="3" a="1"/>
  <c r="BN43" i="3" a="1"/>
  <c r="BP17" i="3" a="1"/>
  <c r="BO42" i="3" a="1"/>
  <c r="BN27" i="3" a="1"/>
  <c r="BN23" i="3" a="1"/>
  <c r="BO26" i="3" a="1"/>
  <c r="BO43" i="3" l="1"/>
  <c r="BO27" i="3"/>
  <c r="BO23" i="3"/>
  <c r="BQ19" i="3"/>
  <c r="BQ17" i="3"/>
  <c r="BO26" i="3"/>
  <c r="BN23" i="3"/>
  <c r="BN27" i="3"/>
  <c r="BO42" i="3"/>
  <c r="BP17" i="3"/>
  <c r="BN43" i="3"/>
  <c r="BP19" i="3"/>
  <c r="BQ16" i="3"/>
  <c r="BQ18" i="3"/>
  <c r="BO22" i="3"/>
  <c r="BR32" i="3" a="1"/>
  <c r="BR32" i="3" s="1"/>
  <c r="BV40" i="3" a="1"/>
  <c r="BV40" i="3" s="1"/>
  <c r="BP36" i="3" a="1"/>
  <c r="BP36" i="3" s="1"/>
  <c r="BT28" i="3" a="1"/>
  <c r="BT28" i="3" s="1"/>
  <c r="BN38" i="3" a="1"/>
  <c r="BN38" i="3" s="1"/>
  <c r="BT24" i="3" a="1"/>
  <c r="BT24" i="3" s="1"/>
  <c r="BL12" i="3" a="1"/>
  <c r="BL12" i="3" s="1"/>
  <c r="BM13" i="3" s="1"/>
  <c r="BQ36" i="3" a="1"/>
  <c r="BP37" i="3" a="1"/>
  <c r="BS32" i="3" a="1"/>
  <c r="BU24" i="3" a="1"/>
  <c r="BU28" i="3" a="1"/>
  <c r="BT25" i="3" a="1"/>
  <c r="BR33" i="3" a="1"/>
  <c r="BV41" i="3" a="1"/>
  <c r="BW40" i="3" a="1"/>
  <c r="BN39" i="3" a="1"/>
  <c r="BT29" i="3" a="1"/>
  <c r="BO38" i="3" a="1"/>
  <c r="BL13" i="3" a="1"/>
  <c r="BM12" i="3" a="1"/>
  <c r="BO39" i="3" l="1"/>
  <c r="BU29" i="3"/>
  <c r="BU25" i="3"/>
  <c r="BW41" i="3"/>
  <c r="BQ37" i="3"/>
  <c r="BS33" i="3"/>
  <c r="BO38" i="3"/>
  <c r="BT29" i="3"/>
  <c r="BN39" i="3"/>
  <c r="BW40" i="3"/>
  <c r="BV41" i="3"/>
  <c r="BR33" i="3"/>
  <c r="BT25" i="3"/>
  <c r="BU28" i="3"/>
  <c r="BU24" i="3"/>
  <c r="BS32" i="3"/>
  <c r="BP37" i="3"/>
  <c r="BQ36" i="3"/>
  <c r="BR16" i="3" a="1"/>
  <c r="BR16" i="3" s="1"/>
  <c r="BP42" i="3" a="1"/>
  <c r="BP42" i="3" s="1"/>
  <c r="BP22" i="3" a="1"/>
  <c r="BP22" i="3" s="1"/>
  <c r="BR18" i="3" a="1"/>
  <c r="BR18" i="3" s="1"/>
  <c r="BP26" i="3" a="1"/>
  <c r="BP26" i="3" s="1"/>
  <c r="BL13" i="3"/>
  <c r="BM12" i="3"/>
  <c r="BQ42" i="3" a="1"/>
  <c r="BP27" i="3" a="1"/>
  <c r="BR19" i="3" a="1"/>
  <c r="BQ22" i="3" a="1"/>
  <c r="BS16" i="3" a="1"/>
  <c r="BR17" i="3" a="1"/>
  <c r="BP43" i="3" a="1"/>
  <c r="BS18" i="3" a="1"/>
  <c r="BQ26" i="3" a="1"/>
  <c r="BP23" i="3" a="1"/>
  <c r="BQ43" i="3" l="1"/>
  <c r="BQ27" i="3"/>
  <c r="BQ23" i="3"/>
  <c r="BS19" i="3"/>
  <c r="BS17" i="3"/>
  <c r="BP23" i="3"/>
  <c r="BQ26" i="3"/>
  <c r="BS18" i="3"/>
  <c r="BP43" i="3"/>
  <c r="BR17" i="3"/>
  <c r="BS16" i="3"/>
  <c r="BQ22" i="3"/>
  <c r="BR19" i="3"/>
  <c r="BP27" i="3"/>
  <c r="BQ42" i="3"/>
  <c r="BX40" i="3" a="1"/>
  <c r="BX40" i="3" s="1"/>
  <c r="BV28" i="3" a="1"/>
  <c r="BV28" i="3" s="1"/>
  <c r="BR36" i="3" a="1"/>
  <c r="BR36" i="3" s="1"/>
  <c r="BT32" i="3" a="1"/>
  <c r="BT32" i="3" s="1"/>
  <c r="BV24" i="3" a="1"/>
  <c r="BV24" i="3" s="1"/>
  <c r="BP38" i="3" a="1"/>
  <c r="BP38" i="3" s="1"/>
  <c r="BN12" i="3" a="1"/>
  <c r="BN12" i="3" s="1"/>
  <c r="BO13" i="3" s="1"/>
  <c r="BR37" i="3" a="1"/>
  <c r="BP39" i="3" a="1"/>
  <c r="BY40" i="3" a="1"/>
  <c r="BX41" i="3" a="1"/>
  <c r="BU32" i="3" a="1"/>
  <c r="BQ38" i="3" a="1"/>
  <c r="BW28" i="3" a="1"/>
  <c r="BT33" i="3" a="1"/>
  <c r="BW24" i="3" a="1"/>
  <c r="BV29" i="3" a="1"/>
  <c r="BV25" i="3" a="1"/>
  <c r="BS36" i="3" a="1"/>
  <c r="BO12" i="3" a="1"/>
  <c r="BN13" i="3" a="1"/>
  <c r="BQ39" i="3" l="1"/>
  <c r="BW29" i="3"/>
  <c r="BW25" i="3"/>
  <c r="BU33" i="3"/>
  <c r="BS37" i="3"/>
  <c r="BY41" i="3"/>
  <c r="BS36" i="3"/>
  <c r="BV25" i="3"/>
  <c r="BV29" i="3"/>
  <c r="BW24" i="3"/>
  <c r="BT33" i="3"/>
  <c r="BW28" i="3"/>
  <c r="BQ38" i="3"/>
  <c r="BU32" i="3"/>
  <c r="BX41" i="3"/>
  <c r="BY40" i="3"/>
  <c r="BP39" i="3"/>
  <c r="BR37" i="3"/>
  <c r="BR22" i="3" a="1"/>
  <c r="BR22" i="3" s="1"/>
  <c r="BT16" i="3" a="1"/>
  <c r="BT16" i="3" s="1"/>
  <c r="BT18" i="3" a="1"/>
  <c r="BT18" i="3" s="1"/>
  <c r="BR42" i="3" a="1"/>
  <c r="BR42" i="3" s="1"/>
  <c r="BR26" i="3" a="1"/>
  <c r="BR26" i="3" s="1"/>
  <c r="BO12" i="3"/>
  <c r="BN13" i="3"/>
  <c r="BR23" i="3" a="1"/>
  <c r="BU16" i="3" a="1"/>
  <c r="BT17" i="3" a="1"/>
  <c r="BR27" i="3" a="1"/>
  <c r="BU18" i="3" a="1"/>
  <c r="BS26" i="3" a="1"/>
  <c r="BT19" i="3" a="1"/>
  <c r="BS22" i="3" a="1"/>
  <c r="BS42" i="3" a="1"/>
  <c r="BR43" i="3" a="1"/>
  <c r="O40" i="3" a="1"/>
  <c r="BS43" i="3" l="1"/>
  <c r="O40" i="3"/>
  <c r="BS27" i="3"/>
  <c r="BS23" i="3"/>
  <c r="BU19" i="3"/>
  <c r="BU17" i="3"/>
  <c r="BR43" i="3"/>
  <c r="BS42" i="3"/>
  <c r="BS22" i="3"/>
  <c r="BT19" i="3"/>
  <c r="BS26" i="3"/>
  <c r="BU18" i="3"/>
  <c r="BR27" i="3"/>
  <c r="BT17" i="3"/>
  <c r="BU16" i="3"/>
  <c r="BR23" i="3"/>
  <c r="BX28" i="3" a="1"/>
  <c r="BX28" i="3" s="1"/>
  <c r="I21" i="3"/>
  <c r="E27" i="2" s="1" a="1"/>
  <c r="E27" i="2" s="1"/>
  <c r="G21" i="3"/>
  <c r="D27" i="2" s="1" a="1"/>
  <c r="D27" i="2" s="1"/>
  <c r="BV32" i="3" a="1"/>
  <c r="BV32" i="3" s="1"/>
  <c r="BT36" i="3" a="1"/>
  <c r="BT36" i="3" s="1"/>
  <c r="BX24" i="3" a="1"/>
  <c r="BX24" i="3" s="1"/>
  <c r="BR38" i="3" a="1"/>
  <c r="BR38" i="3" s="1"/>
  <c r="G19" i="3"/>
  <c r="D25" i="2" s="1" a="1"/>
  <c r="D25" i="2" s="1"/>
  <c r="I19" i="3"/>
  <c r="E25" i="2" s="1" a="1"/>
  <c r="E25" i="2" s="1"/>
  <c r="BP12" i="3" a="1"/>
  <c r="BP12" i="3" s="1"/>
  <c r="BQ13" i="3" s="1"/>
  <c r="BX29" i="3" a="1"/>
  <c r="BY28" i="3" a="1"/>
  <c r="BU36" i="3" a="1"/>
  <c r="BX25" i="3" a="1"/>
  <c r="BV33" i="3" a="1"/>
  <c r="BY24" i="3" a="1"/>
  <c r="BW32" i="3" a="1"/>
  <c r="BR39" i="3" a="1"/>
  <c r="BT37" i="3" a="1"/>
  <c r="BS38" i="3" a="1"/>
  <c r="BP13" i="3" a="1"/>
  <c r="BQ12" i="3" a="1"/>
  <c r="BS39" i="3" l="1"/>
  <c r="BU37" i="3"/>
  <c r="BW33" i="3"/>
  <c r="BY29" i="3"/>
  <c r="BY25" i="3"/>
  <c r="BS38" i="3"/>
  <c r="BT37" i="3"/>
  <c r="BR39" i="3"/>
  <c r="BW32" i="3"/>
  <c r="BY24" i="3"/>
  <c r="BV33" i="3"/>
  <c r="BX25" i="3"/>
  <c r="BU36" i="3"/>
  <c r="BY28" i="3"/>
  <c r="BX29" i="3"/>
  <c r="BV18" i="3" a="1"/>
  <c r="BV18" i="3" s="1"/>
  <c r="BT42" i="3" a="1"/>
  <c r="BT42" i="3" s="1"/>
  <c r="BV16" i="3" a="1"/>
  <c r="BV16" i="3" s="1"/>
  <c r="BT26" i="3" a="1"/>
  <c r="BT26" i="3" s="1"/>
  <c r="BT22" i="3" a="1"/>
  <c r="BT22" i="3" s="1"/>
  <c r="BP13" i="3"/>
  <c r="BQ12" i="3"/>
  <c r="BU42" i="3" a="1"/>
  <c r="BU26" i="3" a="1"/>
  <c r="BT43" i="3" a="1"/>
  <c r="BW16" i="3" a="1"/>
  <c r="BT27" i="3" a="1"/>
  <c r="BT23" i="3" a="1"/>
  <c r="BU22" i="3" a="1"/>
  <c r="BV17" i="3" a="1"/>
  <c r="BV19" i="3" a="1"/>
  <c r="BW18" i="3" a="1"/>
  <c r="O28" i="3" a="1"/>
  <c r="O24" i="3" a="1"/>
  <c r="BU43" i="3" l="1"/>
  <c r="O28" i="3"/>
  <c r="BU27" i="3"/>
  <c r="O24" i="3"/>
  <c r="BU23" i="3"/>
  <c r="BW19" i="3"/>
  <c r="BW17" i="3"/>
  <c r="BW18" i="3"/>
  <c r="BV19" i="3"/>
  <c r="BV17" i="3"/>
  <c r="BU22" i="3"/>
  <c r="BT23" i="3"/>
  <c r="BT27" i="3"/>
  <c r="BW16" i="3"/>
  <c r="BT43" i="3"/>
  <c r="BU26" i="3"/>
  <c r="BU42" i="3"/>
  <c r="BX32" i="3" a="1"/>
  <c r="BX32" i="3" s="1"/>
  <c r="BT38" i="3" a="1"/>
  <c r="BT38" i="3" s="1"/>
  <c r="BV36" i="3" a="1"/>
  <c r="BV36" i="3" s="1"/>
  <c r="BR12" i="3" a="1"/>
  <c r="BR12" i="3" s="1"/>
  <c r="BS13" i="3" s="1"/>
  <c r="BX33" i="3" a="1"/>
  <c r="BV37" i="3" a="1"/>
  <c r="BU38" i="3" a="1"/>
  <c r="BT39" i="3" a="1"/>
  <c r="BW36" i="3" a="1"/>
  <c r="BY32" i="3" a="1"/>
  <c r="BS12" i="3" a="1"/>
  <c r="BR13" i="3" a="1"/>
  <c r="BU39" i="3" l="1"/>
  <c r="BY33" i="3"/>
  <c r="BW37" i="3"/>
  <c r="BY32" i="3"/>
  <c r="BW36" i="3"/>
  <c r="BT39" i="3"/>
  <c r="BU38" i="3"/>
  <c r="BV37" i="3"/>
  <c r="BX33" i="3"/>
  <c r="I14" i="3"/>
  <c r="E20" i="2" s="1" a="1"/>
  <c r="E20" i="2" s="1"/>
  <c r="G14" i="3"/>
  <c r="D20" i="2" s="1" a="1"/>
  <c r="D20" i="2" s="1"/>
  <c r="BV26" i="3" a="1"/>
  <c r="BV26" i="3" s="1"/>
  <c r="G15" i="3"/>
  <c r="D21" i="2" s="1" a="1"/>
  <c r="D21" i="2" s="1"/>
  <c r="I15" i="3"/>
  <c r="E21" i="2" s="1" a="1"/>
  <c r="E21" i="2" s="1"/>
  <c r="BX16" i="3" a="1"/>
  <c r="BX16" i="3" s="1"/>
  <c r="BX18" i="3" a="1"/>
  <c r="BX18" i="3" s="1"/>
  <c r="BV22" i="3" a="1"/>
  <c r="BV22" i="3" s="1"/>
  <c r="BV42" i="3" a="1"/>
  <c r="BV42" i="3" s="1"/>
  <c r="BR13" i="3"/>
  <c r="BS12" i="3"/>
  <c r="BV27" i="3" a="1"/>
  <c r="BY18" i="3" a="1"/>
  <c r="BW42" i="3" a="1"/>
  <c r="BW26" i="3" a="1"/>
  <c r="BX19" i="3" a="1"/>
  <c r="BW22" i="3" a="1"/>
  <c r="BX17" i="3" a="1"/>
  <c r="BV23" i="3" a="1"/>
  <c r="BV43" i="3" a="1"/>
  <c r="BY16" i="3" a="1"/>
  <c r="O32" i="3" a="1"/>
  <c r="BW43" i="3" l="1"/>
  <c r="O32" i="3"/>
  <c r="BW27" i="3"/>
  <c r="BW23" i="3"/>
  <c r="BY17" i="3"/>
  <c r="BY19" i="3"/>
  <c r="BY16" i="3"/>
  <c r="BV43" i="3"/>
  <c r="BV23" i="3"/>
  <c r="BX17" i="3"/>
  <c r="BW22" i="3"/>
  <c r="BX19" i="3"/>
  <c r="BW26" i="3"/>
  <c r="BW42" i="3"/>
  <c r="BY18" i="3"/>
  <c r="BV27" i="3"/>
  <c r="BV38" i="3" a="1"/>
  <c r="BV38" i="3" s="1"/>
  <c r="BX36" i="3" a="1"/>
  <c r="BX36" i="3" s="1"/>
  <c r="BT12" i="3" a="1"/>
  <c r="BT12" i="3" s="1"/>
  <c r="BU13" i="3" s="1"/>
  <c r="BX37" i="3" a="1"/>
  <c r="BV39" i="3" a="1"/>
  <c r="BW38" i="3" a="1"/>
  <c r="BY36" i="3" a="1"/>
  <c r="O18" i="3" a="1"/>
  <c r="O16" i="3" a="1"/>
  <c r="BT13" i="3" a="1"/>
  <c r="BU12" i="3" a="1"/>
  <c r="BW39" i="3" l="1"/>
  <c r="O18" i="3"/>
  <c r="O16" i="3"/>
  <c r="BY37" i="3"/>
  <c r="BY36" i="3"/>
  <c r="BW38" i="3"/>
  <c r="BV39" i="3"/>
  <c r="BX37" i="3"/>
  <c r="G20" i="3"/>
  <c r="D26" i="2" s="1" a="1"/>
  <c r="D26" i="2" s="1"/>
  <c r="I20" i="3"/>
  <c r="E26" i="2" s="1" a="1"/>
  <c r="E26" i="2" s="1"/>
  <c r="BX22" i="3" a="1"/>
  <c r="BX22" i="3" s="1"/>
  <c r="I17" i="3"/>
  <c r="E23" i="2" s="1" a="1"/>
  <c r="E23" i="2" s="1"/>
  <c r="G17" i="3"/>
  <c r="D23" i="2" s="1" a="1"/>
  <c r="D23" i="2" s="1"/>
  <c r="BX42" i="3" a="1"/>
  <c r="BX42" i="3" s="1"/>
  <c r="BX26" i="3" a="1"/>
  <c r="BX26" i="3" s="1"/>
  <c r="D34" i="2" a="1"/>
  <c r="D34" i="2" s="1"/>
  <c r="I31" i="3"/>
  <c r="E37" i="2" s="1" a="1"/>
  <c r="E37" i="2" s="1"/>
  <c r="BU12" i="3"/>
  <c r="BT13" i="3"/>
  <c r="BX27" i="3" a="1"/>
  <c r="BX23" i="3" a="1"/>
  <c r="BY26" i="3" a="1"/>
  <c r="BX43" i="3" a="1"/>
  <c r="BY42" i="3" a="1"/>
  <c r="BY22" i="3" a="1"/>
  <c r="O36" i="3" a="1"/>
  <c r="O36" i="3" l="1"/>
  <c r="BY27" i="3"/>
  <c r="BY23" i="3"/>
  <c r="BY43" i="3"/>
  <c r="BY22" i="3"/>
  <c r="BY42" i="3"/>
  <c r="BX43" i="3"/>
  <c r="BY26" i="3"/>
  <c r="BX23" i="3"/>
  <c r="BX27" i="3"/>
  <c r="G28" i="3"/>
  <c r="I28" i="3"/>
  <c r="BX38" i="3" a="1"/>
  <c r="BX38" i="3" s="1"/>
  <c r="BV12" i="3" a="1"/>
  <c r="BV12" i="3" s="1"/>
  <c r="BW13" i="3" s="1"/>
  <c r="BX39" i="3" a="1"/>
  <c r="BY38" i="3" a="1"/>
  <c r="O42" i="3" a="1"/>
  <c r="O26" i="3" a="1"/>
  <c r="O22" i="3" a="1"/>
  <c r="BW12" i="3" a="1"/>
  <c r="BV13" i="3" a="1"/>
  <c r="O42" i="3" l="1"/>
  <c r="O26" i="3"/>
  <c r="O22" i="3"/>
  <c r="G31" i="3"/>
  <c r="BY39" i="3"/>
  <c r="E34" i="2" a="1"/>
  <c r="E34" i="2" s="1"/>
  <c r="E33" i="2" a="1"/>
  <c r="E33" i="2" s="1"/>
  <c r="D33" i="2" a="1"/>
  <c r="D33" i="2" s="1"/>
  <c r="BY38" i="3"/>
  <c r="BX39" i="3"/>
  <c r="BV13" i="3"/>
  <c r="BW12" i="3"/>
  <c r="O38" i="3" a="1"/>
  <c r="O38" i="3" l="1"/>
  <c r="BX12" i="3" a="1"/>
  <c r="BX12" i="3" s="1"/>
  <c r="BY13" i="3" s="1"/>
  <c r="G12" i="3"/>
  <c r="D18" i="2" s="1" a="1"/>
  <c r="D18" i="2" s="1"/>
  <c r="I12" i="3"/>
  <c r="E18" i="2" s="1" a="1"/>
  <c r="E18" i="2" s="1"/>
  <c r="BY12" i="3" a="1"/>
  <c r="BX13" i="3" a="1"/>
  <c r="BY12" i="3" l="1"/>
  <c r="BX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<sst xmlns="http://schemas.openxmlformats.org/spreadsheetml/2006/main" count="33" uniqueCount="29">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</sst>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0"/>
      <name val="Meiryo UI"/>
      <family val="3"/>
      <charset val="128"/>
    </font>
    <font>
      <sz val="11"/>
      <color theme="0" tint="-0.14999847407452621"/>
      <name val="Meiryo UI"/>
      <family val="3"/>
      <charset val="128"/>
    </font>
    <font>
      <sz val="11"/>
      <color theme="0" tint="-0.1499984740745262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8" customWidth="1" collapsed="1"/>
    <col min="2" max="2" width="24" style="68" customWidth="1"/>
    <col min="3" max="3" width="6" style="68" customWidth="1"/>
    <col min="4" max="4" width="7" style="68" customWidth="1"/>
    <col min="5" max="5" width="9" style="68" customWidth="1" collapsed="1"/>
    <col min="6" max="6" width="9" style="68" customWidth="1"/>
    <col min="7" max="36" width="9" customWidth="1"/>
    <col min="37" max="55" width="9" style="68" customWidth="1" collapsed="1"/>
    <col min="56" max="56" width="9" style="68" customWidth="1"/>
    <col min="57" max="66" width="9" style="68" customWidth="1" collapsed="1"/>
    <col min="67" max="16384" width="9" style="68" collapsed="1"/>
  </cols>
  <sheetData>
    <row r="1" spans="1:35" s="68" customFormat="1" ht="13.2" customHeight="1" x14ac:dyDescent="0.2"/>
    <row r="2" spans="1:35" s="68" customFormat="1" ht="10.8" customHeight="1" x14ac:dyDescent="0.2">
      <c r="A2" s="69"/>
      <c r="B2" s="70"/>
      <c r="C2" s="71"/>
      <c r="D2" s="71"/>
    </row>
    <row r="3" spans="1:35" s="68" customFormat="1" ht="10.8" customHeight="1" x14ac:dyDescent="0.2">
      <c r="A3" s="72"/>
      <c r="B3" s="72"/>
      <c r="C3" s="72"/>
      <c r="D3" s="72"/>
    </row>
    <row r="4" spans="1:35" s="68" customFormat="1" ht="10.8" customHeight="1" x14ac:dyDescent="0.2">
      <c r="A4" s="72"/>
      <c r="B4" s="72"/>
      <c r="C4" s="72"/>
      <c r="F4" s="73"/>
      <c r="G4" s="74"/>
      <c r="H4" s="74"/>
      <c r="I4" s="73"/>
      <c r="J4" s="75"/>
      <c r="K4" s="76"/>
      <c r="L4" s="73"/>
      <c r="M4" s="73"/>
    </row>
    <row r="5" spans="1:35" s="68" customFormat="1" ht="10.8" customHeight="1" x14ac:dyDescent="0.2">
      <c r="A5" s="70"/>
      <c r="B5" s="70"/>
    </row>
    <row r="6" spans="1:35" s="68" customFormat="1" ht="10.8" customHeight="1" x14ac:dyDescent="0.2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</row>
    <row r="7" spans="1:35" s="68" customFormat="1" ht="10.8" customHeight="1" x14ac:dyDescent="0.2">
      <c r="A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</row>
    <row r="8" spans="1:35" s="68" customFormat="1" ht="10.8" customHeight="1" x14ac:dyDescent="0.2">
      <c r="A8" s="78"/>
      <c r="B8" s="79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</row>
    <row r="9" spans="1:35" s="68" customFormat="1" ht="10.8" customHeight="1" x14ac:dyDescent="0.2">
      <c r="A9"/>
      <c r="B9" s="79"/>
      <c r="C9"/>
      <c r="D9"/>
      <c r="E9"/>
      <c r="F9" s="80"/>
      <c r="G9" s="80"/>
      <c r="H9" s="80"/>
      <c r="I9" s="80"/>
      <c r="J9"/>
      <c r="K9"/>
      <c r="L9" s="80"/>
      <c r="M9" s="80"/>
      <c r="N9" s="80"/>
      <c r="O9" s="80"/>
      <c r="P9" s="80"/>
      <c r="Q9"/>
      <c r="R9"/>
      <c r="S9" s="80"/>
      <c r="T9" s="80"/>
      <c r="U9" s="80"/>
      <c r="V9" s="80"/>
      <c r="W9" s="80"/>
      <c r="X9"/>
      <c r="Y9"/>
      <c r="Z9" s="80"/>
      <c r="AA9" s="80"/>
      <c r="AB9" s="80"/>
      <c r="AC9" s="80"/>
      <c r="AD9" s="80"/>
      <c r="AE9"/>
      <c r="AF9"/>
      <c r="AG9" s="80"/>
      <c r="AH9"/>
      <c r="AI9" s="80"/>
    </row>
    <row r="10" spans="1:35" s="68" customFormat="1" ht="10.8" customHeight="1" x14ac:dyDescent="0.2">
      <c r="A10" s="78"/>
      <c r="B10" s="79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</row>
    <row r="11" spans="1:35" s="68" customFormat="1" ht="10.8" customHeight="1" x14ac:dyDescent="0.2">
      <c r="A11"/>
      <c r="B11" s="79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80"/>
      <c r="W11"/>
      <c r="X11"/>
      <c r="Y11"/>
      <c r="Z11"/>
      <c r="AA11"/>
      <c r="AB11"/>
      <c r="AC11"/>
      <c r="AD11"/>
      <c r="AE11"/>
      <c r="AF11"/>
      <c r="AG11" s="80"/>
      <c r="AH11"/>
      <c r="AI11"/>
    </row>
    <row r="12" spans="1:35" s="68" customFormat="1" ht="10.8" customHeight="1" x14ac:dyDescent="0.2">
      <c r="A12" s="78"/>
      <c r="B12" s="79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</row>
    <row r="13" spans="1:35" s="68" customFormat="1" ht="10.8" customHeight="1" x14ac:dyDescent="0.2">
      <c r="A13"/>
      <c r="B13" s="79"/>
      <c r="C13"/>
      <c r="D13"/>
      <c r="E13"/>
      <c r="F13"/>
      <c r="G13"/>
      <c r="H13"/>
      <c r="I13"/>
      <c r="J13"/>
      <c r="K13"/>
      <c r="L13"/>
      <c r="M13"/>
      <c r="N13"/>
      <c r="O13"/>
      <c r="P13" s="80"/>
      <c r="Q13"/>
      <c r="R13"/>
      <c r="S13" s="80"/>
      <c r="T13"/>
      <c r="U13" s="80"/>
      <c r="V13"/>
      <c r="W13" s="80"/>
      <c r="X13"/>
      <c r="Y13"/>
      <c r="Z13" s="80"/>
      <c r="AA13"/>
      <c r="AB13"/>
      <c r="AC13"/>
      <c r="AD13"/>
      <c r="AE13"/>
      <c r="AF13"/>
      <c r="AG13" s="80"/>
      <c r="AH13"/>
      <c r="AI13" s="80"/>
    </row>
    <row r="14" spans="1:35" s="68" customFormat="1" ht="10.8" customHeight="1" x14ac:dyDescent="0.2">
      <c r="A14" s="78"/>
      <c r="B14" s="79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</row>
    <row r="15" spans="1:35" s="68" customFormat="1" ht="10.8" customHeight="1" x14ac:dyDescent="0.2">
      <c r="A15"/>
      <c r="B15" s="79"/>
      <c r="C15"/>
      <c r="D15"/>
      <c r="E15"/>
      <c r="F15"/>
      <c r="G15"/>
      <c r="H15"/>
      <c r="I15"/>
      <c r="J15"/>
      <c r="K15"/>
      <c r="L15"/>
      <c r="M15"/>
      <c r="N15"/>
      <c r="O15"/>
      <c r="P15" s="80"/>
      <c r="Q15"/>
      <c r="R15"/>
      <c r="S15" s="80"/>
      <c r="T15"/>
      <c r="U15" s="80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80"/>
    </row>
    <row r="16" spans="1:35" s="68" customFormat="1" ht="10.8" customHeight="1" x14ac:dyDescent="0.2">
      <c r="A16" s="78"/>
      <c r="B16" s="79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</row>
    <row r="17" spans="1:35" s="68" customFormat="1" ht="10.8" customHeight="1" x14ac:dyDescent="0.2">
      <c r="A17"/>
      <c r="B17" s="79"/>
      <c r="C17"/>
      <c r="D17"/>
      <c r="E17"/>
      <c r="F17"/>
      <c r="G17"/>
      <c r="H17" s="80"/>
      <c r="I17" s="80"/>
      <c r="J17"/>
      <c r="K17"/>
      <c r="L17" s="80"/>
      <c r="M17" s="80"/>
      <c r="N17"/>
      <c r="O17" s="80"/>
      <c r="P17" s="80"/>
      <c r="Q17"/>
      <c r="R17"/>
      <c r="S17"/>
      <c r="T17" s="80"/>
      <c r="U17"/>
      <c r="V17" s="80"/>
      <c r="W17"/>
      <c r="X17"/>
      <c r="Y17"/>
      <c r="Z17"/>
      <c r="AA17"/>
      <c r="AB17" s="80"/>
      <c r="AC17" s="80"/>
      <c r="AD17" s="80"/>
      <c r="AE17"/>
      <c r="AF17"/>
      <c r="AG17" s="80"/>
      <c r="AH17"/>
      <c r="AI17" s="80"/>
    </row>
    <row r="18" spans="1:35" s="68" customFormat="1" ht="10.8" customHeight="1" x14ac:dyDescent="0.2">
      <c r="A18" s="78"/>
      <c r="B18" s="79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</row>
    <row r="19" spans="1:35" s="68" customFormat="1" ht="10.8" customHeight="1" x14ac:dyDescent="0.2">
      <c r="A19"/>
      <c r="B19" s="79"/>
      <c r="C19"/>
      <c r="D19"/>
      <c r="E19"/>
      <c r="F19" s="80"/>
      <c r="G19"/>
      <c r="H19"/>
      <c r="I19"/>
      <c r="J19"/>
      <c r="K19"/>
      <c r="L19" s="80"/>
      <c r="M19" s="80"/>
      <c r="N19" s="80"/>
      <c r="O19"/>
      <c r="P19"/>
      <c r="Q19"/>
      <c r="R19"/>
      <c r="S19" s="80"/>
      <c r="T19" s="80"/>
      <c r="U19"/>
      <c r="V19"/>
      <c r="W19"/>
      <c r="X19"/>
      <c r="Y19"/>
      <c r="Z19"/>
      <c r="AA19"/>
      <c r="AB19" s="80"/>
      <c r="AC19"/>
      <c r="AD19" s="80"/>
      <c r="AE19"/>
      <c r="AF19"/>
      <c r="AG19"/>
      <c r="AH19"/>
      <c r="AI19"/>
    </row>
    <row r="20" spans="1:35" s="68" customFormat="1" ht="10.8" customHeight="1" x14ac:dyDescent="0.2">
      <c r="A20" s="78"/>
      <c r="B20" s="79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</row>
    <row r="21" spans="1:35" s="68" customFormat="1" ht="10.8" customHeight="1" x14ac:dyDescent="0.2">
      <c r="A21"/>
      <c r="B21" s="79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80"/>
      <c r="AA21"/>
      <c r="AB21"/>
      <c r="AC21"/>
      <c r="AD21"/>
      <c r="AE21"/>
      <c r="AF21"/>
      <c r="AG21" s="80"/>
      <c r="AH21"/>
      <c r="AI21"/>
    </row>
    <row r="22" spans="1:35" s="68" customFormat="1" ht="10.8" customHeight="1" x14ac:dyDescent="0.2">
      <c r="A22" s="78"/>
      <c r="B22" s="79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</row>
    <row r="23" spans="1:35" s="68" customFormat="1" ht="10.8" customHeight="1" x14ac:dyDescent="0.2">
      <c r="A23"/>
      <c r="B23" s="79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80"/>
      <c r="AA23"/>
      <c r="AB23"/>
      <c r="AC23"/>
      <c r="AD23"/>
      <c r="AE23"/>
      <c r="AF23"/>
      <c r="AG23"/>
      <c r="AH23"/>
      <c r="AI23"/>
    </row>
    <row r="24" spans="1:35" s="68" customFormat="1" ht="10.8" customHeight="1" x14ac:dyDescent="0.2">
      <c r="A24" s="78"/>
      <c r="B24" s="79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</row>
    <row r="25" spans="1:35" s="68" customFormat="1" ht="10.8" customHeight="1" x14ac:dyDescent="0.2">
      <c r="A25"/>
      <c r="B25" s="79"/>
      <c r="C25"/>
      <c r="D25"/>
      <c r="E25"/>
      <c r="F25" s="80"/>
      <c r="G25"/>
      <c r="H25"/>
      <c r="I25"/>
      <c r="J25"/>
      <c r="K25"/>
      <c r="L25"/>
      <c r="M25"/>
      <c r="N25"/>
      <c r="O25"/>
      <c r="P25"/>
      <c r="Q25"/>
      <c r="R25"/>
      <c r="S25" s="80"/>
      <c r="T25" s="80"/>
      <c r="U25"/>
      <c r="V25"/>
      <c r="W25"/>
      <c r="X25"/>
      <c r="Y25"/>
      <c r="Z25" s="80"/>
      <c r="AA25" s="80"/>
      <c r="AB25"/>
      <c r="AC25" s="80"/>
      <c r="AD25"/>
      <c r="AE25"/>
      <c r="AF25"/>
      <c r="AG25"/>
      <c r="AH25"/>
      <c r="AI25"/>
    </row>
    <row r="26" spans="1:35" s="68" customFormat="1" ht="10.8" customHeight="1" x14ac:dyDescent="0.2">
      <c r="A26" s="78"/>
      <c r="B26" s="79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</row>
    <row r="27" spans="1:35" s="68" customFormat="1" ht="10.8" customHeight="1" x14ac:dyDescent="0.2">
      <c r="A27"/>
      <c r="B27" s="79"/>
      <c r="C27"/>
      <c r="D27"/>
      <c r="E27"/>
      <c r="F27"/>
      <c r="G27"/>
      <c r="H27"/>
      <c r="I27"/>
      <c r="J27"/>
      <c r="K27"/>
      <c r="L27" s="80"/>
      <c r="M27"/>
      <c r="N27"/>
      <c r="O27" s="80"/>
      <c r="P27"/>
      <c r="Q27"/>
      <c r="R27"/>
      <c r="S27"/>
      <c r="T27"/>
      <c r="U27"/>
      <c r="V27"/>
      <c r="W27"/>
      <c r="X27"/>
      <c r="Y27"/>
      <c r="Z27"/>
      <c r="AA27" s="80"/>
      <c r="AB27"/>
      <c r="AC27" s="80"/>
      <c r="AD27"/>
      <c r="AE27"/>
      <c r="AF27"/>
      <c r="AG27" s="80"/>
      <c r="AH27"/>
      <c r="AI27"/>
    </row>
    <row r="28" spans="1:35" s="68" customFormat="1" ht="10.8" customHeight="1" x14ac:dyDescent="0.2">
      <c r="A28" s="78"/>
      <c r="B28" s="79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</row>
    <row r="29" spans="1:35" s="68" customFormat="1" ht="10.8" customHeight="1" x14ac:dyDescent="0.2">
      <c r="A29"/>
      <c r="B29" s="7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80"/>
      <c r="AB29" s="80"/>
      <c r="AC29" s="80"/>
      <c r="AD29"/>
      <c r="AE29"/>
      <c r="AF29"/>
      <c r="AG29"/>
      <c r="AH29"/>
      <c r="AI29"/>
    </row>
    <row r="30" spans="1:35" s="68" customFormat="1" ht="10.8" customHeight="1" x14ac:dyDescent="0.2">
      <c r="A30" s="78"/>
      <c r="B30" s="79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</row>
    <row r="31" spans="1:35" s="68" customFormat="1" ht="10.8" customHeight="1" x14ac:dyDescent="0.2">
      <c r="A31"/>
      <c r="B31" s="79"/>
      <c r="C31"/>
      <c r="D31"/>
      <c r="E31"/>
      <c r="F31"/>
      <c r="G31" s="80"/>
      <c r="H31" s="80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s="68" customFormat="1" ht="10.8" customHeight="1" x14ac:dyDescent="0.2">
      <c r="A32" s="78"/>
      <c r="B32" s="79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</row>
    <row r="33" spans="1:35" s="68" customFormat="1" ht="10.8" customHeight="1" x14ac:dyDescent="0.2">
      <c r="A33"/>
      <c r="B33" s="79"/>
      <c r="C33"/>
      <c r="D33"/>
      <c r="E33"/>
      <c r="F33"/>
      <c r="G33"/>
      <c r="H33"/>
      <c r="I33" s="80"/>
      <c r="J33"/>
      <c r="K33"/>
      <c r="L33"/>
      <c r="M33"/>
      <c r="N33" s="8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68" customFormat="1" ht="10.8" customHeight="1" x14ac:dyDescent="0.2">
      <c r="A34" s="78"/>
      <c r="B34" s="79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</row>
    <row r="35" spans="1:35" s="68" customFormat="1" ht="10.8" customHeight="1" x14ac:dyDescent="0.2">
      <c r="A35"/>
      <c r="B35" s="79"/>
      <c r="C35"/>
      <c r="D35"/>
      <c r="E35"/>
      <c r="F35"/>
      <c r="G35" s="80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68" customFormat="1" ht="10.8" customHeight="1" x14ac:dyDescent="0.2">
      <c r="A36" s="78"/>
      <c r="B36" s="79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</row>
    <row r="37" spans="1:35" s="68" customFormat="1" ht="10.8" customHeight="1" x14ac:dyDescent="0.2">
      <c r="A37"/>
      <c r="B37" s="79"/>
      <c r="C37"/>
      <c r="D37"/>
      <c r="E37"/>
      <c r="F37"/>
      <c r="G37"/>
      <c r="H37"/>
      <c r="I37"/>
      <c r="J37"/>
      <c r="K37"/>
      <c r="L37" s="80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68" customFormat="1" ht="10.8" customHeight="1" x14ac:dyDescent="0.2">
      <c r="A38" s="78"/>
      <c r="B38" s="79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</row>
    <row r="39" spans="1:35" s="68" customFormat="1" ht="10.8" customHeight="1" x14ac:dyDescent="0.2">
      <c r="A39"/>
      <c r="B39" s="79"/>
      <c r="C39"/>
      <c r="D39"/>
      <c r="E39"/>
      <c r="F39"/>
      <c r="G39"/>
      <c r="H39"/>
      <c r="I39"/>
      <c r="J39"/>
      <c r="K39"/>
      <c r="L39"/>
      <c r="M39"/>
      <c r="N39" s="80"/>
      <c r="O39" s="80"/>
      <c r="P39"/>
      <c r="Q39"/>
      <c r="R39"/>
      <c r="S39"/>
      <c r="T39"/>
      <c r="U39"/>
      <c r="V39"/>
      <c r="W39"/>
      <c r="X39"/>
      <c r="Y39"/>
      <c r="Z39"/>
      <c r="AA39"/>
      <c r="AB39"/>
      <c r="AC39" s="80"/>
      <c r="AD39" s="80"/>
      <c r="AE39"/>
      <c r="AF39"/>
      <c r="AG39"/>
      <c r="AH39"/>
      <c r="AI39"/>
    </row>
    <row r="40" spans="1:35" s="68" customFormat="1" ht="10.8" customHeight="1" x14ac:dyDescent="0.2">
      <c r="A40" s="78"/>
      <c r="B40" s="79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</row>
    <row r="41" spans="1:35" s="68" customFormat="1" ht="10.8" customHeight="1" x14ac:dyDescent="0.2">
      <c r="A41"/>
      <c r="B41" s="79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s="68" customFormat="1" ht="10.8" customHeight="1" x14ac:dyDescent="0.2">
      <c r="A42" s="78"/>
      <c r="B42" s="79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</row>
    <row r="43" spans="1:35" s="68" customFormat="1" ht="10.8" customHeight="1" x14ac:dyDescent="0.2">
      <c r="A43"/>
      <c r="B43" s="79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80"/>
      <c r="W43" s="80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s="68" customFormat="1" ht="10.8" customHeight="1" x14ac:dyDescent="0.2">
      <c r="A44" s="78"/>
      <c r="B44" s="79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</row>
    <row r="45" spans="1:35" s="68" customFormat="1" ht="10.8" customHeight="1" x14ac:dyDescent="0.2">
      <c r="A45"/>
      <c r="B45" s="79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80"/>
      <c r="AA45" s="80"/>
      <c r="AB45"/>
      <c r="AC45"/>
      <c r="AD45"/>
      <c r="AE45"/>
      <c r="AF45"/>
      <c r="AG45"/>
      <c r="AH45"/>
      <c r="AI45"/>
    </row>
    <row r="46" spans="1:35" s="68" customFormat="1" ht="10.8" customHeight="1" x14ac:dyDescent="0.2">
      <c r="A46" s="78"/>
      <c r="B46" s="79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</row>
    <row r="47" spans="1:35" s="68" customFormat="1" ht="10.8" customHeight="1" x14ac:dyDescent="0.2">
      <c r="A47"/>
      <c r="B47" s="79"/>
      <c r="C47"/>
      <c r="D47"/>
      <c r="E47"/>
      <c r="F47"/>
      <c r="G47"/>
      <c r="H47"/>
      <c r="I47"/>
      <c r="J47"/>
      <c r="K47"/>
      <c r="L47"/>
      <c r="M47" s="80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80"/>
      <c r="AC47"/>
      <c r="AD47"/>
      <c r="AE47"/>
      <c r="AF47"/>
      <c r="AG47"/>
      <c r="AH47"/>
      <c r="AI47"/>
    </row>
    <row r="48" spans="1:35" s="68" customFormat="1" ht="10.8" customHeight="1" x14ac:dyDescent="0.2">
      <c r="A48" s="78"/>
      <c r="B48" s="79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</row>
    <row r="49" spans="1:35" s="68" customFormat="1" ht="10.8" customHeight="1" x14ac:dyDescent="0.2">
      <c r="A49"/>
      <c r="B49" s="7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80"/>
      <c r="U49" s="8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s="68" customFormat="1" ht="10.8" customHeight="1" x14ac:dyDescent="0.2">
      <c r="A50" s="78"/>
      <c r="B50" s="79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</row>
    <row r="51" spans="1:35" s="68" customFormat="1" ht="10.8" customHeight="1" x14ac:dyDescent="0.2">
      <c r="A51"/>
      <c r="B51" s="79"/>
      <c r="C51"/>
      <c r="D51"/>
      <c r="E51"/>
      <c r="F51" s="80"/>
      <c r="G51"/>
      <c r="H51"/>
      <c r="I51"/>
      <c r="J51"/>
      <c r="K51"/>
      <c r="L51"/>
      <c r="M51"/>
      <c r="N51"/>
      <c r="O51"/>
      <c r="P51" s="80"/>
      <c r="Q51"/>
      <c r="R51"/>
      <c r="S51"/>
      <c r="T51"/>
      <c r="U51"/>
      <c r="V51"/>
      <c r="W51"/>
      <c r="X51"/>
      <c r="Y51"/>
      <c r="Z51"/>
      <c r="AA51"/>
      <c r="AB51"/>
      <c r="AC51"/>
      <c r="AD51" s="80"/>
      <c r="AE51"/>
      <c r="AF51"/>
      <c r="AG51"/>
      <c r="AH51"/>
      <c r="AI51"/>
    </row>
    <row r="52" spans="1:35" s="68" customFormat="1" ht="10.8" customHeight="1" x14ac:dyDescent="0.2">
      <c r="A52" s="78"/>
      <c r="B52" s="79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</row>
    <row r="53" spans="1:35" s="68" customFormat="1" ht="10.8" customHeight="1" x14ac:dyDescent="0.2">
      <c r="A53"/>
      <c r="B53" s="79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s="68" customFormat="1" ht="13.2" customHeight="1" x14ac:dyDescent="0.2">
      <c r="A54" s="78"/>
      <c r="B54" s="79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</row>
    <row r="55" spans="1:35" s="68" customFormat="1" ht="13.2" customHeight="1" x14ac:dyDescent="0.2">
      <c r="A55"/>
      <c r="B55" s="79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 s="80"/>
      <c r="AB55"/>
      <c r="AC55" s="80"/>
      <c r="AD55"/>
      <c r="AE55"/>
      <c r="AF55"/>
      <c r="AG55"/>
      <c r="AH55"/>
      <c r="AI55" s="80"/>
    </row>
    <row r="56" spans="1:35" s="68" customFormat="1" ht="10.8" customHeight="1" x14ac:dyDescent="0.2">
      <c r="A56" s="78"/>
      <c r="B56" s="79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</row>
    <row r="57" spans="1:35" s="68" customFormat="1" ht="13.2" customHeight="1" x14ac:dyDescent="0.2">
      <c r="A57"/>
      <c r="B57" s="79"/>
      <c r="C57"/>
      <c r="D57"/>
      <c r="E57"/>
      <c r="F57" s="80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80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s="68" customFormat="1" ht="10.8" customHeight="1" x14ac:dyDescent="0.2">
      <c r="A58" s="78"/>
      <c r="B58" s="79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</row>
    <row r="59" spans="1:35" s="68" customFormat="1" ht="10.8" customHeight="1" x14ac:dyDescent="0.2">
      <c r="A59"/>
      <c r="B59" s="7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s="68" customFormat="1" ht="10.8" customHeight="1" x14ac:dyDescent="0.2">
      <c r="A60" s="78"/>
      <c r="B60" s="79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</row>
    <row r="61" spans="1:35" s="68" customFormat="1" ht="10.8" customHeight="1" x14ac:dyDescent="0.2">
      <c r="A61"/>
      <c r="B61" s="79"/>
      <c r="C61"/>
      <c r="D61"/>
      <c r="E61"/>
      <c r="F61"/>
      <c r="G61" s="80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s="68" customFormat="1" ht="10.8" customHeight="1" x14ac:dyDescent="0.2">
      <c r="A62" s="78"/>
      <c r="B62" s="79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</row>
    <row r="63" spans="1:35" s="68" customFormat="1" ht="10.8" customHeight="1" x14ac:dyDescent="0.2">
      <c r="A63"/>
      <c r="B63" s="79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80"/>
      <c r="W63"/>
      <c r="X63"/>
      <c r="Y63"/>
      <c r="Z63"/>
      <c r="AA63"/>
      <c r="AB63" s="80"/>
      <c r="AC63"/>
      <c r="AD63"/>
      <c r="AE63"/>
      <c r="AF63"/>
      <c r="AG63"/>
      <c r="AH63"/>
      <c r="AI63"/>
    </row>
    <row r="64" spans="1:35" s="68" customFormat="1" ht="10.8" customHeight="1" x14ac:dyDescent="0.2">
      <c r="A64" s="78"/>
      <c r="B64" s="79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</row>
    <row r="65" spans="1:35" ht="10.8" customHeight="1" x14ac:dyDescent="0.2">
      <c r="A65"/>
      <c r="B65" s="79"/>
      <c r="C65"/>
      <c r="D65"/>
      <c r="E65"/>
      <c r="F65"/>
      <c r="H65" s="80"/>
      <c r="I65" s="80"/>
      <c r="W65" s="80"/>
    </row>
    <row r="66" spans="1:35" ht="10.8" customHeight="1" x14ac:dyDescent="0.2">
      <c r="A66" s="78"/>
      <c r="B66" s="79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</row>
    <row r="67" spans="1:35" ht="10.8" customHeight="1" x14ac:dyDescent="0.2">
      <c r="A67"/>
      <c r="B67" s="79"/>
      <c r="C67"/>
      <c r="D67"/>
      <c r="E67"/>
      <c r="F67"/>
      <c r="P67" s="80"/>
    </row>
    <row r="68" spans="1:35" ht="10.8" customHeight="1" x14ac:dyDescent="0.2">
      <c r="A68" s="78"/>
      <c r="B68" s="79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</row>
    <row r="69" spans="1:35" ht="10.8" customHeight="1" x14ac:dyDescent="0.2">
      <c r="A69"/>
      <c r="B69" s="79"/>
      <c r="C69"/>
      <c r="D69"/>
      <c r="E69"/>
      <c r="F69"/>
    </row>
    <row r="70" spans="1:35" ht="10.8" customHeight="1" x14ac:dyDescent="0.2">
      <c r="A70" s="78"/>
      <c r="B70" s="79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</row>
    <row r="71" spans="1:35" ht="10.8" customHeight="1" x14ac:dyDescent="0.2">
      <c r="A71"/>
      <c r="B71" s="79"/>
      <c r="C71"/>
      <c r="D71"/>
      <c r="E71"/>
      <c r="F71"/>
      <c r="T71" s="80"/>
      <c r="U71" s="80"/>
    </row>
    <row r="72" spans="1:35" ht="10.8" customHeight="1" x14ac:dyDescent="0.2">
      <c r="A72" s="78"/>
      <c r="B72" s="79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</row>
    <row r="73" spans="1:35" ht="10.8" customHeight="1" x14ac:dyDescent="0.2">
      <c r="A73"/>
      <c r="B73" s="79"/>
      <c r="C73"/>
      <c r="D73"/>
      <c r="E73"/>
      <c r="F73"/>
    </row>
    <row r="74" spans="1:35" ht="10.8" customHeight="1" x14ac:dyDescent="0.2">
      <c r="A74" s="78"/>
      <c r="B74" s="79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</row>
    <row r="75" spans="1:35" ht="10.8" customHeight="1" x14ac:dyDescent="0.2">
      <c r="A75"/>
      <c r="B75" s="79"/>
      <c r="C75"/>
      <c r="D75"/>
      <c r="E75"/>
      <c r="F75"/>
      <c r="AD75" s="80"/>
    </row>
    <row r="76" spans="1:35" ht="13.2" customHeight="1" x14ac:dyDescent="0.2"/>
    <row r="77" spans="1:35" ht="13.2" customHeight="1" x14ac:dyDescent="0.2"/>
    <row r="78" spans="1:35" ht="10.8" customHeight="1" x14ac:dyDescent="0.2">
      <c r="F78" s="73"/>
      <c r="G78" s="73"/>
      <c r="H78" s="73"/>
      <c r="I78" s="73"/>
      <c r="J78" s="73"/>
      <c r="K78" s="73"/>
      <c r="L78" s="73"/>
    </row>
    <row r="79" spans="1:35" ht="13.2" customHeight="1" x14ac:dyDescent="0.2"/>
    <row r="80" spans="1:35" ht="10.8" customHeight="1" x14ac:dyDescent="0.2">
      <c r="A80" s="77"/>
      <c r="B80"/>
      <c r="C80" s="77"/>
      <c r="D80" s="77"/>
      <c r="E80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</row>
    <row r="81" spans="1:35" s="68" customFormat="1" ht="10.8" customHeight="1" x14ac:dyDescent="0.2">
      <c r="A81"/>
      <c r="B81"/>
      <c r="C81" s="77"/>
      <c r="D81"/>
      <c r="E81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</row>
    <row r="82" spans="1:35" s="68" customFormat="1" ht="10.8" customHeight="1" x14ac:dyDescent="0.2">
      <c r="A82" s="78"/>
      <c r="B82"/>
      <c r="C82" s="80"/>
      <c r="D82" s="78"/>
      <c r="E82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</row>
    <row r="83" spans="1:35" s="68" customFormat="1" ht="10.8" customHeight="1" x14ac:dyDescent="0.2">
      <c r="A83"/>
      <c r="B83"/>
      <c r="C83"/>
      <c r="D83"/>
      <c r="E83"/>
      <c r="F83" s="80"/>
      <c r="G83" s="80"/>
      <c r="H83" s="80"/>
      <c r="I83" s="80"/>
      <c r="J83"/>
      <c r="K83"/>
      <c r="L83" s="80"/>
      <c r="M83" s="80"/>
      <c r="N83"/>
      <c r="O83" s="80"/>
      <c r="P83" s="80"/>
      <c r="Q83"/>
      <c r="R83"/>
      <c r="S83" s="80"/>
      <c r="T83"/>
      <c r="U83" s="80"/>
      <c r="V83"/>
      <c r="W83" s="80"/>
      <c r="X83"/>
      <c r="Y83"/>
      <c r="Z83" s="80"/>
      <c r="AA83" s="80"/>
      <c r="AB83" s="80"/>
      <c r="AC83"/>
      <c r="AD83" s="80"/>
      <c r="AE83"/>
      <c r="AF83"/>
      <c r="AG83" s="80"/>
      <c r="AH83"/>
      <c r="AI83" s="80"/>
    </row>
    <row r="84" spans="1:35" s="68" customFormat="1" ht="10.8" customHeight="1" x14ac:dyDescent="0.2">
      <c r="A84" s="78"/>
      <c r="B84"/>
      <c r="C84" s="80"/>
      <c r="D84" s="78"/>
      <c r="E84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</row>
    <row r="85" spans="1:35" s="68" customFormat="1" ht="10.8" customHeight="1" x14ac:dyDescent="0.2">
      <c r="A85"/>
      <c r="B85"/>
      <c r="C85"/>
      <c r="D85"/>
      <c r="E85"/>
      <c r="F85" s="80"/>
      <c r="G85" s="80"/>
      <c r="H85" s="80"/>
      <c r="I85" s="80"/>
      <c r="J85"/>
      <c r="K85"/>
      <c r="L85" s="80"/>
      <c r="M85" s="80"/>
      <c r="N85" s="80"/>
      <c r="O85" s="80"/>
      <c r="P85" s="80"/>
      <c r="Q85"/>
      <c r="R85"/>
      <c r="S85" s="80"/>
      <c r="T85" s="80"/>
      <c r="U85" s="80"/>
      <c r="V85" s="80"/>
      <c r="W85" s="80"/>
      <c r="X85"/>
      <c r="Y85"/>
      <c r="Z85" s="80"/>
      <c r="AA85" s="80"/>
      <c r="AB85" s="80"/>
      <c r="AC85" s="80"/>
      <c r="AD85"/>
      <c r="AE85"/>
      <c r="AF85"/>
      <c r="AG85"/>
      <c r="AH85"/>
      <c r="AI85" s="80"/>
    </row>
    <row r="86" spans="1:35" s="68" customFormat="1" ht="10.8" customHeight="1" x14ac:dyDescent="0.2">
      <c r="A86" s="78"/>
      <c r="B86"/>
      <c r="C86" s="80"/>
      <c r="D86" s="78"/>
      <c r="E86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</row>
    <row r="87" spans="1:35" s="68" customFormat="1" ht="10.8" customHeight="1" x14ac:dyDescent="0.2">
      <c r="A87"/>
      <c r="B87"/>
      <c r="C87"/>
      <c r="D87"/>
      <c r="E87"/>
      <c r="F87" s="80"/>
      <c r="G87" s="80"/>
      <c r="H87"/>
      <c r="I87" s="80"/>
      <c r="J87"/>
      <c r="K87"/>
      <c r="L87"/>
      <c r="M87" s="80"/>
      <c r="N87" s="80"/>
      <c r="O87" s="80"/>
      <c r="P87"/>
      <c r="Q87"/>
      <c r="R87"/>
      <c r="S87" s="80"/>
      <c r="T87"/>
      <c r="U87" s="80"/>
      <c r="V87" s="80"/>
      <c r="W87" s="80"/>
      <c r="X87"/>
      <c r="Y87"/>
      <c r="Z87" s="80"/>
      <c r="AA87" s="80"/>
      <c r="AB87"/>
      <c r="AC87" s="80"/>
      <c r="AD87" s="80"/>
      <c r="AE87"/>
      <c r="AF87"/>
      <c r="AG87" s="80"/>
      <c r="AH87"/>
      <c r="AI87" s="80"/>
    </row>
    <row r="88" spans="1:35" s="68" customFormat="1" ht="10.8" customHeight="1" x14ac:dyDescent="0.2">
      <c r="A88" s="78"/>
      <c r="B88"/>
      <c r="C88" s="80"/>
      <c r="D88" s="78"/>
      <c r="E88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</row>
    <row r="89" spans="1:35" s="68" customFormat="1" ht="10.8" customHeight="1" x14ac:dyDescent="0.2">
      <c r="A89"/>
      <c r="B89"/>
      <c r="C89"/>
      <c r="D89"/>
      <c r="E89"/>
      <c r="F89" s="80"/>
      <c r="G89" s="80"/>
      <c r="H89" s="80"/>
      <c r="I89"/>
      <c r="J89"/>
      <c r="K89"/>
      <c r="L89" s="80"/>
      <c r="M89" s="80"/>
      <c r="N89" s="80"/>
      <c r="O89" s="80"/>
      <c r="P89" s="80"/>
      <c r="Q89"/>
      <c r="R89"/>
      <c r="S89" s="80"/>
      <c r="T89" s="80"/>
      <c r="U89" s="80"/>
      <c r="V89" s="80"/>
      <c r="W89" s="80"/>
      <c r="X89"/>
      <c r="Y89"/>
      <c r="Z89" s="80"/>
      <c r="AA89" s="80"/>
      <c r="AB89" s="80"/>
      <c r="AC89" s="80"/>
      <c r="AD89" s="80"/>
      <c r="AE89"/>
      <c r="AF89"/>
      <c r="AG89" s="80"/>
      <c r="AH89"/>
      <c r="AI89" s="80"/>
    </row>
    <row r="90" spans="1:35" s="68" customFormat="1" ht="10.8" customHeight="1" x14ac:dyDescent="0.2">
      <c r="A90" s="78"/>
      <c r="B90"/>
      <c r="C90" s="80"/>
      <c r="D90" s="78"/>
      <c r="E9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</row>
    <row r="91" spans="1:35" s="68" customFormat="1" ht="10.8" customHeight="1" x14ac:dyDescent="0.2">
      <c r="A91"/>
      <c r="B91"/>
      <c r="C91"/>
      <c r="D91"/>
      <c r="E91"/>
      <c r="F91" s="80"/>
      <c r="G91" s="80"/>
      <c r="H91" s="80"/>
      <c r="I91" s="80"/>
      <c r="J91"/>
      <c r="K91"/>
      <c r="L91" s="80"/>
      <c r="M91" s="80"/>
      <c r="N91" s="80"/>
      <c r="O91" s="80"/>
      <c r="P91"/>
      <c r="Q91"/>
      <c r="R91"/>
      <c r="S91" s="80"/>
      <c r="T91" s="80"/>
      <c r="U91" s="80"/>
      <c r="V91" s="80"/>
      <c r="W91" s="80"/>
      <c r="X91"/>
      <c r="Y91"/>
      <c r="Z91" s="80"/>
      <c r="AA91" s="80"/>
      <c r="AB91" s="80"/>
      <c r="AC91" s="80"/>
      <c r="AD91" s="80"/>
      <c r="AE91"/>
      <c r="AF91"/>
      <c r="AG91"/>
      <c r="AH91"/>
      <c r="AI91" s="80"/>
    </row>
    <row r="92" spans="1:35" s="68" customFormat="1" ht="10.8" customHeight="1" x14ac:dyDescent="0.2">
      <c r="A92" s="78"/>
      <c r="B92"/>
      <c r="C92" s="80"/>
      <c r="D92" s="78"/>
      <c r="E92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</row>
    <row r="93" spans="1:35" s="68" customFormat="1" ht="10.8" customHeight="1" x14ac:dyDescent="0.2">
      <c r="A93"/>
      <c r="B93"/>
      <c r="C93"/>
      <c r="D93"/>
      <c r="E93"/>
      <c r="F93" s="80"/>
      <c r="G93" s="80"/>
      <c r="H93" s="80"/>
      <c r="I93" s="80"/>
      <c r="J93"/>
      <c r="K93"/>
      <c r="L93" s="80"/>
      <c r="M93" s="80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B13" sqref="B13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0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9" width="8.88671875" style="43" customWidth="1"/>
    <col min="20" max="16384" width="8.88671875" style="43"/>
  </cols>
  <sheetData>
    <row r="1" spans="2:9" ht="16.8" customHeight="1" x14ac:dyDescent="0.3">
      <c r="H1" s="81">
        <f ca="1">TODAY()</f>
        <v>45806</v>
      </c>
      <c r="I1" s="82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87" t="s">
        <v>5</v>
      </c>
      <c r="H5" s="82"/>
      <c r="I5" s="82"/>
    </row>
    <row r="6" spans="2:9" ht="16.8" customHeight="1" x14ac:dyDescent="0.3">
      <c r="G6" s="87" t="s">
        <v>6</v>
      </c>
      <c r="H6" s="82"/>
      <c r="I6" s="82"/>
    </row>
    <row r="7" spans="2:9" ht="10.199999999999999" customHeight="1" x14ac:dyDescent="0.3"/>
    <row r="8" spans="2:9" s="47" customFormat="1" ht="24" customHeight="1" x14ac:dyDescent="0.2">
      <c r="C8" s="90" t="s">
        <v>7</v>
      </c>
      <c r="D8" s="91"/>
      <c r="E8" s="91"/>
      <c r="F8" s="91"/>
      <c r="G8" s="91"/>
      <c r="H8" s="91"/>
    </row>
    <row r="9" spans="2:9" s="47" customFormat="1" ht="9.6" customHeight="1" x14ac:dyDescent="0.2">
      <c r="C9" s="58"/>
      <c r="D9" s="48"/>
      <c r="E9" s="48"/>
      <c r="F9" s="48"/>
      <c r="G9" s="48"/>
      <c r="H9" s="48"/>
    </row>
    <row r="10" spans="2:9" s="1" customFormat="1" ht="21" customHeight="1" x14ac:dyDescent="0.2">
      <c r="C10" s="88" t="s">
        <v>8</v>
      </c>
      <c r="D10" s="89"/>
      <c r="E10" s="89"/>
      <c r="F10" s="89"/>
      <c r="G10" s="89"/>
      <c r="H10" s="89"/>
    </row>
    <row r="11" spans="2:9" s="1" customFormat="1" ht="21" customHeight="1" x14ac:dyDescent="0.2">
      <c r="C11" s="89"/>
      <c r="D11" s="89"/>
      <c r="E11" s="89"/>
      <c r="F11" s="89"/>
      <c r="G11" s="89"/>
      <c r="H11" s="89"/>
    </row>
    <row r="12" spans="2:9" s="1" customFormat="1" ht="21" customHeight="1" x14ac:dyDescent="0.2">
      <c r="B12" s="1" t="e" cm="1">
        <f t="array" aca="1" ref="B12" ca="1">_xlfn.UNIQUE(_xlfn._xlws.FILTER(INDIRECT("'シフト一覧（転載）'!A"&amp;MATCH("スタッフ名",'シフト一覧（転載）'!A:A,0)+1&amp;":A"&amp;MATCH("お子さま名",'シフト一覧（転載）'!A:A,0)-1&amp;""),
INDIRECT("'シフト一覧（転載）'!A"&amp;MATCH("スタッフ名",'シフト一覧（転載）'!A:A,0)+1&amp;":A"&amp;MATCH("お子さま名",'シフト一覧（転載）'!A:A,0)-1&amp;"")&lt;&gt;""))</f>
        <v>#N/A</v>
      </c>
      <c r="C12" s="89"/>
      <c r="D12" s="89"/>
      <c r="E12" s="89"/>
      <c r="F12" s="89"/>
      <c r="G12" s="89"/>
      <c r="H12" s="89"/>
    </row>
    <row r="13" spans="2:9" s="1" customFormat="1" ht="21" customHeight="1" x14ac:dyDescent="0.2">
      <c r="C13" s="89"/>
      <c r="D13" s="89"/>
      <c r="E13" s="89"/>
      <c r="F13" s="89"/>
      <c r="G13" s="89"/>
      <c r="H13" s="89"/>
    </row>
    <row r="14" spans="2:9" s="1" customFormat="1" ht="21" customHeight="1" x14ac:dyDescent="0.2">
      <c r="C14" s="89"/>
      <c r="D14" s="89"/>
      <c r="E14" s="89"/>
      <c r="F14" s="89"/>
      <c r="G14" s="89"/>
      <c r="H14" s="89"/>
    </row>
    <row r="15" spans="2:9" s="1" customFormat="1" ht="21" customHeight="1" x14ac:dyDescent="0.2">
      <c r="C15" s="89"/>
      <c r="D15" s="89"/>
      <c r="E15" s="89"/>
      <c r="F15" s="89"/>
      <c r="G15" s="89"/>
      <c r="H15" s="89"/>
    </row>
    <row r="16" spans="2:9" ht="9" customHeight="1" x14ac:dyDescent="0.3"/>
    <row r="17" spans="2:8" ht="31.8" customHeight="1" x14ac:dyDescent="0.3">
      <c r="C17" s="59" t="s">
        <v>9</v>
      </c>
      <c r="D17" s="45" t="s">
        <v>10</v>
      </c>
      <c r="E17" s="45" t="s">
        <v>11</v>
      </c>
      <c r="F17" s="86" t="s">
        <v>12</v>
      </c>
      <c r="G17" s="84"/>
      <c r="H17" s="85"/>
    </row>
    <row r="18" spans="2:8" ht="16.8" customHeight="1" x14ac:dyDescent="0.3">
      <c r="B18" s="62">
        <v>12</v>
      </c>
      <c r="C18" s="44" t="e" cm="1">
        <f t="array" aca="1" ref="C18" ca="1">IF(INDIRECT("まとめ!B"&amp;B18&amp;"")&lt;&gt;"",IF(INDIRECT("まとめ!E"&amp;B18&amp;"")=0,"",INDIRECT("まとめ!B"&amp;B18&amp;"")),"")</f>
        <v>#N/A</v>
      </c>
      <c r="D18" s="46" t="e" cm="1">
        <f t="array" aca="1" ref="D18" ca="1">IF(C18&lt;&gt;"",
_xlfn._xlws.FILTER(まとめ!$G$12:$G$41,まとめ!$B$12:$B$41=C18,""),"")</f>
        <v>#N/A</v>
      </c>
      <c r="E18" s="46" t="e" cm="1">
        <f t="array" aca="1" ref="E18" ca="1">IF(C18&lt;&gt;"",
_xlfn._xlws.FILTER(まとめ!$I$12:$I$41,まとめ!$B$12:$B$41=C18,""),"")</f>
        <v>#N/A</v>
      </c>
      <c r="F18" s="83" t="e">
        <f t="array" aca="1" ref="F18" ca="1">IF(C18&lt;&gt;"",
IF(_xlfn._xlws.FILTER(まとめ!$K$12:$K$41,まとめ!$B$12:$B$41=C18,"")=0,"",
_xlfn._xlws.FILTER(まとめ!$K$12:$K$41,まとめ!$B$12:$B$41=C18,"")),"")</f>
        <v>#N/A</v>
      </c>
      <c r="G18" s="84"/>
      <c r="H18" s="85"/>
    </row>
    <row r="19" spans="2:8" ht="16.8" customHeight="1" x14ac:dyDescent="0.3">
      <c r="B19" s="62" cm="1">
        <f t="array" aca="1" ref="B19" ca="1">IF(INDIRECT("まとめ!E"&amp;B18+1&amp;"")=0,
IF(INDIRECT("まとめ!E"&amp;B18+2&amp;"")=0,
IF(INDIRECT("まとめ!E"&amp;B18+3&amp;"")=0,B18+4,B18+3),B18+2),B18+1)</f>
        <v>13</v>
      </c>
      <c r="C19" s="44" t="str" cm="1">
        <f t="array" aca="1" ref="C19" ca="1">IF(INDIRECT("まとめ!B"&amp;B19&amp;"")&lt;&gt;"",IF(INDIRECT("まとめ!E"&amp;B19&amp;"")=0,"",INDIRECT("まとめ!B"&amp;B19&amp;"")),"")</f>
        <v/>
      </c>
      <c r="D19" s="46" t="str">
        <f t="array" aca="1" ref="D19" ca="1">IF(C19&lt;&gt;"",
_xlfn._xlws.FILTER(まとめ!$G$12:$G$41,まとめ!$B$12:$B$41=C19,""),"")</f>
        <v/>
      </c>
      <c r="E19" s="46" t="str">
        <f t="array" aca="1" ref="E19" ca="1">IF(C19&lt;&gt;"",
_xlfn._xlws.FILTER(まとめ!$I$12:$I$41,まとめ!$B$12:$B$41=C19,""),"")</f>
        <v/>
      </c>
      <c r="F19" s="83" t="str">
        <f t="array" aca="1" ref="F19" ca="1">IF(C19&lt;&gt;"",
IF(_xlfn._xlws.FILTER(まとめ!$K$12:$K$41,まとめ!$B$12:$B$41=C19,"")=0,"",
_xlfn._xlws.FILTER(まとめ!$K$12:$K$41,まとめ!$B$12:$B$41=C19,"")),"")</f>
        <v/>
      </c>
      <c r="G19" s="84"/>
      <c r="H19" s="85"/>
    </row>
    <row r="20" spans="2:8" ht="16.8" customHeight="1" x14ac:dyDescent="0.3">
      <c r="B20" s="62" cm="1">
        <f t="array" aca="1" ref="B20" ca="1">IF(INDIRECT("まとめ!E"&amp;B19+1&amp;"")=0,
IF(INDIRECT("まとめ!E"&amp;B19+2&amp;"")=0,
IF(INDIRECT("まとめ!E"&amp;B19+3&amp;"")=0,B19+4,B19+3),B19+2),B19+1)</f>
        <v>14</v>
      </c>
      <c r="C20" s="44" t="str" cm="1">
        <f t="array" aca="1" ref="C20" ca="1">IF(INDIRECT("まとめ!B"&amp;B20&amp;"")&lt;&gt;"",IF(INDIRECT("まとめ!E"&amp;B20&amp;"")=0,"",INDIRECT("まとめ!B"&amp;B20&amp;"")),"")</f>
        <v/>
      </c>
      <c r="D20" s="46" t="str">
        <f t="array" aca="1" ref="D20" ca="1">IF(C20&lt;&gt;"",
_xlfn._xlws.FILTER(まとめ!$G$12:$G$41,まとめ!$B$12:$B$41=C20,""),"")</f>
        <v/>
      </c>
      <c r="E20" s="46" t="str">
        <f t="array" aca="1" ref="E20" ca="1">IF(C20&lt;&gt;"",
_xlfn._xlws.FILTER(まとめ!$I$12:$I$41,まとめ!$B$12:$B$41=C20,""),"")</f>
        <v/>
      </c>
      <c r="F20" s="83" t="str">
        <f t="array" aca="1" ref="F20" ca="1">IF(C20&lt;&gt;"",
IF(_xlfn._xlws.FILTER(まとめ!$K$12:$K$41,まとめ!$B$12:$B$41=C20,"")=0,"",
_xlfn._xlws.FILTER(まとめ!$K$12:$K$41,まとめ!$B$12:$B$41=C20,"")),"")</f>
        <v/>
      </c>
      <c r="G20" s="84"/>
      <c r="H20" s="85"/>
    </row>
    <row r="21" spans="2:8" ht="16.8" customHeight="1" x14ac:dyDescent="0.3">
      <c r="B21" s="62" cm="1">
        <f t="array" aca="1" ref="B21" ca="1">IF(INDIRECT("まとめ!E"&amp;B20+1&amp;"")=0,
IF(INDIRECT("まとめ!E"&amp;B20+2&amp;"")=0,
IF(INDIRECT("まとめ!E"&amp;B20+3&amp;"")=0,B20+4,B20+3),B20+2),B20+1)</f>
        <v>15</v>
      </c>
      <c r="C21" s="44" t="str" cm="1">
        <f t="array" aca="1" ref="C21" ca="1">IF(INDIRECT("まとめ!B"&amp;B21&amp;"")&lt;&gt;"",IF(INDIRECT("まとめ!E"&amp;B21&amp;"")=0,"",INDIRECT("まとめ!B"&amp;B21&amp;"")),"")</f>
        <v/>
      </c>
      <c r="D21" s="46" t="str">
        <f t="array" aca="1" ref="D21" ca="1">IF(C21&lt;&gt;"",
_xlfn._xlws.FILTER(まとめ!$G$12:$G$41,まとめ!$B$12:$B$41=C21,""),"")</f>
        <v/>
      </c>
      <c r="E21" s="46" t="str">
        <f t="array" aca="1" ref="E21" ca="1">IF(C21&lt;&gt;"",
_xlfn._xlws.FILTER(まとめ!$I$12:$I$41,まとめ!$B$12:$B$41=C21,""),"")</f>
        <v/>
      </c>
      <c r="F21" s="83" t="str">
        <f t="array" aca="1" ref="F21" ca="1">IF(C21&lt;&gt;"",
IF(_xlfn._xlws.FILTER(まとめ!$K$12:$K$41,まとめ!$B$12:$B$41=C21,"")=0,"",
_xlfn._xlws.FILTER(まとめ!$K$12:$K$41,まとめ!$B$12:$B$41=C21,"")),"")</f>
        <v/>
      </c>
      <c r="G21" s="84"/>
      <c r="H21" s="85"/>
    </row>
    <row r="22" spans="2:8" ht="16.8" customHeight="1" x14ac:dyDescent="0.3">
      <c r="B22" s="62" cm="1">
        <f t="array" aca="1" ref="B22" ca="1">IF(INDIRECT("まとめ!E"&amp;B21+1&amp;"")=0,
IF(INDIRECT("まとめ!E"&amp;B21+2&amp;"")=0,
IF(INDIRECT("まとめ!E"&amp;B21+3&amp;"")=0,B21+4,B21+3),B21+2),B21+1)</f>
        <v>16</v>
      </c>
      <c r="C22" s="44" t="str" cm="1">
        <f t="array" aca="1" ref="C22" ca="1">IF(INDIRECT("まとめ!B"&amp;B22&amp;"")&lt;&gt;"",IF(INDIRECT("まとめ!E"&amp;B22&amp;"")=0,"",INDIRECT("まとめ!B"&amp;B22&amp;"")),"")</f>
        <v/>
      </c>
      <c r="D22" s="46" t="str">
        <f t="array" aca="1" ref="D22" ca="1">IF(C22&lt;&gt;"",
_xlfn._xlws.FILTER(まとめ!$G$12:$G$41,まとめ!$B$12:$B$41=C22,""),"")</f>
        <v/>
      </c>
      <c r="E22" s="46" t="str">
        <f t="array" aca="1" ref="E22" ca="1">IF(C22&lt;&gt;"",
_xlfn._xlws.FILTER(まとめ!$I$12:$I$41,まとめ!$B$12:$B$41=C22,""),"")</f>
        <v/>
      </c>
      <c r="F22" s="83" t="str">
        <f t="array" aca="1" ref="F22" ca="1">IF(C22&lt;&gt;"",
IF(_xlfn._xlws.FILTER(まとめ!$K$12:$K$41,まとめ!$B$12:$B$41=C22,"")=0,"",
_xlfn._xlws.FILTER(まとめ!$K$12:$K$41,まとめ!$B$12:$B$41=C22,"")),"")</f>
        <v/>
      </c>
      <c r="G22" s="84"/>
      <c r="H22" s="85"/>
    </row>
    <row r="23" spans="2:8" ht="16.8" customHeight="1" x14ac:dyDescent="0.3">
      <c r="B23" s="62" cm="1">
        <f t="array" aca="1" ref="B23" ca="1">IF(INDIRECT("まとめ!E"&amp;B22+1&amp;"")=0,
IF(INDIRECT("まとめ!E"&amp;B22+2&amp;"")=0,
IF(INDIRECT("まとめ!E"&amp;B22+3&amp;"")=0,B22+4,B22+3),B22+2),B22+1)</f>
        <v>17</v>
      </c>
      <c r="C23" s="44" t="str" cm="1">
        <f t="array" aca="1" ref="C23" ca="1">IF(INDIRECT("まとめ!B"&amp;B23&amp;"")&lt;&gt;"",IF(INDIRECT("まとめ!E"&amp;B23&amp;"")=0,"",INDIRECT("まとめ!B"&amp;B23&amp;"")),"")</f>
        <v/>
      </c>
      <c r="D23" s="46" t="str">
        <f t="array" aca="1" ref="D23" ca="1">IF(C23&lt;&gt;"",
_xlfn._xlws.FILTER(まとめ!$G$12:$G$41,まとめ!$B$12:$B$41=C23,""),"")</f>
        <v/>
      </c>
      <c r="E23" s="46" t="str">
        <f t="array" aca="1" ref="E23" ca="1">IF(C23&lt;&gt;"",
_xlfn._xlws.FILTER(まとめ!$I$12:$I$41,まとめ!$B$12:$B$41=C23,""),"")</f>
        <v/>
      </c>
      <c r="F23" s="83" t="str">
        <f t="array" aca="1" ref="F23" ca="1">IF(C23&lt;&gt;"",
IF(_xlfn._xlws.FILTER(まとめ!$K$12:$K$41,まとめ!$B$12:$B$41=C23,"")=0,"",
_xlfn._xlws.FILTER(まとめ!$K$12:$K$41,まとめ!$B$12:$B$41=C23,"")),"")</f>
        <v/>
      </c>
      <c r="G23" s="84"/>
      <c r="H23" s="85"/>
    </row>
    <row r="24" spans="2:8" ht="16.8" customHeight="1" x14ac:dyDescent="0.3">
      <c r="B24" s="62" cm="1">
        <f t="array" aca="1" ref="B24" ca="1">IF(INDIRECT("まとめ!E"&amp;B23+1&amp;"")=0,
IF(INDIRECT("まとめ!E"&amp;B23+2&amp;"")=0,
IF(INDIRECT("まとめ!E"&amp;B23+3&amp;"")=0,B23+4,B23+3),B23+2),B23+1)</f>
        <v>18</v>
      </c>
      <c r="C24" s="44" t="str" cm="1">
        <f t="array" aca="1" ref="C24" ca="1">IF(INDIRECT("まとめ!B"&amp;B24&amp;"")&lt;&gt;"",IF(INDIRECT("まとめ!E"&amp;B24&amp;"")=0,"",INDIRECT("まとめ!B"&amp;B24&amp;"")),"")</f>
        <v/>
      </c>
      <c r="D24" s="46" t="str">
        <f t="array" aca="1" ref="D24" ca="1">IF(C24&lt;&gt;"",
_xlfn._xlws.FILTER(まとめ!$G$12:$G$41,まとめ!$B$12:$B$41=C24,""),"")</f>
        <v/>
      </c>
      <c r="E24" s="46" t="str">
        <f t="array" aca="1" ref="E24" ca="1">IF(C24&lt;&gt;"",
_xlfn._xlws.FILTER(まとめ!$I$12:$I$41,まとめ!$B$12:$B$41=C24,""),"")</f>
        <v/>
      </c>
      <c r="F24" s="83" t="str">
        <f t="array" aca="1" ref="F24" ca="1">IF(C24&lt;&gt;"",
IF(_xlfn._xlws.FILTER(まとめ!$K$12:$K$41,まとめ!$B$12:$B$41=C24,"")=0,"",
_xlfn._xlws.FILTER(まとめ!$K$12:$K$41,まとめ!$B$12:$B$41=C24,"")),"")</f>
        <v/>
      </c>
      <c r="G24" s="84"/>
      <c r="H24" s="85"/>
    </row>
    <row r="25" spans="2:8" ht="16.8" customHeight="1" x14ac:dyDescent="0.3">
      <c r="B25" s="62" cm="1">
        <f t="array" aca="1" ref="B25" ca="1">IF(INDIRECT("まとめ!E"&amp;B24+1&amp;"")=0,
IF(INDIRECT("まとめ!E"&amp;B24+2&amp;"")=0,
IF(INDIRECT("まとめ!E"&amp;B24+3&amp;"")=0,B24+4,B24+3),B24+2),B24+1)</f>
        <v>19</v>
      </c>
      <c r="C25" s="44" t="str" cm="1">
        <f t="array" aca="1" ref="C25" ca="1">IF(INDIRECT("まとめ!B"&amp;B25&amp;"")&lt;&gt;"",IF(INDIRECT("まとめ!E"&amp;B25&amp;"")=0,"",INDIRECT("まとめ!B"&amp;B25&amp;"")),"")</f>
        <v/>
      </c>
      <c r="D25" s="46" t="str">
        <f t="array" aca="1" ref="D25" ca="1">IF(C25&lt;&gt;"",
_xlfn._xlws.FILTER(まとめ!$G$12:$G$41,まとめ!$B$12:$B$41=C25,""),"")</f>
        <v/>
      </c>
      <c r="E25" s="46" t="str">
        <f t="array" aca="1" ref="E25" ca="1">IF(C25&lt;&gt;"",
_xlfn._xlws.FILTER(まとめ!$I$12:$I$41,まとめ!$B$12:$B$41=C25,""),"")</f>
        <v/>
      </c>
      <c r="F25" s="83" t="str">
        <f t="array" aca="1" ref="F25" ca="1">IF(C25&lt;&gt;"",
IF(_xlfn._xlws.FILTER(まとめ!$K$12:$K$41,まとめ!$B$12:$B$41=C25,"")=0,"",
_xlfn._xlws.FILTER(まとめ!$K$12:$K$41,まとめ!$B$12:$B$41=C25,"")),"")</f>
        <v/>
      </c>
      <c r="G25" s="84"/>
      <c r="H25" s="85"/>
    </row>
    <row r="26" spans="2:8" ht="16.8" customHeight="1" x14ac:dyDescent="0.3">
      <c r="B26" s="62" cm="1">
        <f t="array" aca="1" ref="B26" ca="1">IF(INDIRECT("まとめ!E"&amp;B25+1&amp;"")=0,
IF(INDIRECT("まとめ!E"&amp;B25+2&amp;"")=0,
IF(INDIRECT("まとめ!E"&amp;B25+3&amp;"")=0,B25+4,B25+3),B25+2),B25+1)</f>
        <v>20</v>
      </c>
      <c r="C26" s="44" t="str" cm="1">
        <f t="array" aca="1" ref="C26" ca="1">IF(INDIRECT("まとめ!B"&amp;B26&amp;"")&lt;&gt;"",IF(INDIRECT("まとめ!E"&amp;B26&amp;"")=0,"",INDIRECT("まとめ!B"&amp;B26&amp;"")),"")</f>
        <v/>
      </c>
      <c r="D26" s="46" t="str">
        <f t="array" aca="1" ref="D26" ca="1">IF(C26&lt;&gt;"",
_xlfn._xlws.FILTER(まとめ!$G$12:$G$41,まとめ!$B$12:$B$41=C26,""),"")</f>
        <v/>
      </c>
      <c r="E26" s="46" t="str">
        <f t="array" aca="1" ref="E26" ca="1">IF(C26&lt;&gt;"",
_xlfn._xlws.FILTER(まとめ!$I$12:$I$41,まとめ!$B$12:$B$41=C26,""),"")</f>
        <v/>
      </c>
      <c r="F26" s="83" t="str">
        <f t="array" aca="1" ref="F26" ca="1">IF(C26&lt;&gt;"",
IF(_xlfn._xlws.FILTER(まとめ!$K$12:$K$41,まとめ!$B$12:$B$41=C26,"")=0,"",
_xlfn._xlws.FILTER(まとめ!$K$12:$K$41,まとめ!$B$12:$B$41=C26,"")),"")</f>
        <v/>
      </c>
      <c r="G26" s="84"/>
      <c r="H26" s="85"/>
    </row>
    <row r="27" spans="2:8" ht="16.8" customHeight="1" x14ac:dyDescent="0.3">
      <c r="B27" s="62" cm="1">
        <f t="array" aca="1" ref="B27" ca="1">IF(INDIRECT("まとめ!E"&amp;B26+1&amp;"")=0,
IF(INDIRECT("まとめ!E"&amp;B26+2&amp;"")=0,
IF(INDIRECT("まとめ!E"&amp;B26+3&amp;"")=0,B26+4,B26+3),B26+2),B26+1)</f>
        <v>21</v>
      </c>
      <c r="C27" s="44" t="str" cm="1">
        <f t="array" aca="1" ref="C27" ca="1">IF(INDIRECT("まとめ!B"&amp;B27&amp;"")&lt;&gt;"",IF(INDIRECT("まとめ!E"&amp;B27&amp;"")=0,"",INDIRECT("まとめ!B"&amp;B27&amp;"")),"")</f>
        <v/>
      </c>
      <c r="D27" s="46" t="str">
        <f t="array" aca="1" ref="D27" ca="1">IF(C27&lt;&gt;"",
_xlfn._xlws.FILTER(まとめ!$G$12:$G$41,まとめ!$B$12:$B$41=C27,""),"")</f>
        <v/>
      </c>
      <c r="E27" s="46" t="str">
        <f t="array" aca="1" ref="E27" ca="1">IF(C27&lt;&gt;"",
_xlfn._xlws.FILTER(まとめ!$I$12:$I$41,まとめ!$B$12:$B$41=C27,""),"")</f>
        <v/>
      </c>
      <c r="F27" s="83" t="str">
        <f t="array" aca="1" ref="F27" ca="1">IF(C27&lt;&gt;"",
IF(_xlfn._xlws.FILTER(まとめ!$K$12:$K$41,まとめ!$B$12:$B$41=C27,"")=0,"",
_xlfn._xlws.FILTER(まとめ!$K$12:$K$41,まとめ!$B$12:$B$41=C27,"")),"")</f>
        <v/>
      </c>
      <c r="G27" s="84"/>
      <c r="H27" s="85"/>
    </row>
    <row r="28" spans="2:8" ht="16.8" customHeight="1" x14ac:dyDescent="0.3">
      <c r="B28" s="62" cm="1">
        <f t="array" aca="1" ref="B28" ca="1">IF(INDIRECT("まとめ!E"&amp;B27+1&amp;"")=0,
IF(INDIRECT("まとめ!E"&amp;B27+2&amp;"")=0,
IF(INDIRECT("まとめ!E"&amp;B27+3&amp;"")=0,B27+4,B27+3),B27+2),B27+1)</f>
        <v>22</v>
      </c>
      <c r="C28" s="44" t="str" cm="1">
        <f t="array" aca="1" ref="C28" ca="1">IF(INDIRECT("まとめ!B"&amp;B28&amp;"")&lt;&gt;"",IF(INDIRECT("まとめ!E"&amp;B28&amp;"")=0,"",INDIRECT("まとめ!B"&amp;B28&amp;"")),"")</f>
        <v/>
      </c>
      <c r="D28" s="46" t="str">
        <f t="array" aca="1" ref="D28" ca="1">IF(C28&lt;&gt;"",
_xlfn._xlws.FILTER(まとめ!$G$12:$G$41,まとめ!$B$12:$B$41=C28,""),"")</f>
        <v/>
      </c>
      <c r="E28" s="46" t="str">
        <f t="array" aca="1" ref="E28" ca="1">IF(C28&lt;&gt;"",
_xlfn._xlws.FILTER(まとめ!$I$12:$I$41,まとめ!$B$12:$B$41=C28,""),"")</f>
        <v/>
      </c>
      <c r="F28" s="83" t="str">
        <f t="array" aca="1" ref="F28" ca="1">IF(C28&lt;&gt;"",
IF(_xlfn._xlws.FILTER(まとめ!$K$12:$K$41,まとめ!$B$12:$B$41=C28,"")=0,"",
_xlfn._xlws.FILTER(まとめ!$K$12:$K$41,まとめ!$B$12:$B$41=C28,"")),"")</f>
        <v/>
      </c>
      <c r="G28" s="84"/>
      <c r="H28" s="85"/>
    </row>
    <row r="29" spans="2:8" ht="16.8" customHeight="1" x14ac:dyDescent="0.3">
      <c r="B29" s="62" cm="1">
        <f t="array" aca="1" ref="B29" ca="1">IF(INDIRECT("まとめ!E"&amp;B28+1&amp;"")=0,
IF(INDIRECT("まとめ!E"&amp;B28+2&amp;"")=0,
IF(INDIRECT("まとめ!E"&amp;B28+3&amp;"")=0,B28+4,B28+3),B28+2),B28+1)</f>
        <v>23</v>
      </c>
      <c r="C29" s="44" t="str" cm="1">
        <f t="array" aca="1" ref="C29" ca="1">IF(INDIRECT("まとめ!B"&amp;B29&amp;"")&lt;&gt;"",IF(INDIRECT("まとめ!E"&amp;B29&amp;"")=0,"",INDIRECT("まとめ!B"&amp;B29&amp;"")),"")</f>
        <v/>
      </c>
      <c r="D29" s="46" t="str">
        <f t="array" aca="1" ref="D29" ca="1">IF(C29&lt;&gt;"",
_xlfn._xlws.FILTER(まとめ!$G$12:$G$41,まとめ!$B$12:$B$41=C29,""),"")</f>
        <v/>
      </c>
      <c r="E29" s="46" t="str">
        <f t="array" aca="1" ref="E29" ca="1">IF(C29&lt;&gt;"",
_xlfn._xlws.FILTER(まとめ!$I$12:$I$41,まとめ!$B$12:$B$41=C29,""),"")</f>
        <v/>
      </c>
      <c r="F29" s="83" t="str">
        <f t="array" aca="1" ref="F29" ca="1">IF(C29&lt;&gt;"",
IF(_xlfn._xlws.FILTER(まとめ!$K$12:$K$41,まとめ!$B$12:$B$41=C29,"")=0,"",
_xlfn._xlws.FILTER(まとめ!$K$12:$K$41,まとめ!$B$12:$B$41=C29,"")),"")</f>
        <v/>
      </c>
      <c r="G29" s="84"/>
      <c r="H29" s="85"/>
    </row>
    <row r="30" spans="2:8" ht="16.8" customHeight="1" x14ac:dyDescent="0.3">
      <c r="B30" s="62" cm="1">
        <f t="array" aca="1" ref="B30" ca="1">IF(INDIRECT("まとめ!E"&amp;B29+1&amp;"")=0,
IF(INDIRECT("まとめ!E"&amp;B29+2&amp;"")=0,
IF(INDIRECT("まとめ!E"&amp;B29+3&amp;"")=0,B29+4,B29+3),B29+2),B29+1)</f>
        <v>24</v>
      </c>
      <c r="C30" s="44" t="str" cm="1">
        <f t="array" aca="1" ref="C30" ca="1">IF(INDIRECT("まとめ!B"&amp;B30&amp;"")&lt;&gt;"",IF(INDIRECT("まとめ!E"&amp;B30&amp;"")=0,"",INDIRECT("まとめ!B"&amp;B30&amp;"")),"")</f>
        <v/>
      </c>
      <c r="D30" s="46" t="str">
        <f t="array" aca="1" ref="D30" ca="1">IF(C30&lt;&gt;"",
_xlfn._xlws.FILTER(まとめ!$G$12:$G$41,まとめ!$B$12:$B$41=C30,""),"")</f>
        <v/>
      </c>
      <c r="E30" s="46" t="str">
        <f t="array" aca="1" ref="E30" ca="1">IF(C30&lt;&gt;"",
_xlfn._xlws.FILTER(まとめ!$I$12:$I$41,まとめ!$B$12:$B$41=C30,""),"")</f>
        <v/>
      </c>
      <c r="F30" s="83" t="str">
        <f t="array" aca="1" ref="F30" ca="1">IF(C30&lt;&gt;"",
IF(_xlfn._xlws.FILTER(まとめ!$K$12:$K$41,まとめ!$B$12:$B$41=C30,"")=0,"",
_xlfn._xlws.FILTER(まとめ!$K$12:$K$41,まとめ!$B$12:$B$41=C30,"")),"")</f>
        <v/>
      </c>
      <c r="G30" s="84"/>
      <c r="H30" s="85"/>
    </row>
    <row r="31" spans="2:8" ht="16.8" customHeight="1" x14ac:dyDescent="0.3">
      <c r="B31" s="62" cm="1">
        <f t="array" aca="1" ref="B31" ca="1">IF(INDIRECT("まとめ!E"&amp;B30+1&amp;"")=0,
IF(INDIRECT("まとめ!E"&amp;B30+2&amp;"")=0,
IF(INDIRECT("まとめ!E"&amp;B30+3&amp;"")=0,B30+4,B30+3),B30+2),B30+1)</f>
        <v>25</v>
      </c>
      <c r="C31" s="44" t="str" cm="1">
        <f t="array" aca="1" ref="C31" ca="1">IF(INDIRECT("まとめ!B"&amp;B31&amp;"")&lt;&gt;"",IF(INDIRECT("まとめ!E"&amp;B31&amp;"")=0,"",INDIRECT("まとめ!B"&amp;B31&amp;"")),"")</f>
        <v/>
      </c>
      <c r="D31" s="46" t="str">
        <f t="array" aca="1" ref="D31" ca="1">IF(C31&lt;&gt;"",
_xlfn._xlws.FILTER(まとめ!$G$12:$G$41,まとめ!$B$12:$B$41=C31,""),"")</f>
        <v/>
      </c>
      <c r="E31" s="46" t="str">
        <f t="array" aca="1" ref="E31" ca="1">IF(C31&lt;&gt;"",
_xlfn._xlws.FILTER(まとめ!$I$12:$I$41,まとめ!$B$12:$B$41=C31,""),"")</f>
        <v/>
      </c>
      <c r="F31" s="83" t="str">
        <f t="array" aca="1" ref="F31" ca="1">IF(C31&lt;&gt;"",
IF(_xlfn._xlws.FILTER(まとめ!$K$12:$K$41,まとめ!$B$12:$B$41=C31,"")=0,"",
_xlfn._xlws.FILTER(まとめ!$K$12:$K$41,まとめ!$B$12:$B$41=C31,"")),"")</f>
        <v/>
      </c>
      <c r="G31" s="84"/>
      <c r="H31" s="85"/>
    </row>
    <row r="32" spans="2:8" ht="16.8" customHeight="1" x14ac:dyDescent="0.3">
      <c r="B32" s="62" cm="1">
        <f t="array" aca="1" ref="B32" ca="1">IF(INDIRECT("まとめ!E"&amp;B31+1&amp;"")=0,
IF(INDIRECT("まとめ!E"&amp;B31+2&amp;"")=0,
IF(INDIRECT("まとめ!E"&amp;B31+3&amp;"")=0,B31+4,B31+3),B31+2),B31+1)</f>
        <v>26</v>
      </c>
      <c r="C32" s="44" t="str" cm="1">
        <f t="array" aca="1" ref="C32" ca="1">IF(INDIRECT("まとめ!B"&amp;B32&amp;"")&lt;&gt;"",IF(INDIRECT("まとめ!E"&amp;B32&amp;"")=0,"",INDIRECT("まとめ!B"&amp;B32&amp;"")),"")</f>
        <v/>
      </c>
      <c r="D32" s="46" t="str">
        <f t="array" aca="1" ref="D32" ca="1">IF(C32&lt;&gt;"",
_xlfn._xlws.FILTER(まとめ!$G$12:$G$41,まとめ!$B$12:$B$41=C32,""),"")</f>
        <v/>
      </c>
      <c r="E32" s="46" t="str">
        <f t="array" aca="1" ref="E32" ca="1">IF(C32&lt;&gt;"",
_xlfn._xlws.FILTER(まとめ!$I$12:$I$41,まとめ!$B$12:$B$41=C32,""),"")</f>
        <v/>
      </c>
      <c r="F32" s="83" t="str">
        <f t="array" aca="1" ref="F32" ca="1">IF(C32&lt;&gt;"",
IF(_xlfn._xlws.FILTER(まとめ!$K$12:$K$41,まとめ!$B$12:$B$41=C32,"")=0,"",
_xlfn._xlws.FILTER(まとめ!$K$12:$K$41,まとめ!$B$12:$B$41=C32,"")),"")</f>
        <v/>
      </c>
      <c r="G32" s="84"/>
      <c r="H32" s="85"/>
    </row>
    <row r="33" spans="2:8" ht="16.8" customHeight="1" x14ac:dyDescent="0.3">
      <c r="B33" s="62" cm="1">
        <f t="array" aca="1" ref="B33" ca="1">IF(INDIRECT("まとめ!E"&amp;B32+1&amp;"")=0,
IF(INDIRECT("まとめ!E"&amp;B32+2&amp;"")=0,
IF(INDIRECT("まとめ!E"&amp;B32+3&amp;"")=0,B32+4,B32+3),B32+2),B32+1)</f>
        <v>27</v>
      </c>
      <c r="C33" s="44" t="str" cm="1">
        <f t="array" aca="1" ref="C33" ca="1">IF(INDIRECT("まとめ!B"&amp;B33&amp;"")&lt;&gt;"",IF(INDIRECT("まとめ!E"&amp;B33&amp;"")=0,"",INDIRECT("まとめ!B"&amp;B33&amp;"")),"")</f>
        <v/>
      </c>
      <c r="D33" s="46" t="str">
        <f t="array" aca="1" ref="D33" ca="1">IF(C33&lt;&gt;"",
_xlfn._xlws.FILTER(まとめ!$G$12:$G$41,まとめ!$B$12:$B$41=C33,""),"")</f>
        <v/>
      </c>
      <c r="E33" s="46" t="str">
        <f t="array" aca="1" ref="E33" ca="1">IF(C33&lt;&gt;"",
_xlfn._xlws.FILTER(まとめ!$I$12:$I$41,まとめ!$B$12:$B$41=C33,""),"")</f>
        <v/>
      </c>
      <c r="F33" s="83" t="str">
        <f t="array" aca="1" ref="F33" ca="1">IF(C33&lt;&gt;"",
IF(_xlfn._xlws.FILTER(まとめ!$K$12:$K$41,まとめ!$B$12:$B$41=C33,"")=0,"",
_xlfn._xlws.FILTER(まとめ!$K$12:$K$41,まとめ!$B$12:$B$41=C33,"")),"")</f>
        <v/>
      </c>
      <c r="G33" s="84"/>
      <c r="H33" s="85"/>
    </row>
    <row r="34" spans="2:8" ht="16.8" customHeight="1" x14ac:dyDescent="0.3">
      <c r="B34" s="62" cm="1">
        <f t="array" aca="1" ref="B34" ca="1">IF(INDIRECT("まとめ!E"&amp;B33+1&amp;"")=0,
IF(INDIRECT("まとめ!E"&amp;B33+2&amp;"")=0,
IF(INDIRECT("まとめ!E"&amp;B33+3&amp;"")=0,B33+4,B33+3),B33+2),B33+1)</f>
        <v>28</v>
      </c>
      <c r="C34" s="44" t="str" cm="1">
        <f t="array" aca="1" ref="C34" ca="1">IF(INDIRECT("まとめ!B"&amp;B34&amp;"")&lt;&gt;"",IF(INDIRECT("まとめ!E"&amp;B34&amp;"")=0,"",INDIRECT("まとめ!B"&amp;B34&amp;"")),"")</f>
        <v/>
      </c>
      <c r="D34" s="46" t="str" cm="1">
        <f t="array" aca="1" ref="D34" ca="1">IF(C34&lt;&gt;"",
_xlfn._xlws.FILTER(まとめ!$G$12:$G$41,まとめ!$B$12:$B$41=C34,""),"")</f>
        <v/>
      </c>
      <c r="E34" s="46" t="str">
        <f t="array" aca="1" ref="E34" ca="1">IF(C34&lt;&gt;"",
_xlfn._xlws.FILTER(まとめ!$I$12:$I$41,まとめ!$B$12:$B$41=C34,""),"")</f>
        <v/>
      </c>
      <c r="F34" s="83" t="str">
        <f t="array" aca="1" ref="F34" ca="1">IF(C34&lt;&gt;"",
IF(_xlfn._xlws.FILTER(まとめ!$K$12:$K$41,まとめ!$B$12:$B$41=C34,"")=0,"",
_xlfn._xlws.FILTER(まとめ!$K$12:$K$41,まとめ!$B$12:$B$41=C34,"")),"")</f>
        <v/>
      </c>
      <c r="G34" s="84"/>
      <c r="H34" s="85"/>
    </row>
    <row r="35" spans="2:8" ht="16.8" customHeight="1" x14ac:dyDescent="0.3">
      <c r="B35" s="62" cm="1">
        <f t="array" aca="1" ref="B35" ca="1">IF(INDIRECT("まとめ!E"&amp;B34+1&amp;"")=0,
IF(INDIRECT("まとめ!E"&amp;B34+2&amp;"")=0,
IF(INDIRECT("まとめ!E"&amp;B34+3&amp;"")=0,B34+4,B34+3),B34+2),B34+1)</f>
        <v>29</v>
      </c>
      <c r="C35" s="44" t="str" cm="1">
        <f t="array" aca="1" ref="C35" ca="1">IF(INDIRECT("まとめ!B"&amp;B35&amp;"")&lt;&gt;"",IF(INDIRECT("まとめ!E"&amp;B35&amp;"")=0,"",INDIRECT("まとめ!B"&amp;B35&amp;"")),"")</f>
        <v/>
      </c>
      <c r="D35" s="46" t="str" cm="1">
        <f t="array" aca="1" ref="D35" ca="1">IF(C35&lt;&gt;"",
_xlfn._xlws.FILTER(まとめ!$G$12:$G$41,まとめ!$B$12:$B$41=C35,""),"")</f>
        <v/>
      </c>
      <c r="E35" s="46" t="str">
        <f t="array" aca="1" ref="E35" ca="1">IF(C35&lt;&gt;"",
_xlfn._xlws.FILTER(まとめ!$I$12:$I$41,まとめ!$B$12:$B$41=C35,""),"")</f>
        <v/>
      </c>
      <c r="F35" s="83" t="str">
        <f t="array" aca="1" ref="F35" ca="1">IF(C35&lt;&gt;"",
IF(_xlfn._xlws.FILTER(まとめ!$K$12:$K$41,まとめ!$B$12:$B$41=C35,"")=0,"",
_xlfn._xlws.FILTER(まとめ!$K$12:$K$41,まとめ!$B$12:$B$41=C35,"")),"")</f>
        <v/>
      </c>
      <c r="G35" s="84"/>
      <c r="H35" s="85"/>
    </row>
    <row r="36" spans="2:8" ht="16.8" customHeight="1" x14ac:dyDescent="0.3">
      <c r="B36" s="62" cm="1">
        <f t="array" aca="1" ref="B36" ca="1">IF(INDIRECT("まとめ!E"&amp;B35+1&amp;"")=0,
IF(INDIRECT("まとめ!E"&amp;B35+2&amp;"")=0,
IF(INDIRECT("まとめ!E"&amp;B35+3&amp;"")=0,B35+4,B35+3),B35+2),B35+1)</f>
        <v>30</v>
      </c>
      <c r="C36" s="44" t="str" cm="1">
        <f t="array" aca="1" ref="C36" ca="1">IF(INDIRECT("まとめ!B"&amp;B36&amp;"")&lt;&gt;"",IF(INDIRECT("まとめ!E"&amp;B36&amp;"")=0,"",INDIRECT("まとめ!B"&amp;B36&amp;"")),"")</f>
        <v/>
      </c>
      <c r="D36" s="46" t="str">
        <f t="array" aca="1" ref="D36" ca="1">IF(C36&lt;&gt;"",
_xlfn._xlws.FILTER(まとめ!$F$12:$F$41,まとめ!$B$12:$B$41=C36,""),"")</f>
        <v/>
      </c>
      <c r="E36" s="46" t="str">
        <f t="array" aca="1" ref="E36" ca="1">IF(C36&lt;&gt;"",
_xlfn._xlws.FILTER(まとめ!$I$12:$I$41,まとめ!$B$12:$B$41=C36,""),"")</f>
        <v/>
      </c>
      <c r="F36" s="83" t="str">
        <f t="array" aca="1" ref="F36" ca="1">IF(C36&lt;&gt;"",
IF(_xlfn._xlws.FILTER(まとめ!$K$12:$K$41,まとめ!$B$12:$B$41=C36,"")=0,"",
_xlfn._xlws.FILTER(まとめ!$K$12:$K$41,まとめ!$B$12:$B$41=C36,"")),"")</f>
        <v/>
      </c>
      <c r="G36" s="84"/>
      <c r="H36" s="85"/>
    </row>
    <row r="37" spans="2:8" ht="16.8" customHeight="1" x14ac:dyDescent="0.3">
      <c r="B37" s="62" cm="1">
        <f t="array" aca="1" ref="B37" ca="1">IF(INDIRECT("まとめ!E"&amp;B36+1&amp;"")=0,
IF(INDIRECT("まとめ!E"&amp;B36+2&amp;"")=0,
IF(INDIRECT("まとめ!E"&amp;B36+3&amp;"")=0,B36+4,B36+3),B36+2),B36+1)</f>
        <v>31</v>
      </c>
      <c r="C37" s="44" t="str" cm="1">
        <f t="array" aca="1" ref="C37" ca="1">IF(INDIRECT("まとめ!B"&amp;B37&amp;"")&lt;&gt;"",IF(INDIRECT("まとめ!E"&amp;B37&amp;"")=0,"",INDIRECT("まとめ!B"&amp;B37&amp;"")),"")</f>
        <v/>
      </c>
      <c r="D37" s="46" t="str">
        <f t="array" aca="1" ref="D37" ca="1">IF(C37&lt;&gt;"",
_xlfn._xlws.FILTER(まとめ!$F$12:$F$41,まとめ!$B$12:$B$41=C37,""),"")</f>
        <v/>
      </c>
      <c r="E37" s="46" t="str">
        <f t="array" aca="1" ref="E37" ca="1">IF(C37&lt;&gt;"",
_xlfn._xlws.FILTER(まとめ!$I$12:$I$41,まとめ!$B$12:$B$41=C37,""),"")</f>
        <v/>
      </c>
      <c r="F37" s="83" t="str">
        <f t="array" aca="1" ref="F37" ca="1">IF(C37&lt;&gt;"",
IF(_xlfn._xlws.FILTER(まとめ!$K$12:$K$41,まとめ!$B$12:$B$41=C37,"")=0,"",
_xlfn._xlws.FILTER(まとめ!$K$12:$K$41,まとめ!$B$12:$B$41=C37,"")),"")</f>
        <v/>
      </c>
      <c r="G37" s="84"/>
      <c r="H37" s="85"/>
    </row>
    <row r="38" spans="2:8" x14ac:dyDescent="0.3">
      <c r="B38" s="62" cm="1">
        <f t="array" aca="1" ref="B38" ca="1">IF(INDIRECT("まとめ!E"&amp;B37+1&amp;"")=0,
IF(INDIRECT("まとめ!E"&amp;B37+2&amp;"")=0,
IF(INDIRECT("まとめ!E"&amp;B37+3&amp;"")=0,B37+4,B37+3),B37+2),B37+1)</f>
        <v>32</v>
      </c>
      <c r="C38" s="44" t="str" cm="1">
        <f t="array" aca="1" ref="C38" ca="1">IF(INDIRECT("まとめ!B"&amp;B38&amp;"")&lt;&gt;"",IF(INDIRECT("まとめ!E"&amp;B38&amp;"")=0,"",INDIRECT("まとめ!B"&amp;B38&amp;"")),"")</f>
        <v/>
      </c>
      <c r="D38" s="46" t="str">
        <f t="array" aca="1" ref="D38" ca="1">IF(C38&lt;&gt;"",
_xlfn._xlws.FILTER(まとめ!$F$12:$F$41,まとめ!$B$12:$B$41=C38,""),"")</f>
        <v/>
      </c>
      <c r="E38" s="46" t="str">
        <f t="array" aca="1" ref="E38" ca="1">IF(C38&lt;&gt;"",
_xlfn._xlws.FILTER(まとめ!$I$12:$I$41,まとめ!$B$12:$B$41=C38,""),"")</f>
        <v/>
      </c>
      <c r="F38" s="83" t="str">
        <f t="array" aca="1" ref="F38" ca="1">IF(C38&lt;&gt;"",
IF(_xlfn._xlws.FILTER(まとめ!$K$12:$K$41,まとめ!$B$12:$B$41=C38,"")=0,"",
_xlfn._xlws.FILTER(まとめ!$K$12:$K$41,まとめ!$B$12:$B$41=C38,"")),"")</f>
        <v/>
      </c>
      <c r="G38" s="84"/>
      <c r="H38" s="85"/>
    </row>
    <row r="39" spans="2:8" x14ac:dyDescent="0.3">
      <c r="B39" s="62" cm="1">
        <f t="array" aca="1" ref="B39" ca="1">IF(INDIRECT("まとめ!E"&amp;B38+1&amp;"")=0,
IF(INDIRECT("まとめ!E"&amp;B38+2&amp;"")=0,
IF(INDIRECT("まとめ!E"&amp;B38+3&amp;"")=0,B38+4,B38+3),B38+2),B38+1)</f>
        <v>33</v>
      </c>
      <c r="C39" s="44" t="str" cm="1">
        <f t="array" aca="1" ref="C39" ca="1">IF(INDIRECT("まとめ!B"&amp;B39&amp;"")&lt;&gt;"",IF(INDIRECT("まとめ!E"&amp;B39&amp;"")=0,"",INDIRECT("まとめ!B"&amp;B39&amp;"")),"")</f>
        <v/>
      </c>
      <c r="D39" s="46" t="str">
        <f t="array" aca="1" ref="D39" ca="1">IF(C39&lt;&gt;"",
_xlfn._xlws.FILTER(まとめ!$F$12:$F$41,まとめ!$B$12:$B$41=C39,""),"")</f>
        <v/>
      </c>
      <c r="E39" s="46" t="str">
        <f t="array" aca="1" ref="E39" ca="1">IF(C39&lt;&gt;"",
_xlfn._xlws.FILTER(まとめ!$I$12:$I$41,まとめ!$B$12:$B$41=C39,""),"")</f>
        <v/>
      </c>
      <c r="F39" s="83" t="str">
        <f t="array" aca="1" ref="F39" ca="1">IF(C39&lt;&gt;"",
IF(_xlfn._xlws.FILTER(まとめ!$K$12:$K$41,まとめ!$B$12:$B$41=C39,"")=0,"",
_xlfn._xlws.FILTER(まとめ!$K$12:$K$41,まとめ!$B$12:$B$41=C39,"")),"")</f>
        <v/>
      </c>
      <c r="G39" s="84"/>
      <c r="H39" s="85"/>
    </row>
    <row r="40" spans="2:8" x14ac:dyDescent="0.3">
      <c r="B40" s="62" cm="1">
        <f t="array" aca="1" ref="B40" ca="1">IF(INDIRECT("まとめ!E"&amp;B39+1&amp;"")=0,
IF(INDIRECT("まとめ!E"&amp;B39+2&amp;"")=0,
IF(INDIRECT("まとめ!E"&amp;B39+3&amp;"")=0,B39+4,B39+3),B39+2),B39+1)</f>
        <v>34</v>
      </c>
      <c r="C40" s="44" t="str" cm="1">
        <f t="array" aca="1" ref="C40" ca="1">IF(INDIRECT("まとめ!B"&amp;B40&amp;"")&lt;&gt;"",IF(INDIRECT("まとめ!E"&amp;B40&amp;"")=0,"",INDIRECT("まとめ!B"&amp;B40&amp;"")),"")</f>
        <v/>
      </c>
      <c r="D40" s="46" t="str">
        <f t="array" aca="1" ref="D40" ca="1">IF(C40&lt;&gt;"",
_xlfn._xlws.FILTER(まとめ!$F$12:$F$41,まとめ!$B$12:$B$41=C40,""),"")</f>
        <v/>
      </c>
      <c r="E40" s="46" t="str">
        <f t="array" aca="1" ref="E40" ca="1">IF(C40&lt;&gt;"",
_xlfn._xlws.FILTER(まとめ!$I$12:$I$41,まとめ!$B$12:$B$41=C40,""),"")</f>
        <v/>
      </c>
      <c r="F40" s="83" t="str">
        <f t="array" aca="1" ref="F40" ca="1">IF(C40&lt;&gt;"",
IF(_xlfn._xlws.FILTER(まとめ!$K$12:$K$41,まとめ!$B$12:$B$41=C40,"")=0,"",
_xlfn._xlws.FILTER(まとめ!$K$12:$K$41,まとめ!$B$12:$B$41=C40,"")),"")</f>
        <v/>
      </c>
      <c r="G40" s="84"/>
      <c r="H40" s="85"/>
    </row>
  </sheetData>
  <mergeCells count="29"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</mergeCells>
  <phoneticPr fontId="2"/>
  <pageMargins left="0.7" right="0.7" top="0.75" bottom="0.75" header="0.3" footer="0.3"/>
  <pageSetup paperSize="9" scale="98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J12" sqref="J12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63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91" width="9" style="1" customWidth="1"/>
    <col min="92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6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L4" s="65"/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96" t="str">
        <f>D9</f>
        <v>病児</v>
      </c>
      <c r="N9" s="85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92" t="s">
        <v>1</v>
      </c>
      <c r="D11" s="85"/>
      <c r="E11" s="14" t="s">
        <v>24</v>
      </c>
      <c r="F11" s="14" t="s">
        <v>25</v>
      </c>
      <c r="G11" s="61" t="s">
        <v>26</v>
      </c>
      <c r="H11" s="99" t="s">
        <v>22</v>
      </c>
      <c r="I11" s="85"/>
      <c r="J11" s="14" t="s">
        <v>27</v>
      </c>
      <c r="K11" s="14" t="s">
        <v>12</v>
      </c>
      <c r="L11" s="66"/>
      <c r="M11" s="92" t="s">
        <v>23</v>
      </c>
      <c r="N11" s="85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e" cm="1">
        <f t="array" aca="1" ref="B12" ca="1">_xlfn.UNIQUE(_xlfn._xlws.FILTER(INDIRECT("'シフト一覧（転載）'!A"&amp;MATCH("スタッフ名",'シフト一覧（転載）'!A:A,0)+1&amp;":A"&amp;MATCH("お子さま名",'シフト一覧（転載）'!A:A,0)-1&amp;""),
INDIRECT("'シフト一覧（転載）'!A"&amp;MATCH("スタッフ名",'シフト一覧（転載）'!A:A,0)+1&amp;":A"&amp;MATCH("お子さま名",'シフト一覧（転載）'!A:A,0)-1&amp;"")&lt;&gt;""))</f>
        <v>#N/A</v>
      </c>
      <c r="C12" s="29" t="e" cm="1">
        <f t="array" aca="1" ref="C12" ca="1">IF(B12&lt;&gt;"",INDIRECT("'シフト一覧（転載）'!B"&amp;MATCH(B12,'シフト一覧（転載）'!$A:$A,0)+1),"")</f>
        <v>#N/A</v>
      </c>
      <c r="D12" s="55" t="e">
        <f t="array" aca="1" ref="D12" ca="1">IF(B12&lt;&gt;"",INDIRECT("'シフト一覧（転載）'!B"&amp;MATCH(B12,'シフト一覧（転載）'!$A:$A,0)),"")</f>
        <v>#N/A</v>
      </c>
      <c r="E12" s="22" t="e">
        <f t="array" aca="1" ref="E12" ca="1">IF(B12&lt;&gt;"",INDIRECT("'シフト一覧（転載）'!E"&amp;MATCH(B12,'シフト一覧（転載）'!$A:$A,0)),"")</f>
        <v>#N/A</v>
      </c>
      <c r="F12" s="54" t="e">
        <f t="shared" ref="F12:F41" ca="1" si="0">IF(E12&lt;&gt;"",IF(INT(E12*24)&gt;=$C$9,$C$9,INT(E12*24)+ROUND(MINUTE(E12)/60,2)),"")</f>
        <v>#N/A</v>
      </c>
      <c r="G12" s="19" t="e">
        <f t="shared" ref="G12:G41" ca="1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>#N/A</v>
      </c>
      <c r="H12" s="39" t="e">
        <f t="array" aca="1" ref="H12" ca="1">IF(B12&lt;&gt;"",IFERROR(INDEX('シフト一覧（転載）'!$C$8:$C$100,
MATCH(1, (ISNUMBER(SEARCH(B12,'シフト一覧（転載）'!$A$8:$A$100)))
*(ISNUMBER(SEARCH($D$9,'シフト一覧（転載）'!$B$8:$B$100))), 0)),""),"")</f>
        <v>#N/A</v>
      </c>
      <c r="I12" s="33" t="e">
        <f t="shared" ref="I12:I41" ca="1" si="2">IF(B12&lt;&gt;"",
INT(IFERROR(VLOOKUP(B12,$M$12:$O$100,3,FALSE),0)) &amp; ":" &amp; TEXT((IFERROR(VLOOKUP(B12,$M$12:$O$100,3,FALSE),0)-INT(IFERROR(VLOOKUP(B12,$M$12:$O$100,3,FALSE),0)))*60,"00"),"")</f>
        <v>#N/A</v>
      </c>
      <c r="J12" s="19" t="e" cm="1">
        <f t="array" aca="1" ref="J12" ca="1">IF(B12&lt;&gt;"",IFERROR(SUM(INDIRECT("'Page_" &amp; INDEX($A$12:$L$41,MATCH("*"&amp;LEFT(B12,2)&amp;"*",$L$12:$L$41,0),1) &amp; "'!J"&amp;MATCH("有休",INDIRECT("'Page_" &amp; INDEX($A$12:$L$41,MATCH("*"&amp;LEFT(B12,2)&amp;"*",$L$12:$L$41,0),1) &amp; "'!J:J"),0)+2&amp;"")
+INDIRECT("'Page_" &amp; INDEX($A$12:$L$41,MATCH("*"&amp;LEFT(B12,2)&amp;"*",$L$12:$L$41,0),1) &amp; "'!K"&amp;MATCH("特休",INDIRECT("'Page_" &amp; INDEX($A$12:$L$41,MATCH("*"&amp;LEFT(B12,2)&amp;"*",$L$12:$L$41,0),1) &amp; "'!K:K"),0)+2&amp;""))*24,0),"")</f>
        <v>#N/A</v>
      </c>
      <c r="K12" s="36"/>
      <c r="L12" s="67" t="e" cm="1">
        <f t="array" aca="1" ref="L12" ca="1">INDIRECT("'Page_" &amp; A12 &amp; "'!A2")</f>
        <v>#REF!</v>
      </c>
      <c r="M12" s="92" t="e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>#N/A</v>
      </c>
      <c r="N12" s="93"/>
      <c r="O12" s="97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t="str">
        <f t="array" aca="1" ref="P12" ca="1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病児保育無し</v>
      </c>
      <c r="Q12" s="17" t="str">
        <f t="array" aca="1" ref="Q12" ca="1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/>
      </c>
      <c r="R12" s="17" t="str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/>
      </c>
      <c r="S12" s="17" t="str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/>
      </c>
      <c r="T12" s="17" t="str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/>
      </c>
      <c r="U12" s="17" t="str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/>
      </c>
      <c r="V12" s="17" t="str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/>
      </c>
      <c r="W12" s="17" t="str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/>
      </c>
      <c r="X12" s="17" t="str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/>
      </c>
      <c r="Y12" s="17" t="str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/>
      </c>
      <c r="Z12" s="17" t="str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/>
      </c>
      <c r="AA12" s="17" t="str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/>
      </c>
      <c r="AB12" s="17" t="str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/>
      </c>
      <c r="AC12" s="17" t="str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/>
      </c>
      <c r="AD12" s="17" t="str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/>
      </c>
      <c r="AE12" s="17" t="str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/>
      </c>
      <c r="AF12" s="17" t="str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/>
      </c>
      <c r="AG12" s="17" t="str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/>
      </c>
      <c r="AH12" s="17" t="str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/>
      </c>
      <c r="AI12" s="17" t="str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/>
      </c>
      <c r="AJ12" s="17" t="str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/>
      </c>
      <c r="AK12" s="17" t="str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/>
      </c>
      <c r="AL12" s="17" t="str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/>
      </c>
      <c r="AM12" s="17" t="str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/>
      </c>
      <c r="AN12" s="17" t="str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/>
      </c>
      <c r="AO12" s="17" t="str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/>
      </c>
      <c r="AP12" s="17" t="str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/>
      </c>
      <c r="AQ12" s="17" t="str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/>
      </c>
      <c r="AR12" s="17" t="str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/>
      </c>
      <c r="AS12" s="17" t="str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/>
      </c>
      <c r="AT12" s="17" t="str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/>
      </c>
      <c r="AU12" s="17" t="str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/>
      </c>
      <c r="AV12" s="17" t="str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/>
      </c>
      <c r="AW12" s="17" t="str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/>
      </c>
      <c r="AX12" s="17" t="str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/>
      </c>
      <c r="AY12" s="17" t="str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/>
      </c>
      <c r="AZ12" s="17" t="str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/>
      </c>
      <c r="BA12" s="17" t="str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/>
      </c>
      <c r="BB12" s="17" t="str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/>
      </c>
      <c r="BC12" s="17" t="str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/>
      </c>
      <c r="BD12" s="17" t="str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/>
      </c>
      <c r="BE12" s="17" t="str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/>
      </c>
      <c r="BF12" s="17" t="str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/>
      </c>
      <c r="BG12" s="17" t="str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/>
      </c>
      <c r="BH12" s="17" t="str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/>
      </c>
      <c r="BI12" s="17" t="str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/>
      </c>
      <c r="BJ12" s="17" t="str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/>
      </c>
      <c r="BK12" s="17" t="str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/>
      </c>
      <c r="BL12" s="17" t="str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/>
      </c>
      <c r="BM12" s="17" t="str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/>
      </c>
      <c r="BN12" s="17" t="str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/>
      </c>
      <c r="BO12" s="17" t="str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/>
      </c>
      <c r="BP12" s="17" t="str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/>
      </c>
      <c r="BQ12" s="17" t="str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/>
      </c>
      <c r="BR12" s="17" t="str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/>
      </c>
      <c r="BS12" s="17" t="str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/>
      </c>
      <c r="BT12" s="17" t="str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/>
      </c>
      <c r="BU12" s="17" t="str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/>
      </c>
      <c r="BV12" s="17" t="str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/>
      </c>
      <c r="BW12" s="17" t="str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/>
      </c>
      <c r="BX12" s="17" t="str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/>
      </c>
      <c r="BY12" s="17" t="str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/>
      </c>
    </row>
    <row r="13" spans="1:77" ht="19.8" customHeight="1" x14ac:dyDescent="0.2">
      <c r="A13" s="27" t="str">
        <f t="shared" ref="A13:A41" si="3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6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2"/>
        <v/>
      </c>
      <c r="J13" s="20" t="str" cm="1">
        <f t="array" aca="1" ref="J13" ca="1">IF(B13&lt;&gt;"",IFERROR(SUM(INDIRECT("'Page_" &amp; INDEX($A$12:$L$41,MATCH("*"&amp;LEFT(B13,2)&amp;"*",$L$12:$L$41,0),1) &amp; "'!J"&amp;MATCH("有休",INDIRECT("'Page_" &amp; INDEX($A$12:$L$41,MATCH("*"&amp;LEFT(B13,2)&amp;"*",$L$12:$L$41,0),1) &amp; "'!J:J"),0)+2&amp;"")
+INDIRECT("'Page_" &amp; INDEX($A$12:$L$41,MATCH("*"&amp;LEFT(B13,2)&amp;"*",$L$12:$L$41,0),1) &amp; "'!K"&amp;MATCH("特休",INDIRECT("'Page_" &amp; INDEX($A$12:$L$41,MATCH("*"&amp;LEFT(B13,2)&amp;"*",$L$12:$L$41,0),1) &amp; "'!K:K"),0)+2&amp;""))*24,0),"")</f>
        <v/>
      </c>
      <c r="K13" s="37"/>
      <c r="L13" s="67" t="e" cm="1">
        <f t="array" aca="1" ref="L13" ca="1">INDIRECT("'Page_" &amp; A13 &amp; "'!A2")</f>
        <v>#REF!</v>
      </c>
      <c r="M13" s="94"/>
      <c r="N13" s="95"/>
      <c r="O13" s="98"/>
      <c r="P13" s="18" t="str">
        <f t="array" aca="1" ref="P13" ca="1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/>
      </c>
      <c r="Q13" s="18" t="str">
        <f ca="1">IF(P12=0,0,
IF(OR(P12="",COUNTIF(P12,"*保育無し*")),"",
IF(MOD(P13-P12,1)*24&gt;=8,1,
IF(MOD(P13-P12,1)*24&gt;=6,0.75,0))))</f>
        <v/>
      </c>
      <c r="R13" s="18" t="str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/>
      </c>
      <c r="S13" s="18" t="str">
        <f ca="1">IF(R12=0,0,
IF(OR(R12="",COUNTIF(R12,"*保育無し*")),"",
IF(MOD(R13-R12,1)*24&gt;=8,1,
IF(MOD(R13-R12,1)*24&gt;=6,0.75,0))))</f>
        <v/>
      </c>
      <c r="T13" s="18" t="str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/>
      </c>
      <c r="U13" s="18" t="str">
        <f ca="1">IF(T12=0,0,
IF(OR(T12="",COUNTIF(T12,"*保育無し*")),"",
IF(MOD(T13-T12,1)*24&gt;=8,1,
IF(MOD(T13-T12,1)*24&gt;=6,0.75,0))))</f>
        <v/>
      </c>
      <c r="V13" s="18" t="str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/>
      </c>
      <c r="W13" s="18" t="str">
        <f ca="1">IF(V12=0,0,
IF(OR(V12="",COUNTIF(V12,"*保育無し*")),"",
IF(MOD(V13-V12,1)*24&gt;=8,1,
IF(MOD(V13-V12,1)*24&gt;=6,0.75,0))))</f>
        <v/>
      </c>
      <c r="X13" s="18" t="str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/>
      </c>
      <c r="Y13" s="18" t="str">
        <f ca="1">IF(X12=0,0,
IF(OR(X12="",COUNTIF(X12,"*保育無し*")),"",
IF(MOD(X13-X12,1)*24&gt;=8,1,
IF(MOD(X13-X12,1)*24&gt;=6,0.75,0))))</f>
        <v/>
      </c>
      <c r="Z13" s="18" t="str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/>
      </c>
      <c r="AA13" s="18" t="str">
        <f ca="1">IF(Z12=0,0,
IF(OR(Z12="",COUNTIF(Z12,"*保育無し*")),"",
IF(MOD(Z13-Z12,1)*24&gt;=8,1,
IF(MOD(Z13-Z12,1)*24&gt;=6,0.75,0))))</f>
        <v/>
      </c>
      <c r="AB13" s="18" t="str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/>
      </c>
      <c r="AC13" s="18" t="str">
        <f ca="1">IF(AB12=0,0,
IF(OR(AB12="",COUNTIF(AB12,"*保育無し*")),"",
IF(MOD(AB13-AB12,1)*24&gt;=8,1,
IF(MOD(AB13-AB12,1)*24&gt;=6,0.75,0))))</f>
        <v/>
      </c>
      <c r="AD13" s="18" t="str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/>
      </c>
      <c r="AE13" s="18" t="str">
        <f ca="1">IF(AD12=0,0,
IF(OR(AD12="",COUNTIF(AD12,"*保育無し*")),"",
IF(MOD(AD13-AD12,1)*24&gt;=8,1,
IF(MOD(AD13-AD12,1)*24&gt;=6,0.75,0))))</f>
        <v/>
      </c>
      <c r="AF13" s="18" t="str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/>
      </c>
      <c r="AG13" s="18" t="str">
        <f ca="1">IF(AF12=0,0,
IF(OR(AF12="",COUNTIF(AF12,"*保育無し*")),"",
IF(MOD(AF13-AF12,1)*24&gt;=8,1,
IF(MOD(AF13-AF12,1)*24&gt;=6,0.75,0))))</f>
        <v/>
      </c>
      <c r="AH13" s="18" t="str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/>
      </c>
      <c r="AI13" s="18" t="str">
        <f ca="1">IF(AH12=0,0,
IF(OR(AH12="",COUNTIF(AH12,"*保育無し*")),"",
IF(MOD(AH13-AH12,1)*24&gt;=8,1,
IF(MOD(AH13-AH12,1)*24&gt;=6,0.75,0))))</f>
        <v/>
      </c>
      <c r="AJ13" s="18" t="str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/>
      </c>
      <c r="AK13" s="18" t="str">
        <f ca="1">IF(AJ12=0,0,
IF(OR(AJ12="",COUNTIF(AJ12,"*保育無し*")),"",
IF(MOD(AJ13-AJ12,1)*24&gt;=8,1,
IF(MOD(AJ13-AJ12,1)*24&gt;=6,0.75,0))))</f>
        <v/>
      </c>
      <c r="AL13" s="18" t="str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/>
      </c>
      <c r="AM13" s="18" t="str">
        <f ca="1">IF(AL12=0,0,
IF(OR(AL12="",COUNTIF(AL12,"*保育無し*")),"",
IF(MOD(AL13-AL12,1)*24&gt;=8,1,
IF(MOD(AL13-AL12,1)*24&gt;=6,0.75,0))))</f>
        <v/>
      </c>
      <c r="AN13" s="18" t="str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/>
      </c>
      <c r="AO13" s="18" t="str">
        <f ca="1">IF(AN12=0,0,
IF(OR(AN12="",COUNTIF(AN12,"*保育無し*")),"",
IF(MOD(AN13-AN12,1)*24&gt;=8,1,
IF(MOD(AN13-AN12,1)*24&gt;=6,0.75,0))))</f>
        <v/>
      </c>
      <c r="AP13" s="18" t="str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/>
      </c>
      <c r="AQ13" s="18" t="str">
        <f ca="1">IF(AP12=0,0,
IF(OR(AP12="",COUNTIF(AP12,"*保育無し*")),"",
IF(MOD(AP13-AP12,1)*24&gt;=8,1,
IF(MOD(AP13-AP12,1)*24&gt;=6,0.75,0))))</f>
        <v/>
      </c>
      <c r="AR13" s="18" t="str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/>
      </c>
      <c r="AS13" s="18" t="str">
        <f ca="1">IF(AR12=0,0,
IF(OR(AR12="",COUNTIF(AR12,"*保育無し*")),"",
IF(MOD(AR13-AR12,1)*24&gt;=8,1,
IF(MOD(AR13-AR12,1)*24&gt;=6,0.75,0))))</f>
        <v/>
      </c>
      <c r="AT13" s="18" t="str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/>
      </c>
      <c r="AU13" s="18" t="str">
        <f ca="1">IF(AT12=0,0,
IF(OR(AT12="",COUNTIF(AT12,"*保育無し*")),"",
IF(MOD(AT13-AT12,1)*24&gt;=8,1,
IF(MOD(AT13-AT12,1)*24&gt;=6,0.75,0))))</f>
        <v/>
      </c>
      <c r="AV13" s="18" t="str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/>
      </c>
      <c r="AW13" s="18" t="str">
        <f ca="1">IF(AV12=0,0,
IF(OR(AV12="",COUNTIF(AV12,"*保育無し*")),"",
IF(MOD(AV13-AV12,1)*24&gt;=8,1,
IF(MOD(AV13-AV12,1)*24&gt;=6,0.75,0))))</f>
        <v/>
      </c>
      <c r="AX13" s="18" t="str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/>
      </c>
      <c r="AY13" s="18" t="str">
        <f ca="1">IF(AX12=0,0,
IF(OR(AX12="",COUNTIF(AX12,"*保育無し*")),"",
IF(MOD(AX13-AX12,1)*24&gt;=8,1,
IF(MOD(AX13-AX12,1)*24&gt;=6,0.75,0))))</f>
        <v/>
      </c>
      <c r="AZ13" s="18" t="str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/>
      </c>
      <c r="BA13" s="18" t="str">
        <f ca="1">IF(AZ12=0,0,
IF(OR(AZ12="",COUNTIF(AZ12,"*保育無し*")),"",
IF(MOD(AZ13-AZ12,1)*24&gt;=8,1,
IF(MOD(AZ13-AZ12,1)*24&gt;=6,0.75,0))))</f>
        <v/>
      </c>
      <c r="BB13" s="18" t="str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/>
      </c>
      <c r="BC13" s="18" t="str">
        <f ca="1">IF(BB12=0,0,
IF(OR(BB12="",COUNTIF(BB12,"*保育無し*")),"",
IF(MOD(BB13-BB12,1)*24&gt;=8,1,
IF(MOD(BB13-BB12,1)*24&gt;=6,0.75,0))))</f>
        <v/>
      </c>
      <c r="BD13" s="18" t="str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/>
      </c>
      <c r="BE13" s="18" t="str">
        <f ca="1">IF(BD12=0,0,
IF(OR(BD12="",COUNTIF(BD12,"*保育無し*")),"",
IF(MOD(BD13-BD12,1)*24&gt;=8,1,
IF(MOD(BD13-BD12,1)*24&gt;=6,0.75,0))))</f>
        <v/>
      </c>
      <c r="BF13" s="18" t="str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/>
      </c>
      <c r="BG13" s="18" t="str">
        <f ca="1">IF(BF12=0,0,
IF(OR(BF12="",COUNTIF(BF12,"*保育無し*")),"",
IF(MOD(BF13-BF12,1)*24&gt;=8,1,
IF(MOD(BF13-BF12,1)*24&gt;=6,0.75,0))))</f>
        <v/>
      </c>
      <c r="BH13" s="18" t="str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/>
      </c>
      <c r="BI13" s="18" t="str">
        <f ca="1">IF(BH12=0,0,
IF(OR(BH12="",COUNTIF(BH12,"*保育無し*")),"",
IF(MOD(BH13-BH12,1)*24&gt;=8,1,
IF(MOD(BH13-BH12,1)*24&gt;=6,0.75,0))))</f>
        <v/>
      </c>
      <c r="BJ13" s="18" t="str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/>
      </c>
      <c r="BK13" s="18" t="str">
        <f ca="1">IF(BJ12=0,0,
IF(OR(BJ12="",COUNTIF(BJ12,"*保育無し*")),"",
IF(MOD(BJ13-BJ12,1)*24&gt;=8,1,
IF(MOD(BJ13-BJ12,1)*24&gt;=6,0.75,0))))</f>
        <v/>
      </c>
      <c r="BL13" s="18" t="str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/>
      </c>
      <c r="BM13" s="18" t="str">
        <f ca="1">IF(BL12=0,0,
IF(OR(BL12="",COUNTIF(BL12,"*保育無し*")),"",
IF(MOD(BL13-BL12,1)*24&gt;=8,1,
IF(MOD(BL13-BL12,1)*24&gt;=6,0.75,0))))</f>
        <v/>
      </c>
      <c r="BN13" s="18" t="str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/>
      </c>
      <c r="BO13" s="18" t="str">
        <f ca="1">IF(BN12=0,0,
IF(OR(BN12="",COUNTIF(BN12,"*保育無し*")),"",
IF(MOD(BN13-BN12,1)*24&gt;=8,1,
IF(MOD(BN13-BN12,1)*24&gt;=6,0.75,0))))</f>
        <v/>
      </c>
      <c r="BP13" s="18" t="str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/>
      </c>
      <c r="BQ13" s="18" t="str">
        <f ca="1">IF(BP12=0,0,
IF(OR(BP12="",COUNTIF(BP12,"*保育無し*")),"",
IF(MOD(BP13-BP12,1)*24&gt;=8,1,
IF(MOD(BP13-BP12,1)*24&gt;=6,0.75,0))))</f>
        <v/>
      </c>
      <c r="BR13" s="18" t="str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/>
      </c>
      <c r="BS13" s="18" t="str">
        <f ca="1">IF(BR12=0,0,
IF(OR(BR12="",COUNTIF(BR12,"*保育無し*")),"",
IF(MOD(BR13-BR12,1)*24&gt;=8,1,
IF(MOD(BR13-BR12,1)*24&gt;=6,0.75,0))))</f>
        <v/>
      </c>
      <c r="BT13" s="18" t="str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/>
      </c>
      <c r="BU13" s="18" t="str">
        <f ca="1">IF(BT12=0,0,
IF(OR(BT12="",COUNTIF(BT12,"*保育無し*")),"",
IF(MOD(BT13-BT12,1)*24&gt;=8,1,
IF(MOD(BT13-BT12,1)*24&gt;=6,0.75,0))))</f>
        <v/>
      </c>
      <c r="BV13" s="18" t="str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/>
      </c>
      <c r="BW13" s="18" t="str">
        <f ca="1">IF(BV12=0,0,
IF(OR(BV12="",COUNTIF(BV12,"*保育無し*")),"",
IF(MOD(BV13-BV12,1)*24&gt;=8,1,
IF(MOD(BV13-BV12,1)*24&gt;=6,0.75,0))))</f>
        <v/>
      </c>
      <c r="BX13" s="18" t="str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/>
      </c>
      <c r="BY13" s="18" t="str">
        <f ca="1">IF(BX12=0,0,
IF(OR(BX12="",COUNTIF(BX12,"*保育無し*")),"",
IF(MOD(BX13-BX12,1)*24&gt;=8,1,
IF(MOD(BX13-BX12,1)*24&gt;=6,0.75,0))))</f>
        <v/>
      </c>
    </row>
    <row r="14" spans="1:77" ht="19.8" customHeight="1" x14ac:dyDescent="0.2">
      <c r="A14" s="27" t="str">
        <f t="shared" si="3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6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2"/>
        <v/>
      </c>
      <c r="J14" s="20" t="str" cm="1">
        <f t="array" aca="1" ref="J14" ca="1">IF(B14&lt;&gt;"",IFERROR(SUM(INDIRECT("'Page_" &amp; INDEX($A$12:$L$41,MATCH("*"&amp;LEFT(B14,2)&amp;"*",$L$12:$L$41,0),1) &amp; "'!J"&amp;MATCH("有休",INDIRECT("'Page_" &amp; INDEX($A$12:$L$41,MATCH("*"&amp;LEFT(B14,2)&amp;"*",$L$12:$L$41,0),1) &amp; "'!J:J"),0)+2&amp;"")
+INDIRECT("'Page_" &amp; INDEX($A$12:$L$41,MATCH("*"&amp;LEFT(B14,2)&amp;"*",$L$12:$L$41,0),1) &amp; "'!K"&amp;MATCH("特休",INDIRECT("'Page_" &amp; INDEX($A$12:$L$41,MATCH("*"&amp;LEFT(B14,2)&amp;"*",$L$12:$L$41,0),1) &amp; "'!K:K"),0)+2&amp;""))*24,0),"")</f>
        <v/>
      </c>
      <c r="K14" s="37"/>
      <c r="L14" s="67" t="e" cm="1">
        <f t="array" aca="1" ref="L14" ca="1">INDIRECT("'Page_" &amp; A14 &amp; "'!A2")</f>
        <v>#REF!</v>
      </c>
      <c r="M14" s="92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93"/>
      <c r="O14" s="97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aca="1" ref="P14" ca="1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aca="1" ref="Q14" ca="1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6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2"/>
        <v/>
      </c>
      <c r="J15" s="20" t="str" cm="1">
        <f t="array" aca="1" ref="J15" ca="1">IF(B15&lt;&gt;"",IFERROR(SUM(INDIRECT("'Page_" &amp; INDEX($A$12:$L$41,MATCH("*"&amp;LEFT(B15,2)&amp;"*",$L$12:$L$41,0),1) &amp; "'!J"&amp;MATCH("有休",INDIRECT("'Page_" &amp; INDEX($A$12:$L$41,MATCH("*"&amp;LEFT(B15,2)&amp;"*",$L$12:$L$41,0),1) &amp; "'!J:J"),0)+2&amp;"")
+INDIRECT("'Page_" &amp; INDEX($A$12:$L$41,MATCH("*"&amp;LEFT(B15,2)&amp;"*",$L$12:$L$41,0),1) &amp; "'!K"&amp;MATCH("特休",INDIRECT("'Page_" &amp; INDEX($A$12:$L$41,MATCH("*"&amp;LEFT(B15,2)&amp;"*",$L$12:$L$41,0),1) &amp; "'!K:K"),0)+2&amp;""))*24,0),"")</f>
        <v/>
      </c>
      <c r="K15" s="37"/>
      <c r="L15" s="67" t="e" cm="1">
        <f t="array" aca="1" ref="L15" ca="1">INDIRECT("'Page_" &amp; A15 &amp; "'!A2")</f>
        <v>#REF!</v>
      </c>
      <c r="M15" s="94"/>
      <c r="N15" s="95"/>
      <c r="O15" s="98"/>
      <c r="P15" s="18">
        <f t="array" aca="1" ref="P15" ca="1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 ca="1"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3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6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2"/>
        <v/>
      </c>
      <c r="J16" s="20" t="str" cm="1">
        <f t="array" aca="1" ref="J16" ca="1">IF(B16&lt;&gt;"",IFERROR(SUM(INDIRECT("'Page_" &amp; INDEX($A$12:$L$41,MATCH("*"&amp;LEFT(B16,2)&amp;"*",$L$12:$L$41,0),1) &amp; "'!J"&amp;MATCH("有休",INDIRECT("'Page_" &amp; INDEX($A$12:$L$41,MATCH("*"&amp;LEFT(B16,2)&amp;"*",$L$12:$L$41,0),1) &amp; "'!J:J"),0)+2&amp;"")
+INDIRECT("'Page_" &amp; INDEX($A$12:$L$41,MATCH("*"&amp;LEFT(B16,2)&amp;"*",$L$12:$L$41,0),1) &amp; "'!K"&amp;MATCH("特休",INDIRECT("'Page_" &amp; INDEX($A$12:$L$41,MATCH("*"&amp;LEFT(B16,2)&amp;"*",$L$12:$L$41,0),1) &amp; "'!K:K"),0)+2&amp;""))*24,0),"")</f>
        <v/>
      </c>
      <c r="K16" s="37"/>
      <c r="L16" s="67" t="e" cm="1">
        <f t="array" aca="1" ref="L16" ca="1">INDIRECT("'Page_" &amp; A16 &amp; "'!A2")</f>
        <v>#REF!</v>
      </c>
      <c r="M16" s="92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93"/>
      <c r="O16" s="97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aca="1" ref="P16" ca="1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aca="1" ref="Q16" ca="1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6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2"/>
        <v/>
      </c>
      <c r="J17" s="20" t="str" cm="1">
        <f t="array" aca="1" ref="J17" ca="1">IF(B17&lt;&gt;"",IFERROR(SUM(INDIRECT("'Page_" &amp; INDEX($A$12:$L$41,MATCH("*"&amp;LEFT(B17,2)&amp;"*",$L$12:$L$41,0),1) &amp; "'!J"&amp;MATCH("有休",INDIRECT("'Page_" &amp; INDEX($A$12:$L$41,MATCH("*"&amp;LEFT(B17,2)&amp;"*",$L$12:$L$41,0),1) &amp; "'!J:J"),0)+2&amp;"")
+INDIRECT("'Page_" &amp; INDEX($A$12:$L$41,MATCH("*"&amp;LEFT(B17,2)&amp;"*",$L$12:$L$41,0),1) &amp; "'!K"&amp;MATCH("特休",INDIRECT("'Page_" &amp; INDEX($A$12:$L$41,MATCH("*"&amp;LEFT(B17,2)&amp;"*",$L$12:$L$41,0),1) &amp; "'!K:K"),0)+2&amp;""))*24,0),"")</f>
        <v/>
      </c>
      <c r="K17" s="37"/>
      <c r="L17" s="67" t="e" cm="1">
        <f t="array" aca="1" ref="L17" ca="1">INDIRECT("'Page_" &amp; A17 &amp; "'!A2")</f>
        <v>#REF!</v>
      </c>
      <c r="M17" s="94"/>
      <c r="N17" s="95"/>
      <c r="O17" s="98"/>
      <c r="P17" s="18">
        <f t="array" aca="1" ref="P17" ca="1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 ca="1"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3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6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2"/>
        <v/>
      </c>
      <c r="J18" s="20" t="str" cm="1">
        <f t="array" aca="1" ref="J18" ca="1">IF(B18&lt;&gt;"",IFERROR(SUM(INDIRECT("'Page_" &amp; INDEX($A$12:$L$41,MATCH("*"&amp;LEFT(B18,2)&amp;"*",$L$12:$L$41,0),1) &amp; "'!J"&amp;MATCH("有休",INDIRECT("'Page_" &amp; INDEX($A$12:$L$41,MATCH("*"&amp;LEFT(B18,2)&amp;"*",$L$12:$L$41,0),1) &amp; "'!J:J"),0)+2&amp;"")
+INDIRECT("'Page_" &amp; INDEX($A$12:$L$41,MATCH("*"&amp;LEFT(B18,2)&amp;"*",$L$12:$L$41,0),1) &amp; "'!K"&amp;MATCH("特休",INDIRECT("'Page_" &amp; INDEX($A$12:$L$41,MATCH("*"&amp;LEFT(B18,2)&amp;"*",$L$12:$L$41,0),1) &amp; "'!K:K"),0)+2&amp;""))*24,0),"")</f>
        <v/>
      </c>
      <c r="K18" s="37"/>
      <c r="L18" s="67" t="e" cm="1">
        <f t="array" aca="1" ref="L18" ca="1">INDIRECT("'Page_" &amp; A18 &amp; "'!A2")</f>
        <v>#REF!</v>
      </c>
      <c r="M18" s="92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93"/>
      <c r="O18" s="97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aca="1" ref="P18" ca="1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aca="1" ref="Q18" ca="1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6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2"/>
        <v/>
      </c>
      <c r="J19" s="20" t="str" cm="1">
        <f t="array" aca="1" ref="J19" ca="1">IF(B19&lt;&gt;"",IFERROR(SUM(INDIRECT("'Page_" &amp; INDEX($A$12:$L$41,MATCH("*"&amp;LEFT(B19,2)&amp;"*",$L$12:$L$41,0),1) &amp; "'!J"&amp;MATCH("有休",INDIRECT("'Page_" &amp; INDEX($A$12:$L$41,MATCH("*"&amp;LEFT(B19,2)&amp;"*",$L$12:$L$41,0),1) &amp; "'!J:J"),0)+2&amp;"")
+INDIRECT("'Page_" &amp; INDEX($A$12:$L$41,MATCH("*"&amp;LEFT(B19,2)&amp;"*",$L$12:$L$41,0),1) &amp; "'!K"&amp;MATCH("特休",INDIRECT("'Page_" &amp; INDEX($A$12:$L$41,MATCH("*"&amp;LEFT(B19,2)&amp;"*",$L$12:$L$41,0),1) &amp; "'!K:K"),0)+2&amp;""))*24,0),"")</f>
        <v/>
      </c>
      <c r="K19" s="37"/>
      <c r="L19" s="67" t="e" cm="1">
        <f t="array" aca="1" ref="L19" ca="1">INDIRECT("'Page_" &amp; A19 &amp; "'!A2")</f>
        <v>#REF!</v>
      </c>
      <c r="M19" s="94"/>
      <c r="N19" s="95"/>
      <c r="O19" s="98"/>
      <c r="P19" s="18">
        <f t="array" aca="1" ref="P19" ca="1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 ca="1"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3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6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2"/>
        <v/>
      </c>
      <c r="J20" s="20" t="str" cm="1">
        <f t="array" aca="1" ref="J20" ca="1">IF(B20&lt;&gt;"",IFERROR(SUM(INDIRECT("'Page_" &amp; INDEX($A$12:$L$41,MATCH("*"&amp;LEFT(B20,2)&amp;"*",$L$12:$L$41,0),1) &amp; "'!J"&amp;MATCH("有休",INDIRECT("'Page_" &amp; INDEX($A$12:$L$41,MATCH("*"&amp;LEFT(B20,2)&amp;"*",$L$12:$L$41,0),1) &amp; "'!J:J"),0)+2&amp;"")
+INDIRECT("'Page_" &amp; INDEX($A$12:$L$41,MATCH("*"&amp;LEFT(B20,2)&amp;"*",$L$12:$L$41,0),1) &amp; "'!K"&amp;MATCH("特休",INDIRECT("'Page_" &amp; INDEX($A$12:$L$41,MATCH("*"&amp;LEFT(B20,2)&amp;"*",$L$12:$L$41,0),1) &amp; "'!K:K"),0)+2&amp;""))*24,0),"")</f>
        <v/>
      </c>
      <c r="K20" s="37"/>
      <c r="L20" s="67" t="e" cm="1">
        <f t="array" aca="1" ref="L20" ca="1">INDIRECT("'Page_" &amp; A20 &amp; "'!A2")</f>
        <v>#REF!</v>
      </c>
      <c r="M20" s="92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93"/>
      <c r="O20" s="97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aca="1" ref="P20" ca="1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aca="1" ref="Q20" ca="1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6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2"/>
        <v/>
      </c>
      <c r="J21" s="20" t="str" cm="1">
        <f t="array" aca="1" ref="J21" ca="1">IF(B21&lt;&gt;"",IFERROR(SUM(INDIRECT("'Page_" &amp; INDEX($A$12:$L$41,MATCH("*"&amp;LEFT(B21,2)&amp;"*",$L$12:$L$41,0),1) &amp; "'!J"&amp;MATCH("有休",INDIRECT("'Page_" &amp; INDEX($A$12:$L$41,MATCH("*"&amp;LEFT(B21,2)&amp;"*",$L$12:$L$41,0),1) &amp; "'!J:J"),0)+2&amp;"")
+INDIRECT("'Page_" &amp; INDEX($A$12:$L$41,MATCH("*"&amp;LEFT(B21,2)&amp;"*",$L$12:$L$41,0),1) &amp; "'!K"&amp;MATCH("特休",INDIRECT("'Page_" &amp; INDEX($A$12:$L$41,MATCH("*"&amp;LEFT(B21,2)&amp;"*",$L$12:$L$41,0),1) &amp; "'!K:K"),0)+2&amp;""))*24,0),"")</f>
        <v/>
      </c>
      <c r="K21" s="37"/>
      <c r="L21" s="67" t="e" cm="1">
        <f t="array" aca="1" ref="L21" ca="1">INDIRECT("'Page_" &amp; A21 &amp; "'!A2")</f>
        <v>#REF!</v>
      </c>
      <c r="M21" s="94"/>
      <c r="N21" s="95"/>
      <c r="O21" s="98"/>
      <c r="P21" s="18">
        <f t="array" aca="1" ref="P21" ca="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 ca="1"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3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6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2"/>
        <v/>
      </c>
      <c r="J22" s="20" t="str" cm="1">
        <f t="array" aca="1" ref="J22" ca="1">IF(B22&lt;&gt;"",IFERROR(SUM(INDIRECT("'Page_" &amp; INDEX($A$12:$L$41,MATCH("*"&amp;LEFT(B22,2)&amp;"*",$L$12:$L$41,0),1) &amp; "'!J"&amp;MATCH("有休",INDIRECT("'Page_" &amp; INDEX($A$12:$L$41,MATCH("*"&amp;LEFT(B22,2)&amp;"*",$L$12:$L$41,0),1) &amp; "'!J:J"),0)+2&amp;"")
+INDIRECT("'Page_" &amp; INDEX($A$12:$L$41,MATCH("*"&amp;LEFT(B22,2)&amp;"*",$L$12:$L$41,0),1) &amp; "'!K"&amp;MATCH("特休",INDIRECT("'Page_" &amp; INDEX($A$12:$L$41,MATCH("*"&amp;LEFT(B22,2)&amp;"*",$L$12:$L$41,0),1) &amp; "'!K:K"),0)+2&amp;""))*24,0),"")</f>
        <v/>
      </c>
      <c r="K22" s="37"/>
      <c r="L22" s="67" t="e" cm="1">
        <f t="array" aca="1" ref="L22" ca="1">INDIRECT("'Page_" &amp; A22 &amp; "'!A2")</f>
        <v>#REF!</v>
      </c>
      <c r="M22" s="92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93"/>
      <c r="O22" s="97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aca="1" ref="P22" ca="1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aca="1" ref="Q22" ca="1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6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2"/>
        <v/>
      </c>
      <c r="J23" s="20" t="str" cm="1">
        <f t="array" aca="1" ref="J23" ca="1">IF(B23&lt;&gt;"",IFERROR(SUM(INDIRECT("'Page_" &amp; INDEX($A$12:$L$41,MATCH("*"&amp;LEFT(B23,2)&amp;"*",$L$12:$L$41,0),1) &amp; "'!J"&amp;MATCH("有休",INDIRECT("'Page_" &amp; INDEX($A$12:$L$41,MATCH("*"&amp;LEFT(B23,2)&amp;"*",$L$12:$L$41,0),1) &amp; "'!J:J"),0)+2&amp;"")
+INDIRECT("'Page_" &amp; INDEX($A$12:$L$41,MATCH("*"&amp;LEFT(B23,2)&amp;"*",$L$12:$L$41,0),1) &amp; "'!K"&amp;MATCH("特休",INDIRECT("'Page_" &amp; INDEX($A$12:$L$41,MATCH("*"&amp;LEFT(B23,2)&amp;"*",$L$12:$L$41,0),1) &amp; "'!K:K"),0)+2&amp;""))*24,0),"")</f>
        <v/>
      </c>
      <c r="K23" s="37"/>
      <c r="L23" s="67" t="e" cm="1">
        <f t="array" aca="1" ref="L23" ca="1">INDIRECT("'Page_" &amp; A23 &amp; "'!A2")</f>
        <v>#REF!</v>
      </c>
      <c r="M23" s="94"/>
      <c r="N23" s="95"/>
      <c r="O23" s="98"/>
      <c r="P23" s="18">
        <f t="array" aca="1" ref="P23" ca="1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 ca="1"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3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6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2"/>
        <v/>
      </c>
      <c r="J24" s="20" t="str" cm="1">
        <f t="array" aca="1" ref="J24" ca="1">IF(B24&lt;&gt;"",IFERROR(SUM(INDIRECT("'Page_" &amp; INDEX($A$12:$L$41,MATCH("*"&amp;LEFT(B24,2)&amp;"*",$L$12:$L$41,0),1) &amp; "'!J"&amp;MATCH("有休",INDIRECT("'Page_" &amp; INDEX($A$12:$L$41,MATCH("*"&amp;LEFT(B24,2)&amp;"*",$L$12:$L$41,0),1) &amp; "'!J:J"),0)+2&amp;"")
+INDIRECT("'Page_" &amp; INDEX($A$12:$L$41,MATCH("*"&amp;LEFT(B24,2)&amp;"*",$L$12:$L$41,0),1) &amp; "'!K"&amp;MATCH("特休",INDIRECT("'Page_" &amp; INDEX($A$12:$L$41,MATCH("*"&amp;LEFT(B24,2)&amp;"*",$L$12:$L$41,0),1) &amp; "'!K:K"),0)+2&amp;""))*24,0),"")</f>
        <v/>
      </c>
      <c r="K24" s="37"/>
      <c r="L24" s="67" t="e" cm="1">
        <f t="array" aca="1" ref="L24" ca="1">INDIRECT("'Page_" &amp; A24 &amp; "'!A2")</f>
        <v>#REF!</v>
      </c>
      <c r="M24" s="92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93"/>
      <c r="O24" s="97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aca="1" ref="P24" ca="1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aca="1" ref="Q24" ca="1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6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2"/>
        <v/>
      </c>
      <c r="J25" s="20" t="str" cm="1">
        <f t="array" aca="1" ref="J25" ca="1">IF(B25&lt;&gt;"",IFERROR(SUM(INDIRECT("'Page_" &amp; INDEX($A$12:$L$41,MATCH("*"&amp;LEFT(B25,2)&amp;"*",$L$12:$L$41,0),1) &amp; "'!J"&amp;MATCH("有休",INDIRECT("'Page_" &amp; INDEX($A$12:$L$41,MATCH("*"&amp;LEFT(B25,2)&amp;"*",$L$12:$L$41,0),1) &amp; "'!J:J"),0)+2&amp;"")
+INDIRECT("'Page_" &amp; INDEX($A$12:$L$41,MATCH("*"&amp;LEFT(B25,2)&amp;"*",$L$12:$L$41,0),1) &amp; "'!K"&amp;MATCH("特休",INDIRECT("'Page_" &amp; INDEX($A$12:$L$41,MATCH("*"&amp;LEFT(B25,2)&amp;"*",$L$12:$L$41,0),1) &amp; "'!K:K"),0)+2&amp;""))*24,0),"")</f>
        <v/>
      </c>
      <c r="K25" s="37"/>
      <c r="L25" s="67" t="e" cm="1">
        <f t="array" aca="1" ref="L25" ca="1">INDIRECT("'Page_" &amp; A25 &amp; "'!A2")</f>
        <v>#REF!</v>
      </c>
      <c r="M25" s="94"/>
      <c r="N25" s="95"/>
      <c r="O25" s="98"/>
      <c r="P25" s="18">
        <f t="array" aca="1" ref="P25" ca="1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 ca="1"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3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6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2"/>
        <v/>
      </c>
      <c r="J26" s="20" t="str" cm="1">
        <f t="array" aca="1" ref="J26" ca="1">IF(B26&lt;&gt;"",IFERROR(SUM(INDIRECT("'Page_" &amp; INDEX($A$12:$L$41,MATCH("*"&amp;LEFT(B26,2)&amp;"*",$L$12:$L$41,0),1) &amp; "'!J"&amp;MATCH("有休",INDIRECT("'Page_" &amp; INDEX($A$12:$L$41,MATCH("*"&amp;LEFT(B26,2)&amp;"*",$L$12:$L$41,0),1) &amp; "'!J:J"),0)+2&amp;"")
+INDIRECT("'Page_" &amp; INDEX($A$12:$L$41,MATCH("*"&amp;LEFT(B26,2)&amp;"*",$L$12:$L$41,0),1) &amp; "'!K"&amp;MATCH("特休",INDIRECT("'Page_" &amp; INDEX($A$12:$L$41,MATCH("*"&amp;LEFT(B26,2)&amp;"*",$L$12:$L$41,0),1) &amp; "'!K:K"),0)+2&amp;""))*24,0),"")</f>
        <v/>
      </c>
      <c r="K26" s="37"/>
      <c r="L26" s="67" t="e" cm="1">
        <f t="array" aca="1" ref="L26" ca="1">INDIRECT("'Page_" &amp; A26 &amp; "'!A2")</f>
        <v>#REF!</v>
      </c>
      <c r="M26" s="92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93"/>
      <c r="O26" s="97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aca="1" ref="P26" ca="1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aca="1" ref="Q26" ca="1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6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2"/>
        <v/>
      </c>
      <c r="J27" s="20" t="str" cm="1">
        <f t="array" aca="1" ref="J27" ca="1">IF(B27&lt;&gt;"",IFERROR(SUM(INDIRECT("'Page_" &amp; INDEX($A$12:$L$41,MATCH("*"&amp;LEFT(B27,2)&amp;"*",$L$12:$L$41,0),1) &amp; "'!J"&amp;MATCH("有休",INDIRECT("'Page_" &amp; INDEX($A$12:$L$41,MATCH("*"&amp;LEFT(B27,2)&amp;"*",$L$12:$L$41,0),1) &amp; "'!J:J"),0)+2&amp;"")
+INDIRECT("'Page_" &amp; INDEX($A$12:$L$41,MATCH("*"&amp;LEFT(B27,2)&amp;"*",$L$12:$L$41,0),1) &amp; "'!K"&amp;MATCH("特休",INDIRECT("'Page_" &amp; INDEX($A$12:$L$41,MATCH("*"&amp;LEFT(B27,2)&amp;"*",$L$12:$L$41,0),1) &amp; "'!K:K"),0)+2&amp;""))*24,0),"")</f>
        <v/>
      </c>
      <c r="K27" s="37"/>
      <c r="L27" s="67" t="e" cm="1">
        <f t="array" aca="1" ref="L27" ca="1">INDIRECT("'Page_" &amp; A27 &amp; "'!A2")</f>
        <v>#REF!</v>
      </c>
      <c r="M27" s="94"/>
      <c r="N27" s="95"/>
      <c r="O27" s="98"/>
      <c r="P27" s="18">
        <f t="array" aca="1" ref="P27" ca="1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 ca="1"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3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6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2"/>
        <v/>
      </c>
      <c r="J28" s="20" t="str" cm="1">
        <f t="array" aca="1" ref="J28" ca="1">IF(B28&lt;&gt;"",IFERROR(SUM(INDIRECT("'Page_" &amp; INDEX($A$12:$L$41,MATCH("*"&amp;LEFT(B28,2)&amp;"*",$L$12:$L$41,0),1) &amp; "'!J"&amp;MATCH("有休",INDIRECT("'Page_" &amp; INDEX($A$12:$L$41,MATCH("*"&amp;LEFT(B28,2)&amp;"*",$L$12:$L$41,0),1) &amp; "'!J:J"),0)+2&amp;"")
+INDIRECT("'Page_" &amp; INDEX($A$12:$L$41,MATCH("*"&amp;LEFT(B28,2)&amp;"*",$L$12:$L$41,0),1) &amp; "'!K"&amp;MATCH("特休",INDIRECT("'Page_" &amp; INDEX($A$12:$L$41,MATCH("*"&amp;LEFT(B28,2)&amp;"*",$L$12:$L$41,0),1) &amp; "'!K:K"),0)+2&amp;""))*24,0),"")</f>
        <v/>
      </c>
      <c r="K28" s="37"/>
      <c r="L28" s="67" t="e" cm="1">
        <f t="array" aca="1" ref="L28" ca="1">INDIRECT("'Page_" &amp; A28 &amp; "'!A2")</f>
        <v>#REF!</v>
      </c>
      <c r="M28" s="92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93"/>
      <c r="O28" s="97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aca="1" ref="P28" ca="1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aca="1" ref="Q28" ca="1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6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2"/>
        <v/>
      </c>
      <c r="J29" s="20" t="str" cm="1">
        <f t="array" aca="1" ref="J29" ca="1">IF(B29&lt;&gt;"",IFERROR(SUM(INDIRECT("'Page_" &amp; INDEX($A$12:$L$41,MATCH("*"&amp;LEFT(B29,2)&amp;"*",$L$12:$L$41,0),1) &amp; "'!J"&amp;MATCH("有休",INDIRECT("'Page_" &amp; INDEX($A$12:$L$41,MATCH("*"&amp;LEFT(B29,2)&amp;"*",$L$12:$L$41,0),1) &amp; "'!J:J"),0)+2&amp;"")
+INDIRECT("'Page_" &amp; INDEX($A$12:$L$41,MATCH("*"&amp;LEFT(B29,2)&amp;"*",$L$12:$L$41,0),1) &amp; "'!K"&amp;MATCH("特休",INDIRECT("'Page_" &amp; INDEX($A$12:$L$41,MATCH("*"&amp;LEFT(B29,2)&amp;"*",$L$12:$L$41,0),1) &amp; "'!K:K"),0)+2&amp;""))*24,0),"")</f>
        <v/>
      </c>
      <c r="K29" s="37"/>
      <c r="L29" s="67" t="e" cm="1">
        <f t="array" aca="1" ref="L29" ca="1">INDIRECT("'Page_" &amp; A29 &amp; "'!A2")</f>
        <v>#REF!</v>
      </c>
      <c r="M29" s="94"/>
      <c r="N29" s="95"/>
      <c r="O29" s="98"/>
      <c r="P29" s="18">
        <f t="array" aca="1" ref="P29" ca="1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 ca="1"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3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6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2"/>
        <v/>
      </c>
      <c r="J30" s="20" t="str" cm="1">
        <f t="array" aca="1" ref="J30" ca="1">IF(B30&lt;&gt;"",IFERROR(SUM(INDIRECT("'Page_" &amp; INDEX($A$12:$L$41,MATCH("*"&amp;LEFT(B30,2)&amp;"*",$L$12:$L$41,0),1) &amp; "'!J"&amp;MATCH("有休",INDIRECT("'Page_" &amp; INDEX($A$12:$L$41,MATCH("*"&amp;LEFT(B30,2)&amp;"*",$L$12:$L$41,0),1) &amp; "'!J:J"),0)+2&amp;"")
+INDIRECT("'Page_" &amp; INDEX($A$12:$L$41,MATCH("*"&amp;LEFT(B30,2)&amp;"*",$L$12:$L$41,0),1) &amp; "'!K"&amp;MATCH("特休",INDIRECT("'Page_" &amp; INDEX($A$12:$L$41,MATCH("*"&amp;LEFT(B30,2)&amp;"*",$L$12:$L$41,0),1) &amp; "'!K:K"),0)+2&amp;""))*24,0),"")</f>
        <v/>
      </c>
      <c r="K30" s="37"/>
      <c r="L30" s="67" t="e" cm="1">
        <f t="array" aca="1" ref="L30" ca="1">INDIRECT("'Page_" &amp; A30 &amp; "'!A2")</f>
        <v>#REF!</v>
      </c>
      <c r="M30" s="92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93"/>
      <c r="O30" s="97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aca="1" ref="P30" ca="1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aca="1" ref="Q30" ca="1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6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>IF(B31&lt;&gt;"",
INT(IFERROR(VALUE(F31)-IFERROR(VLOOKUP(B31,$M$12:$O$100,3,FALSE),0),"")) &amp; ":" &amp; TEXT((IFERROR(VALUE(F31)-IFERROR(VLOOKUP(B31,$M$12:$O$100,3,FALSE),0),"")-INT(IFERROR(VALUE(F31)-IFERROR(VLOOKUP(B31,$M$12:$O$100,3,FALSE),0),"")))*60,"00"),"")</f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2"/>
        <v/>
      </c>
      <c r="J31" s="20" t="str" cm="1">
        <f t="array" aca="1" ref="J31" ca="1">IF(B31&lt;&gt;"",IFERROR(SUM(INDIRECT("'Page_" &amp; INDEX($A$12:$L$41,MATCH("*"&amp;LEFT(B31,2)&amp;"*",$L$12:$L$41,0),1) &amp; "'!J"&amp;MATCH("有休",INDIRECT("'Page_" &amp; INDEX($A$12:$L$41,MATCH("*"&amp;LEFT(B31,2)&amp;"*",$L$12:$L$41,0),1) &amp; "'!J:J"),0)+2&amp;"")
+INDIRECT("'Page_" &amp; INDEX($A$12:$L$41,MATCH("*"&amp;LEFT(B31,2)&amp;"*",$L$12:$L$41,0),1) &amp; "'!K"&amp;MATCH("特休",INDIRECT("'Page_" &amp; INDEX($A$12:$L$41,MATCH("*"&amp;LEFT(B31,2)&amp;"*",$L$12:$L$41,0),1) &amp; "'!K:K"),0)+2&amp;""))*24,0),"")</f>
        <v/>
      </c>
      <c r="K31" s="37"/>
      <c r="L31" s="67" t="e" cm="1">
        <f t="array" aca="1" ref="L31" ca="1">INDIRECT("'Page_" &amp; A31 &amp; "'!A2")</f>
        <v>#REF!</v>
      </c>
      <c r="M31" s="94"/>
      <c r="N31" s="95"/>
      <c r="O31" s="98"/>
      <c r="P31" s="18">
        <f t="array" aca="1" ref="P31" ca="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 ca="1"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3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6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2"/>
        <v/>
      </c>
      <c r="J32" s="20" t="str" cm="1">
        <f t="array" aca="1" ref="J32" ca="1">IF(B32&lt;&gt;"",IFERROR(SUM(INDIRECT("'Page_" &amp; INDEX($A$12:$L$41,MATCH("*"&amp;LEFT(B32,2)&amp;"*",$L$12:$L$41,0),1) &amp; "'!J"&amp;MATCH("有休",INDIRECT("'Page_" &amp; INDEX($A$12:$L$41,MATCH("*"&amp;LEFT(B32,2)&amp;"*",$L$12:$L$41,0),1) &amp; "'!J:J"),0)+2&amp;"")
+INDIRECT("'Page_" &amp; INDEX($A$12:$L$41,MATCH("*"&amp;LEFT(B32,2)&amp;"*",$L$12:$L$41,0),1) &amp; "'!K"&amp;MATCH("特休",INDIRECT("'Page_" &amp; INDEX($A$12:$L$41,MATCH("*"&amp;LEFT(B32,2)&amp;"*",$L$12:$L$41,0),1) &amp; "'!K:K"),0)+2&amp;""))*24,0),"")</f>
        <v/>
      </c>
      <c r="K32" s="37"/>
      <c r="L32" s="67" t="e" cm="1">
        <f t="array" aca="1" ref="L32" ca="1">INDIRECT("'Page_" &amp; A32 &amp; "'!A2")</f>
        <v>#REF!</v>
      </c>
      <c r="M32" s="92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93"/>
      <c r="O32" s="97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aca="1" ref="P32" ca="1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aca="1" ref="Q32" ca="1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6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2"/>
        <v/>
      </c>
      <c r="J33" s="20" t="str" cm="1">
        <f t="array" aca="1" ref="J33" ca="1">IF(B33&lt;&gt;"",IFERROR(SUM(INDIRECT("'Page_" &amp; INDEX($A$12:$L$41,MATCH("*"&amp;LEFT(B33,2)&amp;"*",$L$12:$L$41,0),1) &amp; "'!J"&amp;MATCH("有休",INDIRECT("'Page_" &amp; INDEX($A$12:$L$41,MATCH("*"&amp;LEFT(B33,2)&amp;"*",$L$12:$L$41,0),1) &amp; "'!J:J"),0)+2&amp;"")
+INDIRECT("'Page_" &amp; INDEX($A$12:$L$41,MATCH("*"&amp;LEFT(B33,2)&amp;"*",$L$12:$L$41,0),1) &amp; "'!K"&amp;MATCH("特休",INDIRECT("'Page_" &amp; INDEX($A$12:$L$41,MATCH("*"&amp;LEFT(B33,2)&amp;"*",$L$12:$L$41,0),1) &amp; "'!K:K"),0)+2&amp;""))*24,0),"")</f>
        <v/>
      </c>
      <c r="K33" s="37"/>
      <c r="L33" s="67" t="e" cm="1">
        <f t="array" aca="1" ref="L33" ca="1">INDIRECT("'Page_" &amp; A33 &amp; "'!A2")</f>
        <v>#REF!</v>
      </c>
      <c r="M33" s="94"/>
      <c r="N33" s="95"/>
      <c r="O33" s="98"/>
      <c r="P33" s="18">
        <f t="array" aca="1" ref="P33" ca="1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 ca="1"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3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6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2"/>
        <v/>
      </c>
      <c r="J34" s="20" t="str" cm="1">
        <f t="array" aca="1" ref="J34" ca="1">IF(B34&lt;&gt;"",IFERROR(SUM(INDIRECT("'Page_" &amp; INDEX($A$12:$L$41,MATCH("*"&amp;LEFT(B34,2)&amp;"*",$L$12:$L$41,0),1) &amp; "'!J"&amp;MATCH("有休",INDIRECT("'Page_" &amp; INDEX($A$12:$L$41,MATCH("*"&amp;LEFT(B34,2)&amp;"*",$L$12:$L$41,0),1) &amp; "'!J:J"),0)+2&amp;"")
+INDIRECT("'Page_" &amp; INDEX($A$12:$L$41,MATCH("*"&amp;LEFT(B34,2)&amp;"*",$L$12:$L$41,0),1) &amp; "'!K"&amp;MATCH("特休",INDIRECT("'Page_" &amp; INDEX($A$12:$L$41,MATCH("*"&amp;LEFT(B34,2)&amp;"*",$L$12:$L$41,0),1) &amp; "'!K:K"),0)+2&amp;""))*24,0),"")</f>
        <v/>
      </c>
      <c r="K34" s="37"/>
      <c r="L34" s="67" t="e" cm="1">
        <f t="array" aca="1" ref="L34" ca="1">INDIRECT("'Page_" &amp; A34 &amp; "'!A2")</f>
        <v>#REF!</v>
      </c>
      <c r="M34" s="92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93"/>
      <c r="O34" s="97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aca="1" ref="P34" ca="1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aca="1" ref="Q34" ca="1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6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2"/>
        <v/>
      </c>
      <c r="J35" s="20" t="str" cm="1">
        <f t="array" aca="1" ref="J35" ca="1">IF(B35&lt;&gt;"",IFERROR(SUM(INDIRECT("'Page_" &amp; INDEX($A$12:$L$41,MATCH("*"&amp;LEFT(B35,2)&amp;"*",$L$12:$L$41,0),1) &amp; "'!J"&amp;MATCH("有休",INDIRECT("'Page_" &amp; INDEX($A$12:$L$41,MATCH("*"&amp;LEFT(B35,2)&amp;"*",$L$12:$L$41,0),1) &amp; "'!J:J"),0)+2&amp;"")
+INDIRECT("'Page_" &amp; INDEX($A$12:$L$41,MATCH("*"&amp;LEFT(B35,2)&amp;"*",$L$12:$L$41,0),1) &amp; "'!K"&amp;MATCH("特休",INDIRECT("'Page_" &amp; INDEX($A$12:$L$41,MATCH("*"&amp;LEFT(B35,2)&amp;"*",$L$12:$L$41,0),1) &amp; "'!K:K"),0)+2&amp;""))*24,0),"")</f>
        <v/>
      </c>
      <c r="K35" s="37"/>
      <c r="L35" s="67" t="e" cm="1">
        <f t="array" aca="1" ref="L35" ca="1">INDIRECT("'Page_" &amp; A35 &amp; "'!A2")</f>
        <v>#REF!</v>
      </c>
      <c r="M35" s="94"/>
      <c r="N35" s="95"/>
      <c r="O35" s="98"/>
      <c r="P35" s="18">
        <f t="array" aca="1" ref="P35" ca="1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 ca="1"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3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6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2"/>
        <v/>
      </c>
      <c r="J36" s="20" t="str" cm="1">
        <f t="array" aca="1" ref="J36" ca="1">IF(B36&lt;&gt;"",IFERROR(SUM(INDIRECT("'Page_" &amp; INDEX($A$12:$L$41,MATCH("*"&amp;LEFT(B36,2)&amp;"*",$L$12:$L$41,0),1) &amp; "'!J"&amp;MATCH("有休",INDIRECT("'Page_" &amp; INDEX($A$12:$L$41,MATCH("*"&amp;LEFT(B36,2)&amp;"*",$L$12:$L$41,0),1) &amp; "'!J:J"),0)+2&amp;"")
+INDIRECT("'Page_" &amp; INDEX($A$12:$L$41,MATCH("*"&amp;LEFT(B36,2)&amp;"*",$L$12:$L$41,0),1) &amp; "'!K"&amp;MATCH("特休",INDIRECT("'Page_" &amp; INDEX($A$12:$L$41,MATCH("*"&amp;LEFT(B36,2)&amp;"*",$L$12:$L$41,0),1) &amp; "'!K:K"),0)+2&amp;""))*24,0),"")</f>
        <v/>
      </c>
      <c r="K36" s="37"/>
      <c r="L36" s="67" t="e" cm="1">
        <f t="array" aca="1" ref="L36" ca="1">INDIRECT("'Page_" &amp; A36 &amp; "'!A2")</f>
        <v>#REF!</v>
      </c>
      <c r="M36" s="92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93"/>
      <c r="O36" s="97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aca="1" ref="P36" ca="1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aca="1" ref="Q36" ca="1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6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2"/>
        <v/>
      </c>
      <c r="J37" s="20" t="str" cm="1">
        <f t="array" aca="1" ref="J37" ca="1">IF(B37&lt;&gt;"",IFERROR(SUM(INDIRECT("'Page_" &amp; INDEX($A$12:$L$41,MATCH("*"&amp;LEFT(B37,2)&amp;"*",$L$12:$L$41,0),1) &amp; "'!J"&amp;MATCH("有休",INDIRECT("'Page_" &amp; INDEX($A$12:$L$41,MATCH("*"&amp;LEFT(B37,2)&amp;"*",$L$12:$L$41,0),1) &amp; "'!J:J"),0)+2&amp;"")
+INDIRECT("'Page_" &amp; INDEX($A$12:$L$41,MATCH("*"&amp;LEFT(B37,2)&amp;"*",$L$12:$L$41,0),1) &amp; "'!K"&amp;MATCH("特休",INDIRECT("'Page_" &amp; INDEX($A$12:$L$41,MATCH("*"&amp;LEFT(B37,2)&amp;"*",$L$12:$L$41,0),1) &amp; "'!K:K"),0)+2&amp;""))*24,0),"")</f>
        <v/>
      </c>
      <c r="K37" s="37"/>
      <c r="L37" s="67" t="e" cm="1">
        <f t="array" aca="1" ref="L37" ca="1">INDIRECT("'Page_" &amp; A37 &amp; "'!A2")</f>
        <v>#REF!</v>
      </c>
      <c r="M37" s="94"/>
      <c r="N37" s="95"/>
      <c r="O37" s="98"/>
      <c r="P37" s="18">
        <f t="array" aca="1" ref="P37" ca="1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 ca="1"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3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6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2"/>
        <v/>
      </c>
      <c r="J38" s="20" t="str" cm="1">
        <f t="array" aca="1" ref="J38" ca="1">IF(B38&lt;&gt;"",IFERROR(SUM(INDIRECT("'Page_" &amp; INDEX($A$12:$L$41,MATCH("*"&amp;LEFT(B38,2)&amp;"*",$L$12:$L$41,0),1) &amp; "'!J"&amp;MATCH("有休",INDIRECT("'Page_" &amp; INDEX($A$12:$L$41,MATCH("*"&amp;LEFT(B38,2)&amp;"*",$L$12:$L$41,0),1) &amp; "'!J:J"),0)+2&amp;"")
+INDIRECT("'Page_" &amp; INDEX($A$12:$L$41,MATCH("*"&amp;LEFT(B38,2)&amp;"*",$L$12:$L$41,0),1) &amp; "'!K"&amp;MATCH("特休",INDIRECT("'Page_" &amp; INDEX($A$12:$L$41,MATCH("*"&amp;LEFT(B38,2)&amp;"*",$L$12:$L$41,0),1) &amp; "'!K:K"),0)+2&amp;""))*24,0),"")</f>
        <v/>
      </c>
      <c r="K38" s="37"/>
      <c r="L38" s="67" t="e" cm="1">
        <f t="array" aca="1" ref="L38" ca="1">INDIRECT("'Page_" &amp; A38 &amp; "'!A2")</f>
        <v>#REF!</v>
      </c>
      <c r="M38" s="92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93"/>
      <c r="O38" s="97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aca="1" ref="P38" ca="1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aca="1" ref="Q38" ca="1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6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2"/>
        <v/>
      </c>
      <c r="J39" s="20" t="str" cm="1">
        <f t="array" aca="1" ref="J39" ca="1">IF(B39&lt;&gt;"",IFERROR(SUM(INDIRECT("'Page_" &amp; INDEX($A$12:$L$41,MATCH("*"&amp;LEFT(B39,2)&amp;"*",$L$12:$L$41,0),1) &amp; "'!J"&amp;MATCH("有休",INDIRECT("'Page_" &amp; INDEX($A$12:$L$41,MATCH("*"&amp;LEFT(B39,2)&amp;"*",$L$12:$L$41,0),1) &amp; "'!J:J"),0)+2&amp;"")
+INDIRECT("'Page_" &amp; INDEX($A$12:$L$41,MATCH("*"&amp;LEFT(B39,2)&amp;"*",$L$12:$L$41,0),1) &amp; "'!K"&amp;MATCH("特休",INDIRECT("'Page_" &amp; INDEX($A$12:$L$41,MATCH("*"&amp;LEFT(B39,2)&amp;"*",$L$12:$L$41,0),1) &amp; "'!K:K"),0)+2&amp;""))*24,0),"")</f>
        <v/>
      </c>
      <c r="K39" s="37"/>
      <c r="L39" s="67" t="e" cm="1">
        <f t="array" aca="1" ref="L39" ca="1">INDIRECT("'Page_" &amp; A39 &amp; "'!A2")</f>
        <v>#REF!</v>
      </c>
      <c r="M39" s="94"/>
      <c r="N39" s="95"/>
      <c r="O39" s="98"/>
      <c r="P39" s="18">
        <f t="array" aca="1" ref="P39" ca="1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 ca="1"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3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6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2"/>
        <v/>
      </c>
      <c r="J40" s="20" t="str" cm="1">
        <f t="array" aca="1" ref="J40" ca="1">IF(B40&lt;&gt;"",IFERROR(SUM(INDIRECT("'Page_" &amp; INDEX($A$12:$L$41,MATCH("*"&amp;LEFT(B40,2)&amp;"*",$L$12:$L$41,0),1) &amp; "'!J"&amp;MATCH("有休",INDIRECT("'Page_" &amp; INDEX($A$12:$L$41,MATCH("*"&amp;LEFT(B40,2)&amp;"*",$L$12:$L$41,0),1) &amp; "'!J:J"),0)+2&amp;"")
+INDIRECT("'Page_" &amp; INDEX($A$12:$L$41,MATCH("*"&amp;LEFT(B40,2)&amp;"*",$L$12:$L$41,0),1) &amp; "'!K"&amp;MATCH("特休",INDIRECT("'Page_" &amp; INDEX($A$12:$L$41,MATCH("*"&amp;LEFT(B40,2)&amp;"*",$L$12:$L$41,0),1) &amp; "'!K:K"),0)+2&amp;""))*24,0),"")</f>
        <v/>
      </c>
      <c r="K40" s="37"/>
      <c r="L40" s="67" t="e" cm="1">
        <f t="array" aca="1" ref="L40" ca="1">INDIRECT("'Page_" &amp; A40 &amp; "'!A2")</f>
        <v>#REF!</v>
      </c>
      <c r="M40" s="92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93"/>
      <c r="O40" s="97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aca="1" ref="P40" ca="1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aca="1" ref="Q40" ca="1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7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2"/>
        <v/>
      </c>
      <c r="J41" s="21" t="str" cm="1">
        <f t="array" aca="1" ref="J41" ca="1">IF(B41&lt;&gt;"",IFERROR(SUM(INDIRECT("'Page_" &amp; INDEX($A$12:$L$41,MATCH("*"&amp;LEFT(B41,2)&amp;"*",$L$12:$L$41,0),1) &amp; "'!J"&amp;MATCH("有休",INDIRECT("'Page_" &amp; INDEX($A$12:$L$41,MATCH("*"&amp;LEFT(B41,2)&amp;"*",$L$12:$L$41,0),1) &amp; "'!J:J"),0)+2&amp;"")
+INDIRECT("'Page_" &amp; INDEX($A$12:$L$41,MATCH("*"&amp;LEFT(B41,2)&amp;"*",$L$12:$L$41,0),1) &amp; "'!K"&amp;MATCH("特休",INDIRECT("'Page_" &amp; INDEX($A$12:$L$41,MATCH("*"&amp;LEFT(B41,2)&amp;"*",$L$12:$L$41,0),1) &amp; "'!K:K"),0)+2&amp;""))*24,0),"")</f>
        <v/>
      </c>
      <c r="K41" s="38"/>
      <c r="L41" s="67" t="e" cm="1">
        <f t="array" aca="1" ref="L41" ca="1">INDIRECT("'Page_" &amp; A41 &amp; "'!A2")</f>
        <v>#REF!</v>
      </c>
      <c r="M41" s="94"/>
      <c r="N41" s="95"/>
      <c r="O41" s="98"/>
      <c r="P41" s="18">
        <f t="array" aca="1" ref="P41" ca="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 ca="1"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92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93"/>
      <c r="O42" s="97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aca="1" ref="P42" ca="1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aca="1" ref="Q42" ca="1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94"/>
      <c r="N43" s="95"/>
      <c r="O43" s="98"/>
      <c r="P43" s="18">
        <f t="array" aca="1" ref="P43" ca="1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 ca="1"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92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93"/>
      <c r="O44" s="97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aca="1" ref="P44" ca="1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aca="1" ref="Q44" ca="1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94"/>
      <c r="N45" s="95"/>
      <c r="O45" s="98"/>
      <c r="P45" s="18">
        <f t="array" aca="1" ref="P45" ca="1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 ca="1"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92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93"/>
      <c r="O46" s="97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aca="1" ref="P46" ca="1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aca="1" ref="Q46" ca="1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94"/>
      <c r="N47" s="95"/>
      <c r="O47" s="98"/>
      <c r="P47" s="18">
        <f t="array" aca="1" ref="P47" ca="1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 ca="1"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92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93"/>
      <c r="O48" s="97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aca="1" ref="P48" ca="1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aca="1" ref="Q48" ca="1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94"/>
      <c r="N49" s="95"/>
      <c r="O49" s="98"/>
      <c r="P49" s="18">
        <f t="array" aca="1" ref="P49" ca="1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 ca="1"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92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93"/>
      <c r="O50" s="97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aca="1" ref="P50" ca="1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aca="1" ref="Q50" ca="1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94"/>
      <c r="N51" s="95"/>
      <c r="O51" s="98"/>
      <c r="P51" s="18">
        <f t="array" aca="1" ref="P51" ca="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 ca="1"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92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93"/>
      <c r="O52" s="97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aca="1" ref="P52" ca="1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aca="1" ref="Q52" ca="1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94"/>
      <c r="N53" s="95"/>
      <c r="O53" s="98"/>
      <c r="P53" s="18">
        <f t="array" aca="1" ref="P53" ca="1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 ca="1"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92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93"/>
      <c r="O54" s="97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aca="1" ref="P54" ca="1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aca="1" ref="Q54" ca="1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94"/>
      <c r="N55" s="95"/>
      <c r="O55" s="98"/>
      <c r="P55" s="18">
        <f t="array" aca="1" ref="P55" ca="1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 ca="1"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92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93"/>
      <c r="O56" s="97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aca="1" ref="P56" ca="1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aca="1" ref="Q56" ca="1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94"/>
      <c r="N57" s="95"/>
      <c r="O57" s="98"/>
      <c r="P57" s="18">
        <f t="array" aca="1" ref="P57" ca="1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 ca="1"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92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93"/>
      <c r="O58" s="97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aca="1" ref="P58" ca="1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aca="1" ref="Q58" ca="1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94"/>
      <c r="N59" s="95"/>
      <c r="O59" s="98"/>
      <c r="P59" s="18">
        <f t="array" aca="1" ref="P59" ca="1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 ca="1"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92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93"/>
      <c r="O60" s="97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aca="1" ref="P60" ca="1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aca="1" ref="Q60" ca="1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94"/>
      <c r="N61" s="95"/>
      <c r="O61" s="98"/>
      <c r="P61" s="18">
        <f t="array" aca="1" ref="P61" ca="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 ca="1"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92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93"/>
      <c r="O62" s="97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aca="1" ref="P62" ca="1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aca="1" ref="Q62" ca="1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94"/>
      <c r="N63" s="95"/>
      <c r="O63" s="98"/>
      <c r="P63" s="18">
        <f t="array" aca="1" ref="P63" ca="1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 ca="1"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92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93"/>
      <c r="O64" s="97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aca="1" ref="P64" ca="1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aca="1" ref="Q64" ca="1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94"/>
      <c r="N65" s="95"/>
      <c r="O65" s="98"/>
      <c r="P65" s="18">
        <f t="array" aca="1" ref="P65" ca="1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 ca="1"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92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93"/>
      <c r="O66" s="97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aca="1" ref="P66" ca="1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aca="1" ref="Q66" ca="1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94"/>
      <c r="N67" s="95"/>
      <c r="O67" s="98"/>
      <c r="P67" s="18">
        <f t="array" aca="1" ref="P67" ca="1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 ca="1"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92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93"/>
      <c r="O68" s="97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aca="1" ref="P68" ca="1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aca="1" ref="Q68" ca="1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94"/>
      <c r="N69" s="95"/>
      <c r="O69" s="98"/>
      <c r="P69" s="18">
        <f t="array" aca="1" ref="P69" ca="1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 ca="1"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92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93"/>
      <c r="O70" s="97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aca="1" ref="P70" ca="1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aca="1" ref="Q70" ca="1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94"/>
      <c r="N71" s="95"/>
      <c r="O71" s="98"/>
      <c r="P71" s="18">
        <f t="array" aca="1" ref="P71" ca="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 ca="1"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M62:N63"/>
    <mergeCell ref="M64:N65"/>
    <mergeCell ref="M66:N67"/>
    <mergeCell ref="M68:N69"/>
    <mergeCell ref="M70:N71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2025-05-29T07:59:04Z</dcterms:modified>
</cp:coreProperties>
</file>