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82FF4FD7-81F4-4112-98F5-D8F150252138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シフト一覧（転載）" sheetId="1" r:id="rId1"/>
    <sheet name="提出用" sheetId="19" r:id="rId2"/>
    <sheet name="まとめ" sheetId="2" r:id="rId3"/>
    <sheet name="通常保育" sheetId="3" r:id="rId4"/>
    <sheet name="病児・一時" sheetId="4" r:id="rId5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提出用!$A$1:$J$44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9" l="1"/>
  <c r="I23" i="4"/>
  <c r="G23" i="4"/>
  <c r="E23" i="4"/>
  <c r="F23" i="4" s="1"/>
  <c r="D23" i="4"/>
  <c r="C23" i="4"/>
  <c r="B23" i="4"/>
  <c r="A23" i="4"/>
  <c r="I22" i="4"/>
  <c r="G22" i="4"/>
  <c r="E22" i="4"/>
  <c r="F22" i="4" s="1"/>
  <c r="D22" i="4"/>
  <c r="C22" i="4"/>
  <c r="B22" i="4"/>
  <c r="A22" i="4"/>
  <c r="I21" i="4"/>
  <c r="G21" i="4"/>
  <c r="E21" i="4"/>
  <c r="F21" i="4" s="1"/>
  <c r="D21" i="4"/>
  <c r="C21" i="4"/>
  <c r="B21" i="4"/>
  <c r="A21" i="4"/>
  <c r="I20" i="4"/>
  <c r="G20" i="4"/>
  <c r="E20" i="4"/>
  <c r="F20" i="4" s="1"/>
  <c r="D20" i="4"/>
  <c r="C20" i="4"/>
  <c r="B20" i="4"/>
  <c r="A20" i="4"/>
  <c r="I19" i="4"/>
  <c r="G19" i="4"/>
  <c r="E19" i="4"/>
  <c r="F19" i="4" s="1"/>
  <c r="D19" i="4"/>
  <c r="C19" i="4"/>
  <c r="B19" i="4"/>
  <c r="A19" i="4"/>
  <c r="I18" i="4"/>
  <c r="G18" i="4"/>
  <c r="E18" i="4"/>
  <c r="F18" i="4" s="1"/>
  <c r="D18" i="4"/>
  <c r="C18" i="4"/>
  <c r="B18" i="4"/>
  <c r="A18" i="4"/>
  <c r="I17" i="4"/>
  <c r="G17" i="4"/>
  <c r="E17" i="4"/>
  <c r="F17" i="4" s="1"/>
  <c r="J17" i="4" s="1"/>
  <c r="D17" i="4"/>
  <c r="C17" i="4"/>
  <c r="B17" i="4"/>
  <c r="A17" i="4"/>
  <c r="D5" i="4"/>
  <c r="C5" i="4"/>
  <c r="D4" i="4"/>
  <c r="L23" i="3"/>
  <c r="K23" i="3"/>
  <c r="I23" i="3"/>
  <c r="H23" i="3"/>
  <c r="F23" i="3"/>
  <c r="G23" i="3" s="1"/>
  <c r="E23" i="3"/>
  <c r="D23" i="3"/>
  <c r="C23" i="3"/>
  <c r="B23" i="3"/>
  <c r="A23" i="3"/>
  <c r="L22" i="3"/>
  <c r="K22" i="3"/>
  <c r="I22" i="3"/>
  <c r="H22" i="3"/>
  <c r="F22" i="3"/>
  <c r="G22" i="3" s="1"/>
  <c r="E22" i="3"/>
  <c r="D22" i="3"/>
  <c r="C22" i="3"/>
  <c r="B22" i="3"/>
  <c r="A22" i="3"/>
  <c r="L21" i="3"/>
  <c r="K21" i="3"/>
  <c r="I21" i="3"/>
  <c r="H21" i="3"/>
  <c r="F21" i="3"/>
  <c r="G21" i="3" s="1"/>
  <c r="E21" i="3"/>
  <c r="D21" i="3"/>
  <c r="C21" i="3"/>
  <c r="B21" i="3"/>
  <c r="A21" i="3"/>
  <c r="L20" i="3"/>
  <c r="K20" i="3"/>
  <c r="D31" i="19" s="1"/>
  <c r="I20" i="3"/>
  <c r="H20" i="3"/>
  <c r="F20" i="3"/>
  <c r="G20" i="3" s="1"/>
  <c r="E20" i="3"/>
  <c r="D20" i="3"/>
  <c r="C20" i="3"/>
  <c r="B20" i="3"/>
  <c r="A20" i="3"/>
  <c r="C5" i="3"/>
  <c r="F5" i="2"/>
  <c r="D5" i="2"/>
  <c r="B5" i="2"/>
  <c r="C1" i="2"/>
  <c r="B1" i="2"/>
  <c r="B9" i="2" a="1"/>
  <c r="J18" i="4" l="1"/>
  <c r="J4" i="2"/>
  <c r="J6" i="2" s="1"/>
  <c r="C9" i="2" s="1"/>
  <c r="B5" i="3" s="1"/>
  <c r="J22" i="4"/>
  <c r="J20" i="4"/>
  <c r="J19" i="4"/>
  <c r="B9" i="2"/>
  <c r="A12" i="2" s="1"/>
  <c r="A13" i="2" s="1"/>
  <c r="J23" i="4"/>
  <c r="J21" i="4"/>
  <c r="B2" i="3"/>
  <c r="B2" i="4"/>
  <c r="H12" i="2" a="1"/>
  <c r="J12" i="2" a="1"/>
  <c r="B12" i="2" a="1"/>
  <c r="I12" i="2" a="1"/>
  <c r="D12" i="2"/>
  <c r="B5" i="4" l="1"/>
  <c r="E12" i="2"/>
  <c r="I12" i="2"/>
  <c r="B12" i="2"/>
  <c r="C12" i="2" s="1"/>
  <c r="J12" i="2"/>
  <c r="H12" i="2"/>
  <c r="A14" i="2"/>
  <c r="B13" i="2" a="1"/>
  <c r="J13" i="2" a="1"/>
  <c r="H13" i="2" a="1"/>
  <c r="I13" i="2" a="1"/>
  <c r="D13" i="2"/>
  <c r="E13" i="2" l="1"/>
  <c r="I13" i="2"/>
  <c r="H13" i="2"/>
  <c r="J13" i="2"/>
  <c r="B13" i="2"/>
  <c r="C13" i="2" s="1"/>
  <c r="F12" i="2" a="1"/>
  <c r="F12" i="2" s="1"/>
  <c r="A15" i="2"/>
  <c r="B14" i="2" a="1"/>
  <c r="I14" i="2" a="1"/>
  <c r="D14" i="2"/>
  <c r="J14" i="2" a="1"/>
  <c r="H14" i="2" a="1"/>
  <c r="H14" i="2" l="1"/>
  <c r="J14" i="2"/>
  <c r="E14" i="2"/>
  <c r="I14" i="2"/>
  <c r="B14" i="2"/>
  <c r="C14" i="2" s="1"/>
  <c r="A16" i="2"/>
  <c r="F13" i="2" a="1"/>
  <c r="F13" i="2" s="1"/>
  <c r="B15" i="2" a="1"/>
  <c r="I15" i="2" a="1"/>
  <c r="D15" i="2"/>
  <c r="J15" i="2" a="1"/>
  <c r="H15" i="2" a="1"/>
  <c r="H15" i="2" l="1"/>
  <c r="J15" i="2"/>
  <c r="E15" i="2"/>
  <c r="I15" i="2"/>
  <c r="B15" i="2"/>
  <c r="C15" i="2" s="1"/>
  <c r="A17" i="2"/>
  <c r="F14" i="2" a="1"/>
  <c r="F14" i="2" s="1"/>
  <c r="J16" i="2" a="1"/>
  <c r="H16" i="2" a="1"/>
  <c r="B16" i="2" a="1"/>
  <c r="I16" i="2" a="1"/>
  <c r="D16" i="2"/>
  <c r="E16" i="2" l="1"/>
  <c r="I16" i="2"/>
  <c r="B16" i="2"/>
  <c r="C16" i="2" s="1"/>
  <c r="H16" i="2"/>
  <c r="J16" i="2"/>
  <c r="A18" i="2"/>
  <c r="F15" i="2" a="1"/>
  <c r="F15" i="2" s="1"/>
  <c r="D17" i="2"/>
  <c r="I17" i="2" a="1"/>
  <c r="J17" i="2" a="1"/>
  <c r="H17" i="2" a="1"/>
  <c r="B17" i="2" a="1"/>
  <c r="B17" i="2" l="1"/>
  <c r="C17" i="2" s="1"/>
  <c r="H17" i="2"/>
  <c r="J17" i="2"/>
  <c r="I17" i="2"/>
  <c r="E17" i="2"/>
  <c r="F16" i="2" a="1"/>
  <c r="F16" i="2" s="1"/>
  <c r="A19" i="2"/>
  <c r="D18" i="2"/>
  <c r="H18" i="2" a="1"/>
  <c r="B18" i="2" a="1"/>
  <c r="J18" i="2" a="1"/>
  <c r="I18" i="2" a="1"/>
  <c r="I18" i="2" l="1"/>
  <c r="J18" i="2"/>
  <c r="B18" i="2"/>
  <c r="C18" i="2" s="1"/>
  <c r="H18" i="2"/>
  <c r="E18" i="2"/>
  <c r="F17" i="2" a="1"/>
  <c r="F17" i="2" s="1"/>
  <c r="A20" i="2"/>
  <c r="H19" i="2" a="1"/>
  <c r="B19" i="2" a="1"/>
  <c r="D19" i="2"/>
  <c r="J19" i="2" a="1"/>
  <c r="I19" i="2" a="1"/>
  <c r="I19" i="2" l="1"/>
  <c r="J19" i="2"/>
  <c r="E19" i="2"/>
  <c r="B19" i="2"/>
  <c r="C19" i="2" s="1"/>
  <c r="H19" i="2"/>
  <c r="A21" i="2"/>
  <c r="F18" i="2" a="1"/>
  <c r="F18" i="2" s="1"/>
  <c r="B20" i="2" a="1"/>
  <c r="D20" i="2"/>
  <c r="J20" i="2" a="1"/>
  <c r="I20" i="2" a="1"/>
  <c r="H20" i="2" a="1"/>
  <c r="H20" i="2" l="1"/>
  <c r="I20" i="2"/>
  <c r="J20" i="2"/>
  <c r="E20" i="2"/>
  <c r="B20" i="2"/>
  <c r="C20" i="2" s="1"/>
  <c r="A22" i="2"/>
  <c r="F19" i="2" a="1"/>
  <c r="F19" i="2" s="1"/>
  <c r="I21" i="2" a="1"/>
  <c r="B21" i="2" a="1"/>
  <c r="J21" i="2" a="1"/>
  <c r="D21" i="2"/>
  <c r="H21" i="2" a="1"/>
  <c r="H21" i="2" l="1"/>
  <c r="E21" i="2"/>
  <c r="J21" i="2"/>
  <c r="B21" i="2"/>
  <c r="C21" i="2" s="1"/>
  <c r="I21" i="2"/>
  <c r="A23" i="2"/>
  <c r="F20" i="2" a="1"/>
  <c r="F20" i="2" s="1"/>
  <c r="H22" i="2" a="1"/>
  <c r="D22" i="2"/>
  <c r="J22" i="2" a="1"/>
  <c r="I22" i="2" a="1"/>
  <c r="B22" i="2" a="1"/>
  <c r="B22" i="2" l="1"/>
  <c r="C22" i="2" s="1"/>
  <c r="I22" i="2"/>
  <c r="J22" i="2"/>
  <c r="E22" i="2"/>
  <c r="H22" i="2"/>
  <c r="F21" i="2" a="1"/>
  <c r="F21" i="2" s="1"/>
  <c r="A24" i="2"/>
  <c r="B23" i="2" a="1"/>
  <c r="I23" i="2" a="1"/>
  <c r="H23" i="2" a="1"/>
  <c r="J23" i="2" a="1"/>
  <c r="D23" i="2"/>
  <c r="E23" i="2" l="1"/>
  <c r="J23" i="2"/>
  <c r="H23" i="2"/>
  <c r="I23" i="2"/>
  <c r="B23" i="2"/>
  <c r="C23" i="2" s="1"/>
  <c r="A25" i="2"/>
  <c r="A26" i="2" s="1"/>
  <c r="F22" i="2" a="1"/>
  <c r="F22" i="2" s="1"/>
  <c r="D24" i="2"/>
  <c r="I24" i="2" a="1"/>
  <c r="H24" i="2" a="1"/>
  <c r="B24" i="2" a="1"/>
  <c r="J24" i="2" a="1"/>
  <c r="J24" i="2" l="1"/>
  <c r="B24" i="2"/>
  <c r="C24" i="2" s="1"/>
  <c r="H24" i="2"/>
  <c r="I24" i="2"/>
  <c r="E24" i="2"/>
  <c r="F23" i="2" a="1"/>
  <c r="F23" i="2" s="1"/>
  <c r="I25" i="2" a="1"/>
  <c r="J25" i="2" a="1"/>
  <c r="H25" i="2" a="1"/>
  <c r="B25" i="2" a="1"/>
  <c r="D25" i="2"/>
  <c r="E25" i="2" l="1"/>
  <c r="B25" i="2"/>
  <c r="C25" i="2" s="1"/>
  <c r="H25" i="2"/>
  <c r="J25" i="2"/>
  <c r="I25" i="2"/>
  <c r="A27" i="2"/>
  <c r="F24" i="2" a="1"/>
  <c r="F24" i="2" s="1"/>
  <c r="I26" i="2" a="1"/>
  <c r="J26" i="2" a="1"/>
  <c r="H26" i="2" a="1"/>
  <c r="B26" i="2" a="1"/>
  <c r="D26" i="2"/>
  <c r="E26" i="2" l="1"/>
  <c r="B26" i="2"/>
  <c r="C26" i="2" s="1"/>
  <c r="H26" i="2"/>
  <c r="J26" i="2"/>
  <c r="I26" i="2"/>
  <c r="F25" i="2" a="1"/>
  <c r="F25" i="2" s="1"/>
  <c r="J27" i="2" a="1"/>
  <c r="I27" i="2" a="1"/>
  <c r="H27" i="2" a="1"/>
  <c r="B27" i="2" a="1"/>
  <c r="D27" i="2"/>
  <c r="E27" i="2" l="1"/>
  <c r="B27" i="2"/>
  <c r="C27" i="2" s="1"/>
  <c r="J8" i="3" s="1" a="1"/>
  <c r="H27" i="2"/>
  <c r="I27" i="2"/>
  <c r="J27" i="2"/>
  <c r="F26" i="2" a="1"/>
  <c r="F26" i="2" s="1"/>
  <c r="F27" i="2" l="1" a="1"/>
  <c r="F27" i="2" s="1"/>
  <c r="J18" i="3"/>
  <c r="J10" i="3"/>
  <c r="C21" i="19" s="1"/>
  <c r="J15" i="3"/>
  <c r="C26" i="19" s="1"/>
  <c r="J8" i="3"/>
  <c r="C19" i="19" s="1"/>
  <c r="J19" i="3"/>
  <c r="J11" i="3"/>
  <c r="C22" i="19" s="1"/>
  <c r="J14" i="3"/>
  <c r="C25" i="19" s="1"/>
  <c r="J9" i="3"/>
  <c r="C20" i="19" s="1"/>
  <c r="J17" i="3"/>
  <c r="C28" i="19" s="1"/>
  <c r="J16" i="3"/>
  <c r="C27" i="19" s="1"/>
  <c r="J13" i="3"/>
  <c r="C24" i="19" s="1"/>
  <c r="J12" i="3"/>
  <c r="C23" i="19" s="1"/>
  <c r="D19" i="3" l="1"/>
  <c r="H19" i="3"/>
  <c r="L19" i="3"/>
  <c r="F19" i="3"/>
  <c r="B19" i="3"/>
  <c r="A19" i="3"/>
  <c r="C19" i="3"/>
  <c r="K19" i="3"/>
  <c r="B8" i="3"/>
  <c r="F8" i="3"/>
  <c r="D8" i="3"/>
  <c r="H8" i="3"/>
  <c r="A8" i="3"/>
  <c r="A9" i="3" s="1"/>
  <c r="A10" i="3" s="1"/>
  <c r="A11" i="3" s="1"/>
  <c r="A12" i="3" s="1"/>
  <c r="A13" i="3" s="1"/>
  <c r="A14" i="3" s="1"/>
  <c r="A15" i="3" s="1"/>
  <c r="A16" i="3" s="1"/>
  <c r="A17" i="3" s="1"/>
  <c r="L8" i="3"/>
  <c r="K8" i="3"/>
  <c r="D19" i="19" s="1"/>
  <c r="E19" i="19" s="1" a="1"/>
  <c r="E19" i="19" s="1"/>
  <c r="L15" i="3"/>
  <c r="H15" i="3"/>
  <c r="D15" i="3"/>
  <c r="F15" i="3"/>
  <c r="B15" i="3"/>
  <c r="K15" i="3"/>
  <c r="D26" i="19" s="1"/>
  <c r="K10" i="3"/>
  <c r="D21" i="19" s="1"/>
  <c r="B10" i="3"/>
  <c r="L10" i="3"/>
  <c r="H10" i="3"/>
  <c r="D10" i="3"/>
  <c r="F10" i="3"/>
  <c r="K17" i="3"/>
  <c r="D28" i="19" s="1"/>
  <c r="G28" i="19" s="1" a="1"/>
  <c r="G28" i="19" s="1"/>
  <c r="B17" i="3"/>
  <c r="F17" i="3"/>
  <c r="H17" i="3"/>
  <c r="L17" i="3"/>
  <c r="D17" i="3"/>
  <c r="K18" i="3"/>
  <c r="B18" i="3"/>
  <c r="L18" i="3"/>
  <c r="C18" i="3"/>
  <c r="F18" i="3"/>
  <c r="D18" i="3"/>
  <c r="A18" i="3"/>
  <c r="H18" i="3"/>
  <c r="F14" i="3"/>
  <c r="L14" i="3"/>
  <c r="B14" i="3"/>
  <c r="K14" i="3"/>
  <c r="D25" i="19" s="1"/>
  <c r="D14" i="3"/>
  <c r="H14" i="3"/>
  <c r="D11" i="3"/>
  <c r="H11" i="3"/>
  <c r="K11" i="3"/>
  <c r="D22" i="19" s="1"/>
  <c r="E22" i="19" s="1" a="1"/>
  <c r="E22" i="19" s="1"/>
  <c r="L11" i="3"/>
  <c r="F11" i="3"/>
  <c r="B11" i="3"/>
  <c r="D12" i="3"/>
  <c r="L12" i="3"/>
  <c r="B12" i="3"/>
  <c r="K12" i="3"/>
  <c r="D23" i="19" s="1"/>
  <c r="E23" i="19" s="1" a="1"/>
  <c r="E23" i="19" s="1"/>
  <c r="H12" i="3"/>
  <c r="F12" i="3"/>
  <c r="F13" i="3"/>
  <c r="K13" i="3"/>
  <c r="D24" i="19" s="1"/>
  <c r="E24" i="19" s="1" a="1"/>
  <c r="E24" i="19" s="1"/>
  <c r="B13" i="3"/>
  <c r="H13" i="3"/>
  <c r="D13" i="3"/>
  <c r="L13" i="3"/>
  <c r="H16" i="3"/>
  <c r="F16" i="3"/>
  <c r="B16" i="3"/>
  <c r="K16" i="3"/>
  <c r="D27" i="19" s="1"/>
  <c r="E27" i="19" s="1" a="1"/>
  <c r="E27" i="19" s="1"/>
  <c r="L16" i="3"/>
  <c r="D16" i="3"/>
  <c r="K9" i="3"/>
  <c r="D20" i="19" s="1"/>
  <c r="G20" i="19" s="1" a="1"/>
  <c r="G20" i="19" s="1"/>
  <c r="B9" i="3"/>
  <c r="F9" i="3"/>
  <c r="H9" i="3"/>
  <c r="L9" i="3"/>
  <c r="D9" i="3"/>
  <c r="M34" i="2" a="1"/>
  <c r="M34" i="2" s="1"/>
  <c r="M16" i="2" a="1"/>
  <c r="M16" i="2" s="1"/>
  <c r="M24" i="2" a="1"/>
  <c r="M24" i="2" s="1"/>
  <c r="M26" i="2" a="1"/>
  <c r="M26" i="2" s="1"/>
  <c r="M32" i="2" a="1"/>
  <c r="M32" i="2" s="1"/>
  <c r="M14" i="2" a="1"/>
  <c r="M14" i="2" s="1"/>
  <c r="M28" i="2" a="1"/>
  <c r="M28" i="2" s="1"/>
  <c r="M12" i="2" a="1"/>
  <c r="M12" i="2" s="1"/>
  <c r="M18" i="2" a="1"/>
  <c r="M18" i="2" s="1"/>
  <c r="M22" i="2" a="1"/>
  <c r="M22" i="2" s="1"/>
  <c r="M20" i="2" a="1"/>
  <c r="M20" i="2" s="1"/>
  <c r="M36" i="2" a="1"/>
  <c r="M36" i="2" s="1"/>
  <c r="M38" i="2" a="1"/>
  <c r="M38" i="2" s="1"/>
  <c r="M30" i="2" a="1"/>
  <c r="M30" i="2" s="1"/>
  <c r="M40" i="2" a="1"/>
  <c r="M40" i="2" s="1"/>
  <c r="E21" i="19" l="1" a="1"/>
  <c r="E21" i="19" s="1"/>
  <c r="G23" i="19" a="1"/>
  <c r="G23" i="19" s="1"/>
  <c r="G27" i="19" a="1"/>
  <c r="G27" i="19" s="1"/>
  <c r="G21" i="19" a="1"/>
  <c r="G21" i="19" s="1"/>
  <c r="E25" i="19" a="1"/>
  <c r="E25" i="19" s="1"/>
  <c r="G24" i="19" a="1"/>
  <c r="G24" i="19" s="1"/>
  <c r="G25" i="19" a="1"/>
  <c r="G25" i="19" s="1"/>
  <c r="G26" i="19" a="1"/>
  <c r="G26" i="19" s="1"/>
  <c r="E28" i="19" a="1"/>
  <c r="E28" i="19" s="1"/>
  <c r="E26" i="19" a="1"/>
  <c r="E26" i="19" s="1"/>
  <c r="G22" i="19" a="1"/>
  <c r="G22" i="19" s="1"/>
  <c r="E20" i="19" a="1"/>
  <c r="E20" i="19" s="1"/>
  <c r="G19" i="19" a="1"/>
  <c r="G19" i="19" s="1"/>
  <c r="P40" i="2" a="1"/>
  <c r="P40" i="2" s="1"/>
  <c r="P41" i="2" a="1"/>
  <c r="P41" i="2" s="1"/>
  <c r="N40" i="2"/>
  <c r="P22" i="2" a="1"/>
  <c r="P22" i="2" s="1"/>
  <c r="P23" i="2" a="1"/>
  <c r="P23" i="2" s="1"/>
  <c r="N22" i="2"/>
  <c r="H8" i="4" a="1"/>
  <c r="P13" i="2" a="1"/>
  <c r="P13" i="2" s="1"/>
  <c r="P12" i="2" a="1"/>
  <c r="P12" i="2" s="1"/>
  <c r="N12" i="2"/>
  <c r="G13" i="2"/>
  <c r="G14" i="2"/>
  <c r="G16" i="2"/>
  <c r="G21" i="2"/>
  <c r="G25" i="2"/>
  <c r="G26" i="2"/>
  <c r="G27" i="2"/>
  <c r="P15" i="2" a="1"/>
  <c r="P15" i="2" s="1"/>
  <c r="N14" i="2"/>
  <c r="P14" i="2" a="1"/>
  <c r="P14" i="2" s="1"/>
  <c r="P30" i="2" a="1"/>
  <c r="P30" i="2" s="1"/>
  <c r="P31" i="2" a="1"/>
  <c r="P31" i="2" s="1"/>
  <c r="N30" i="2"/>
  <c r="P39" i="2" a="1"/>
  <c r="P39" i="2" s="1"/>
  <c r="N38" i="2"/>
  <c r="P38" i="2" a="1"/>
  <c r="P38" i="2" s="1"/>
  <c r="P32" i="2" a="1"/>
  <c r="P32" i="2" s="1"/>
  <c r="P33" i="2" a="1"/>
  <c r="P33" i="2" s="1"/>
  <c r="N32" i="2"/>
  <c r="P37" i="2" a="1"/>
  <c r="P37" i="2" s="1"/>
  <c r="N36" i="2"/>
  <c r="P36" i="2" a="1"/>
  <c r="P36" i="2" s="1"/>
  <c r="N20" i="2"/>
  <c r="P21" i="2" a="1"/>
  <c r="P21" i="2" s="1"/>
  <c r="P20" i="2" a="1"/>
  <c r="P20" i="2" s="1"/>
  <c r="N24" i="2"/>
  <c r="P25" i="2" a="1"/>
  <c r="P25" i="2" s="1"/>
  <c r="P24" i="2" a="1"/>
  <c r="P24" i="2" s="1"/>
  <c r="P26" i="2" a="1"/>
  <c r="P26" i="2" s="1"/>
  <c r="P27" i="2" a="1"/>
  <c r="P27" i="2" s="1"/>
  <c r="N26" i="2"/>
  <c r="P17" i="2" a="1"/>
  <c r="P17" i="2" s="1"/>
  <c r="P16" i="2" a="1"/>
  <c r="P16" i="2" s="1"/>
  <c r="N16" i="2"/>
  <c r="P28" i="2" a="1"/>
  <c r="P28" i="2" s="1"/>
  <c r="P29" i="2" a="1"/>
  <c r="P29" i="2" s="1"/>
  <c r="N28" i="2"/>
  <c r="P19" i="2" a="1"/>
  <c r="P19" i="2" s="1"/>
  <c r="P18" i="2" a="1"/>
  <c r="P18" i="2" s="1"/>
  <c r="N18" i="2"/>
  <c r="P35" i="2" a="1"/>
  <c r="P35" i="2" s="1"/>
  <c r="N34" i="2"/>
  <c r="P34" i="2" a="1"/>
  <c r="P34" i="2" s="1"/>
  <c r="Q27" i="2" l="1"/>
  <c r="Q26" i="2" a="1"/>
  <c r="Q26" i="2" s="1"/>
  <c r="Q30" i="2" a="1"/>
  <c r="Q30" i="2" s="1"/>
  <c r="Q31" i="2"/>
  <c r="H9" i="4"/>
  <c r="H16" i="4"/>
  <c r="H14" i="4"/>
  <c r="H10" i="4"/>
  <c r="H12" i="4"/>
  <c r="H15" i="4"/>
  <c r="H13" i="4"/>
  <c r="H11" i="4"/>
  <c r="H8" i="4"/>
  <c r="Q22" i="2" a="1"/>
  <c r="Q22" i="2" s="1"/>
  <c r="Q23" i="2"/>
  <c r="Q35" i="2"/>
  <c r="Q34" i="2" a="1"/>
  <c r="Q34" i="2" s="1"/>
  <c r="Q25" i="2"/>
  <c r="Q24" i="2" a="1"/>
  <c r="Q24" i="2" s="1"/>
  <c r="Q37" i="2"/>
  <c r="Q36" i="2" a="1"/>
  <c r="Q36" i="2" s="1"/>
  <c r="Q32" i="2" a="1"/>
  <c r="Q32" i="2" s="1"/>
  <c r="Q33" i="2"/>
  <c r="Q14" i="2" a="1"/>
  <c r="Q14" i="2" s="1"/>
  <c r="Q15" i="2"/>
  <c r="Q18" i="2" a="1"/>
  <c r="Q18" i="2" s="1"/>
  <c r="Q19" i="2"/>
  <c r="Q38" i="2" a="1"/>
  <c r="Q38" i="2" s="1"/>
  <c r="Q39" i="2"/>
  <c r="Q17" i="2"/>
  <c r="Q16" i="2" a="1"/>
  <c r="Q16" i="2" s="1"/>
  <c r="Q21" i="2"/>
  <c r="Q20" i="2" a="1"/>
  <c r="Q20" i="2" s="1"/>
  <c r="Q29" i="2"/>
  <c r="Q28" i="2" a="1"/>
  <c r="Q28" i="2" s="1"/>
  <c r="Q12" i="2" a="1"/>
  <c r="Q12" i="2" s="1"/>
  <c r="Q13" i="2"/>
  <c r="Q41" i="2"/>
  <c r="Q40" i="2" a="1"/>
  <c r="Q40" i="2" s="1"/>
  <c r="R14" i="2" l="1" a="1"/>
  <c r="R14" i="2" s="1"/>
  <c r="I8" i="4"/>
  <c r="B8" i="4"/>
  <c r="E8" i="4"/>
  <c r="A8" i="4"/>
  <c r="A9" i="4" s="1"/>
  <c r="A10" i="4" s="1"/>
  <c r="A11" i="4" s="1"/>
  <c r="A12" i="4" s="1"/>
  <c r="A13" i="4" s="1"/>
  <c r="A14" i="4" s="1"/>
  <c r="A15" i="4" s="1"/>
  <c r="A16" i="4" s="1"/>
  <c r="D8" i="4"/>
  <c r="D9" i="4"/>
  <c r="I9" i="4"/>
  <c r="B9" i="4"/>
  <c r="E9" i="4"/>
  <c r="R22" i="2" a="1"/>
  <c r="R22" i="2" s="1"/>
  <c r="I16" i="4"/>
  <c r="E16" i="4"/>
  <c r="D16" i="4"/>
  <c r="B16" i="4"/>
  <c r="S40" i="2" a="1"/>
  <c r="S40" i="2" s="1"/>
  <c r="R40" i="2" a="1"/>
  <c r="R40" i="2" s="1"/>
  <c r="R41" i="2" a="1"/>
  <c r="R41" i="2" s="1"/>
  <c r="E11" i="4"/>
  <c r="D11" i="4"/>
  <c r="B11" i="4"/>
  <c r="I11" i="4"/>
  <c r="R20" i="2" a="1"/>
  <c r="R20" i="2" s="1"/>
  <c r="R39" i="2" a="1"/>
  <c r="R39" i="2" s="1"/>
  <c r="R38" i="2" a="1"/>
  <c r="R38" i="2" s="1"/>
  <c r="S38" i="2" a="1"/>
  <c r="S38" i="2" s="1"/>
  <c r="R33" i="2" a="1"/>
  <c r="R33" i="2" s="1"/>
  <c r="S32" i="2" a="1"/>
  <c r="S32" i="2" s="1"/>
  <c r="R32" i="2" a="1"/>
  <c r="R32" i="2" s="1"/>
  <c r="R35" i="2" a="1"/>
  <c r="R35" i="2" s="1"/>
  <c r="R34" i="2" a="1"/>
  <c r="R34" i="2" s="1"/>
  <c r="S34" i="2" a="1"/>
  <c r="S34" i="2" s="1"/>
  <c r="B13" i="4"/>
  <c r="I13" i="4"/>
  <c r="D13" i="4"/>
  <c r="E13" i="4"/>
  <c r="I15" i="4"/>
  <c r="B15" i="4"/>
  <c r="D15" i="4"/>
  <c r="E15" i="4"/>
  <c r="R31" i="2" a="1"/>
  <c r="R31" i="2" s="1"/>
  <c r="S30" i="2" a="1"/>
  <c r="S30" i="2" s="1"/>
  <c r="R30" i="2" a="1"/>
  <c r="R30" i="2" s="1"/>
  <c r="D12" i="4"/>
  <c r="E12" i="4"/>
  <c r="I12" i="4"/>
  <c r="B12" i="4"/>
  <c r="R26" i="2" a="1"/>
  <c r="R26" i="2" s="1"/>
  <c r="E10" i="4"/>
  <c r="D10" i="4"/>
  <c r="B10" i="4"/>
  <c r="I10" i="4"/>
  <c r="S36" i="2" a="1"/>
  <c r="S36" i="2" s="1"/>
  <c r="R36" i="2" a="1"/>
  <c r="R36" i="2" s="1"/>
  <c r="R37" i="2" a="1"/>
  <c r="R37" i="2" s="1"/>
  <c r="B14" i="4"/>
  <c r="E14" i="4"/>
  <c r="I14" i="4"/>
  <c r="D14" i="4"/>
  <c r="S14" i="2" a="1"/>
  <c r="S12" i="2" a="1"/>
  <c r="R17" i="2" a="1"/>
  <c r="S20" i="2" a="1"/>
  <c r="R29" i="2" a="1"/>
  <c r="R16" i="2" a="1"/>
  <c r="R15" i="2" a="1"/>
  <c r="R24" i="2" a="1"/>
  <c r="R21" i="2" a="1"/>
  <c r="R19" i="2" a="1"/>
  <c r="S18" i="2" a="1"/>
  <c r="R25" i="2" a="1"/>
  <c r="S24" i="2" a="1"/>
  <c r="R23" i="2" a="1"/>
  <c r="S26" i="2" a="1"/>
  <c r="R18" i="2" a="1"/>
  <c r="R28" i="2" a="1"/>
  <c r="S22" i="2" a="1"/>
  <c r="S28" i="2" a="1"/>
  <c r="R12" i="2" a="1"/>
  <c r="S16" i="2" a="1"/>
  <c r="R13" i="2" a="1"/>
  <c r="R27" i="2" a="1"/>
  <c r="S15" i="2" l="1"/>
  <c r="S21" i="2"/>
  <c r="S23" i="2"/>
  <c r="S27" i="2"/>
  <c r="S41" i="2"/>
  <c r="S39" i="2"/>
  <c r="S37" i="2"/>
  <c r="S35" i="2"/>
  <c r="S33" i="2"/>
  <c r="S31" i="2"/>
  <c r="R27" i="2"/>
  <c r="R13" i="2"/>
  <c r="S16" i="2"/>
  <c r="T16" i="2" s="1" a="1"/>
  <c r="T16" i="2" s="1"/>
  <c r="U17" i="2" s="1"/>
  <c r="R12" i="2"/>
  <c r="S28" i="2"/>
  <c r="T28" i="2" s="1" a="1"/>
  <c r="T28" i="2" s="1"/>
  <c r="U29" i="2" s="1"/>
  <c r="S22" i="2"/>
  <c r="R28" i="2"/>
  <c r="R18" i="2"/>
  <c r="S26" i="2"/>
  <c r="R23" i="2"/>
  <c r="S24" i="2"/>
  <c r="T24" i="2" s="1" a="1"/>
  <c r="T24" i="2" s="1"/>
  <c r="U25" i="2" s="1"/>
  <c r="R25" i="2"/>
  <c r="S18" i="2"/>
  <c r="T18" i="2" s="1" a="1"/>
  <c r="T18" i="2" s="1"/>
  <c r="U19" i="2" s="1"/>
  <c r="R19" i="2"/>
  <c r="R21" i="2"/>
  <c r="R24" i="2"/>
  <c r="R15" i="2"/>
  <c r="R16" i="2"/>
  <c r="R29" i="2"/>
  <c r="S20" i="2"/>
  <c r="R17" i="2"/>
  <c r="S12" i="2"/>
  <c r="S14" i="2"/>
  <c r="T34" i="2" a="1"/>
  <c r="T34" i="2" s="1"/>
  <c r="U34" i="2" a="1"/>
  <c r="U34" i="2" s="1"/>
  <c r="T35" i="2" a="1"/>
  <c r="T35" i="2" s="1"/>
  <c r="T33" i="2" a="1"/>
  <c r="T33" i="2" s="1"/>
  <c r="U32" i="2" a="1"/>
  <c r="U32" i="2" s="1"/>
  <c r="T32" i="2" a="1"/>
  <c r="T32" i="2" s="1"/>
  <c r="T37" i="2" a="1"/>
  <c r="T37" i="2" s="1"/>
  <c r="U36" i="2" a="1"/>
  <c r="U36" i="2" s="1"/>
  <c r="T36" i="2" a="1"/>
  <c r="T36" i="2" s="1"/>
  <c r="T31" i="2" a="1"/>
  <c r="T31" i="2" s="1"/>
  <c r="U30" i="2" a="1"/>
  <c r="U30" i="2" s="1"/>
  <c r="T30" i="2" a="1"/>
  <c r="T30" i="2" s="1"/>
  <c r="U38" i="2" a="1"/>
  <c r="U38" i="2" s="1"/>
  <c r="T39" i="2" a="1"/>
  <c r="T39" i="2" s="1"/>
  <c r="T38" i="2" a="1"/>
  <c r="T38" i="2" s="1"/>
  <c r="T40" i="2" a="1"/>
  <c r="T40" i="2" s="1"/>
  <c r="T41" i="2" a="1"/>
  <c r="T41" i="2" s="1"/>
  <c r="U40" i="2" a="1"/>
  <c r="U40" i="2" s="1"/>
  <c r="U20" i="2" a="1"/>
  <c r="U24" i="2" a="1"/>
  <c r="T29" i="2" a="1"/>
  <c r="T13" i="2" a="1"/>
  <c r="T23" i="2" a="1"/>
  <c r="U28" i="2" a="1"/>
  <c r="U12" i="2" a="1"/>
  <c r="T15" i="2" a="1"/>
  <c r="U14" i="2" a="1"/>
  <c r="T19" i="2" a="1"/>
  <c r="T17" i="2" a="1"/>
  <c r="T27" i="2" a="1"/>
  <c r="T12" i="2" a="1"/>
  <c r="T21" i="2" a="1"/>
  <c r="U26" i="2" a="1"/>
  <c r="U18" i="2" a="1"/>
  <c r="U16" i="2" a="1"/>
  <c r="U22" i="2" a="1"/>
  <c r="T25" i="2" a="1"/>
  <c r="T14" i="2" l="1" a="1"/>
  <c r="T14" i="2" s="1"/>
  <c r="T22" i="2" a="1"/>
  <c r="T22" i="2" s="1"/>
  <c r="T20" i="2" a="1"/>
  <c r="T20" i="2" s="1"/>
  <c r="T26" i="2" a="1"/>
  <c r="T26" i="2" s="1"/>
  <c r="U41" i="2"/>
  <c r="U39" i="2"/>
  <c r="U37" i="2"/>
  <c r="U35" i="2"/>
  <c r="U33" i="2"/>
  <c r="U31" i="2"/>
  <c r="S29" i="2"/>
  <c r="S25" i="2"/>
  <c r="S19" i="2"/>
  <c r="S17" i="2"/>
  <c r="T25" i="2"/>
  <c r="U22" i="2"/>
  <c r="V22" i="2" s="1" a="1"/>
  <c r="V22" i="2" s="1"/>
  <c r="W23" i="2" s="1"/>
  <c r="U16" i="2"/>
  <c r="V16" i="2" s="1" a="1"/>
  <c r="V16" i="2" s="1"/>
  <c r="W17" i="2" s="1"/>
  <c r="U18" i="2"/>
  <c r="V18" i="2" s="1" a="1"/>
  <c r="V18" i="2" s="1"/>
  <c r="W19" i="2" s="1"/>
  <c r="U26" i="2"/>
  <c r="V26" i="2" s="1" a="1"/>
  <c r="V26" i="2" s="1"/>
  <c r="W27" i="2" s="1"/>
  <c r="T21" i="2"/>
  <c r="T12" i="2"/>
  <c r="T27" i="2"/>
  <c r="T17" i="2"/>
  <c r="T19" i="2"/>
  <c r="U14" i="2"/>
  <c r="V14" i="2" s="1" a="1"/>
  <c r="V14" i="2" s="1"/>
  <c r="W15" i="2" s="1"/>
  <c r="T15" i="2"/>
  <c r="U12" i="2"/>
  <c r="V12" i="2" s="1" a="1"/>
  <c r="V12" i="2" s="1"/>
  <c r="W13" i="2" s="1"/>
  <c r="U28" i="2"/>
  <c r="T23" i="2"/>
  <c r="T13" i="2"/>
  <c r="T29" i="2"/>
  <c r="U24" i="2"/>
  <c r="V24" i="2" s="1" a="1"/>
  <c r="V24" i="2" s="1"/>
  <c r="W25" i="2" s="1"/>
  <c r="U20" i="2"/>
  <c r="V20" i="2" s="1" a="1"/>
  <c r="V20" i="2" s="1"/>
  <c r="W21" i="2" s="1"/>
  <c r="S13" i="2"/>
  <c r="V35" i="2" a="1"/>
  <c r="V35" i="2" s="1"/>
  <c r="V34" i="2" a="1"/>
  <c r="V34" i="2" s="1"/>
  <c r="W34" i="2" a="1"/>
  <c r="W34" i="2" s="1"/>
  <c r="V38" i="2" a="1"/>
  <c r="V38" i="2" s="1"/>
  <c r="V39" i="2" a="1"/>
  <c r="V39" i="2" s="1"/>
  <c r="W38" i="2" a="1"/>
  <c r="W38" i="2" s="1"/>
  <c r="V37" i="2" a="1"/>
  <c r="V37" i="2" s="1"/>
  <c r="V36" i="2" a="1"/>
  <c r="V36" i="2" s="1"/>
  <c r="W36" i="2" a="1"/>
  <c r="W36" i="2" s="1"/>
  <c r="W30" i="2" a="1"/>
  <c r="W30" i="2" s="1"/>
  <c r="V31" i="2" a="1"/>
  <c r="V31" i="2" s="1"/>
  <c r="V30" i="2" a="1"/>
  <c r="V30" i="2" s="1"/>
  <c r="V41" i="2" a="1"/>
  <c r="V41" i="2" s="1"/>
  <c r="W40" i="2" a="1"/>
  <c r="W40" i="2" s="1"/>
  <c r="V40" i="2" a="1"/>
  <c r="V40" i="2" s="1"/>
  <c r="V33" i="2" a="1"/>
  <c r="V33" i="2" s="1"/>
  <c r="V32" i="2" a="1"/>
  <c r="V32" i="2" s="1"/>
  <c r="W32" i="2" a="1"/>
  <c r="W32" i="2" s="1"/>
  <c r="V25" i="2" a="1"/>
  <c r="V17" i="2" a="1"/>
  <c r="V21" i="2" a="1"/>
  <c r="V13" i="2" a="1"/>
  <c r="W26" i="2" a="1"/>
  <c r="W12" i="2" a="1"/>
  <c r="W22" i="2" a="1"/>
  <c r="V15" i="2" a="1"/>
  <c r="W16" i="2" a="1"/>
  <c r="V19" i="2" a="1"/>
  <c r="W24" i="2" a="1"/>
  <c r="W20" i="2" a="1"/>
  <c r="W14" i="2" a="1"/>
  <c r="V23" i="2" a="1"/>
  <c r="V27" i="2" a="1"/>
  <c r="W18" i="2" a="1"/>
  <c r="V29" i="2" a="1"/>
  <c r="U15" i="2" l="1"/>
  <c r="U21" i="2"/>
  <c r="U23" i="2"/>
  <c r="U27" i="2"/>
  <c r="W41" i="2"/>
  <c r="W39" i="2"/>
  <c r="W37" i="2"/>
  <c r="W35" i="2"/>
  <c r="W33" i="2"/>
  <c r="W31" i="2"/>
  <c r="U13" i="2"/>
  <c r="V29" i="2"/>
  <c r="W18" i="2"/>
  <c r="X18" i="2" s="1" a="1"/>
  <c r="X18" i="2" s="1"/>
  <c r="Y19" i="2" s="1"/>
  <c r="V27" i="2"/>
  <c r="V23" i="2"/>
  <c r="W14" i="2"/>
  <c r="W20" i="2"/>
  <c r="W24" i="2"/>
  <c r="X24" i="2" s="1" a="1"/>
  <c r="X24" i="2" s="1"/>
  <c r="Y25" i="2" s="1"/>
  <c r="V19" i="2"/>
  <c r="W16" i="2"/>
  <c r="X16" i="2" s="1" a="1"/>
  <c r="X16" i="2" s="1"/>
  <c r="Y17" i="2" s="1"/>
  <c r="V15" i="2"/>
  <c r="W22" i="2"/>
  <c r="W12" i="2"/>
  <c r="X12" i="2" s="1" a="1"/>
  <c r="X12" i="2" s="1"/>
  <c r="Y13" i="2" s="1"/>
  <c r="W26" i="2"/>
  <c r="V13" i="2"/>
  <c r="V21" i="2"/>
  <c r="V17" i="2"/>
  <c r="V25" i="2"/>
  <c r="V28" i="2" a="1"/>
  <c r="V28" i="2" s="1"/>
  <c r="W29" i="2" s="1"/>
  <c r="X41" i="2" a="1"/>
  <c r="X41" i="2" s="1"/>
  <c r="X40" i="2" a="1"/>
  <c r="X40" i="2" s="1"/>
  <c r="Y40" i="2" a="1"/>
  <c r="Y40" i="2" s="1"/>
  <c r="X37" i="2" a="1"/>
  <c r="X37" i="2" s="1"/>
  <c r="Y36" i="2" a="1"/>
  <c r="Y36" i="2" s="1"/>
  <c r="X36" i="2" a="1"/>
  <c r="X36" i="2" s="1"/>
  <c r="X34" i="2" a="1"/>
  <c r="X34" i="2" s="1"/>
  <c r="X35" i="2" a="1"/>
  <c r="X35" i="2" s="1"/>
  <c r="Y34" i="2" a="1"/>
  <c r="Y34" i="2" s="1"/>
  <c r="Y30" i="2" a="1"/>
  <c r="Y30" i="2" s="1"/>
  <c r="X31" i="2" a="1"/>
  <c r="X31" i="2" s="1"/>
  <c r="X30" i="2" a="1"/>
  <c r="X30" i="2" s="1"/>
  <c r="X38" i="2" a="1"/>
  <c r="X38" i="2" s="1"/>
  <c r="Y38" i="2" a="1"/>
  <c r="Y38" i="2" s="1"/>
  <c r="X39" i="2" a="1"/>
  <c r="X39" i="2" s="1"/>
  <c r="X32" i="2" a="1"/>
  <c r="X32" i="2" s="1"/>
  <c r="X33" i="2" a="1"/>
  <c r="X33" i="2" s="1"/>
  <c r="Y32" i="2" a="1"/>
  <c r="Y32" i="2" s="1"/>
  <c r="W28" i="2" a="1"/>
  <c r="X13" i="2" a="1"/>
  <c r="X19" i="2" a="1"/>
  <c r="X21" i="2" a="1"/>
  <c r="X23" i="2" a="1"/>
  <c r="Y18" i="2" a="1"/>
  <c r="Y12" i="2" a="1"/>
  <c r="X25" i="2" a="1"/>
  <c r="Y22" i="2" a="1"/>
  <c r="Y20" i="2" a="1"/>
  <c r="Y24" i="2" a="1"/>
  <c r="X17" i="2" a="1"/>
  <c r="Y16" i="2" a="1"/>
  <c r="X15" i="2" a="1"/>
  <c r="X20" i="2" l="1" a="1"/>
  <c r="X20" i="2" s="1"/>
  <c r="X26" i="2" a="1"/>
  <c r="X26" i="2" s="1"/>
  <c r="X22" i="2" a="1"/>
  <c r="X22" i="2" s="1"/>
  <c r="Y41" i="2"/>
  <c r="Y39" i="2"/>
  <c r="Y37" i="2"/>
  <c r="Y35" i="2"/>
  <c r="Y33" i="2"/>
  <c r="Y31" i="2"/>
  <c r="X15" i="2"/>
  <c r="Y16" i="2"/>
  <c r="X17" i="2"/>
  <c r="Y24" i="2"/>
  <c r="Z24" i="2" s="1" a="1"/>
  <c r="Z24" i="2" s="1"/>
  <c r="AA25" i="2" s="1"/>
  <c r="Y20" i="2"/>
  <c r="Z20" i="2" s="1" a="1"/>
  <c r="Z20" i="2" s="1"/>
  <c r="AA21" i="2" s="1"/>
  <c r="Y22" i="2"/>
  <c r="Z22" i="2" s="1" a="1"/>
  <c r="Z22" i="2" s="1"/>
  <c r="AA23" i="2" s="1"/>
  <c r="X25" i="2"/>
  <c r="Y12" i="2"/>
  <c r="Z12" i="2" s="1" a="1"/>
  <c r="Z12" i="2" s="1"/>
  <c r="AA13" i="2" s="1"/>
  <c r="Y18" i="2"/>
  <c r="X23" i="2"/>
  <c r="X21" i="2"/>
  <c r="X19" i="2"/>
  <c r="X13" i="2"/>
  <c r="W28" i="2"/>
  <c r="X14" i="2" a="1"/>
  <c r="X14" i="2" s="1"/>
  <c r="AA36" i="2" a="1"/>
  <c r="AA36" i="2" s="1"/>
  <c r="Z37" i="2" a="1"/>
  <c r="Z37" i="2" s="1"/>
  <c r="Z36" i="2" a="1"/>
  <c r="Z36" i="2" s="1"/>
  <c r="Z39" i="2" a="1"/>
  <c r="Z39" i="2" s="1"/>
  <c r="Z38" i="2" a="1"/>
  <c r="Z38" i="2" s="1"/>
  <c r="AA38" i="2" a="1"/>
  <c r="AA38" i="2" s="1"/>
  <c r="Z33" i="2" a="1"/>
  <c r="Z33" i="2" s="1"/>
  <c r="Z32" i="2" a="1"/>
  <c r="Z32" i="2" s="1"/>
  <c r="AA32" i="2" a="1"/>
  <c r="AA32" i="2" s="1"/>
  <c r="Z34" i="2" a="1"/>
  <c r="Z34" i="2" s="1"/>
  <c r="Z35" i="2" a="1"/>
  <c r="Z35" i="2" s="1"/>
  <c r="AA34" i="2" a="1"/>
  <c r="AA34" i="2" s="1"/>
  <c r="Z31" i="2" a="1"/>
  <c r="Z31" i="2" s="1"/>
  <c r="AA30" i="2" a="1"/>
  <c r="AA30" i="2" s="1"/>
  <c r="Z30" i="2" a="1"/>
  <c r="Z30" i="2" s="1"/>
  <c r="AA40" i="2" a="1"/>
  <c r="AA40" i="2" s="1"/>
  <c r="Z40" i="2" a="1"/>
  <c r="Z40" i="2" s="1"/>
  <c r="Z41" i="2" a="1"/>
  <c r="Z41" i="2" s="1"/>
  <c r="Z16" i="2" a="1"/>
  <c r="Z16" i="2" s="1"/>
  <c r="AA17" i="2" s="1"/>
  <c r="AA16" i="2" a="1"/>
  <c r="AA12" i="2" a="1"/>
  <c r="AA24" i="2" a="1"/>
  <c r="AA20" i="2" a="1"/>
  <c r="Z25" i="2" a="1"/>
  <c r="Z21" i="2" a="1"/>
  <c r="X27" i="2" a="1"/>
  <c r="Y14" i="2" a="1"/>
  <c r="Y26" i="2" a="1"/>
  <c r="Z19" i="2" a="1"/>
  <c r="AA22" i="2" a="1"/>
  <c r="AA18" i="2" a="1"/>
  <c r="Z17" i="2" a="1"/>
  <c r="Z13" i="2" a="1"/>
  <c r="Y15" i="2" l="1"/>
  <c r="Y21" i="2"/>
  <c r="Y23" i="2"/>
  <c r="Y27" i="2"/>
  <c r="AA41" i="2"/>
  <c r="AA39" i="2"/>
  <c r="AA37" i="2"/>
  <c r="AA35" i="2"/>
  <c r="AA33" i="2"/>
  <c r="AA31" i="2"/>
  <c r="Z13" i="2"/>
  <c r="Z17" i="2"/>
  <c r="AA18" i="2"/>
  <c r="AB18" i="2" s="1" a="1"/>
  <c r="AB18" i="2" s="1"/>
  <c r="AC19" i="2" s="1"/>
  <c r="AA22" i="2"/>
  <c r="Z19" i="2"/>
  <c r="Y26" i="2"/>
  <c r="Y14" i="2"/>
  <c r="X27" i="2"/>
  <c r="Z21" i="2"/>
  <c r="Z25" i="2"/>
  <c r="AA20" i="2"/>
  <c r="AA24" i="2"/>
  <c r="AB24" i="2" s="1" a="1"/>
  <c r="AB24" i="2" s="1"/>
  <c r="AC25" i="2" s="1"/>
  <c r="AA12" i="2"/>
  <c r="AA16" i="2"/>
  <c r="AB16" i="2" s="1" a="1"/>
  <c r="AB16" i="2" s="1"/>
  <c r="AC17" i="2" s="1"/>
  <c r="Z18" i="2" a="1"/>
  <c r="Z18" i="2" s="1"/>
  <c r="AA19" i="2" s="1"/>
  <c r="X28" i="2" a="1"/>
  <c r="X28" i="2" s="1"/>
  <c r="Y29" i="2" s="1"/>
  <c r="AC34" i="2" a="1"/>
  <c r="AC34" i="2" s="1"/>
  <c r="AB34" i="2" a="1"/>
  <c r="AB34" i="2" s="1"/>
  <c r="AB35" i="2" a="1"/>
  <c r="AB35" i="2" s="1"/>
  <c r="AB40" i="2" a="1"/>
  <c r="AB40" i="2" s="1"/>
  <c r="AB41" i="2" a="1"/>
  <c r="AB41" i="2" s="1"/>
  <c r="AC40" i="2" a="1"/>
  <c r="AC40" i="2" s="1"/>
  <c r="AC30" i="2" a="1"/>
  <c r="AC30" i="2" s="1"/>
  <c r="AB31" i="2" a="1"/>
  <c r="AB31" i="2" s="1"/>
  <c r="AB30" i="2" a="1"/>
  <c r="AB30" i="2" s="1"/>
  <c r="AB32" i="2" a="1"/>
  <c r="AB32" i="2" s="1"/>
  <c r="AB33" i="2" a="1"/>
  <c r="AB33" i="2" s="1"/>
  <c r="AC32" i="2" a="1"/>
  <c r="AC32" i="2" s="1"/>
  <c r="AB12" i="2" a="1"/>
  <c r="AB12" i="2" s="1"/>
  <c r="AC13" i="2" s="1"/>
  <c r="AB39" i="2" a="1"/>
  <c r="AB39" i="2" s="1"/>
  <c r="AB38" i="2" a="1"/>
  <c r="AB38" i="2" s="1"/>
  <c r="AC38" i="2" a="1"/>
  <c r="AC38" i="2" s="1"/>
  <c r="AB36" i="2" a="1"/>
  <c r="AB36" i="2" s="1"/>
  <c r="AB37" i="2" a="1"/>
  <c r="AB37" i="2" s="1"/>
  <c r="AC36" i="2" a="1"/>
  <c r="AC36" i="2" s="1"/>
  <c r="Y28" i="2" a="1"/>
  <c r="AB19" i="2" a="1"/>
  <c r="AC22" i="2" a="1"/>
  <c r="AB21" i="2" a="1"/>
  <c r="X29" i="2" a="1"/>
  <c r="AC20" i="2" a="1"/>
  <c r="AB13" i="2" a="1"/>
  <c r="AB25" i="2" a="1"/>
  <c r="AC12" i="2" a="1"/>
  <c r="AC24" i="2" a="1"/>
  <c r="AC16" i="2" a="1"/>
  <c r="Z23" i="2" a="1"/>
  <c r="AC18" i="2" a="1"/>
  <c r="AB23" i="2" a="1"/>
  <c r="AB22" i="2" l="1" a="1"/>
  <c r="AB22" i="2" s="1"/>
  <c r="AB20" i="2" a="1"/>
  <c r="AB20" i="2" s="1"/>
  <c r="AC41" i="2"/>
  <c r="AC39" i="2"/>
  <c r="AC37" i="2"/>
  <c r="AC35" i="2"/>
  <c r="AC33" i="2"/>
  <c r="AC31" i="2"/>
  <c r="AB23" i="2"/>
  <c r="AC18" i="2"/>
  <c r="Z23" i="2"/>
  <c r="AC16" i="2"/>
  <c r="AD16" i="2" s="1" a="1"/>
  <c r="AD16" i="2" s="1"/>
  <c r="AE17" i="2" s="1"/>
  <c r="AC24" i="2"/>
  <c r="AC12" i="2"/>
  <c r="AD12" i="2" s="1" a="1"/>
  <c r="AD12" i="2" s="1"/>
  <c r="AE13" i="2" s="1"/>
  <c r="AB25" i="2"/>
  <c r="AB13" i="2"/>
  <c r="AC20" i="2"/>
  <c r="X29" i="2"/>
  <c r="AB21" i="2"/>
  <c r="AC22" i="2"/>
  <c r="AD22" i="2" s="1" a="1"/>
  <c r="AD22" i="2" s="1"/>
  <c r="AE23" i="2" s="1"/>
  <c r="AB19" i="2"/>
  <c r="Y28" i="2"/>
  <c r="Z14" i="2" a="1"/>
  <c r="Z14" i="2" s="1"/>
  <c r="Z26" i="2" a="1"/>
  <c r="Z26" i="2" s="1"/>
  <c r="AE30" i="2" a="1"/>
  <c r="AE30" i="2" s="1"/>
  <c r="AD30" i="2" a="1"/>
  <c r="AD30" i="2" s="1"/>
  <c r="AD31" i="2" a="1"/>
  <c r="AD31" i="2" s="1"/>
  <c r="AD37" i="2" a="1"/>
  <c r="AD37" i="2" s="1"/>
  <c r="AE36" i="2" a="1"/>
  <c r="AE36" i="2" s="1"/>
  <c r="AD36" i="2" a="1"/>
  <c r="AD36" i="2" s="1"/>
  <c r="AE32" i="2" a="1"/>
  <c r="AE32" i="2" s="1"/>
  <c r="AD33" i="2" a="1"/>
  <c r="AD33" i="2" s="1"/>
  <c r="AD32" i="2" a="1"/>
  <c r="AD32" i="2" s="1"/>
  <c r="AD35" i="2" a="1"/>
  <c r="AD35" i="2" s="1"/>
  <c r="AE34" i="2" a="1"/>
  <c r="AE34" i="2" s="1"/>
  <c r="AD34" i="2" a="1"/>
  <c r="AD34" i="2" s="1"/>
  <c r="AD24" i="2" a="1"/>
  <c r="AD24" i="2" s="1"/>
  <c r="AE25" i="2" s="1"/>
  <c r="AE38" i="2" a="1"/>
  <c r="AE38" i="2" s="1"/>
  <c r="AD39" i="2" a="1"/>
  <c r="AD39" i="2" s="1"/>
  <c r="AD38" i="2" a="1"/>
  <c r="AD38" i="2" s="1"/>
  <c r="AD20" i="2" a="1"/>
  <c r="AD20" i="2" s="1"/>
  <c r="AE21" i="2" s="1"/>
  <c r="AD41" i="2" a="1"/>
  <c r="AD41" i="2" s="1"/>
  <c r="AE40" i="2" a="1"/>
  <c r="AE40" i="2" s="1"/>
  <c r="AD40" i="2" a="1"/>
  <c r="AD40" i="2" s="1"/>
  <c r="Z27" i="2" a="1"/>
  <c r="AD23" i="2" a="1"/>
  <c r="AD25" i="2" a="1"/>
  <c r="AE16" i="2" a="1"/>
  <c r="AA26" i="2" a="1"/>
  <c r="AE22" i="2" a="1"/>
  <c r="AE24" i="2" a="1"/>
  <c r="AD17" i="2" a="1"/>
  <c r="AB17" i="2" a="1"/>
  <c r="AD21" i="2" a="1"/>
  <c r="AD13" i="2" a="1"/>
  <c r="AE20" i="2" a="1"/>
  <c r="Z15" i="2" a="1"/>
  <c r="AD19" i="2" a="1"/>
  <c r="AE12" i="2" a="1"/>
  <c r="AA14" i="2" a="1"/>
  <c r="AE18" i="2" a="1"/>
  <c r="AA15" i="2" l="1"/>
  <c r="AA27" i="2"/>
  <c r="AC21" i="2"/>
  <c r="AC23" i="2"/>
  <c r="AE41" i="2"/>
  <c r="AE39" i="2"/>
  <c r="AE37" i="2"/>
  <c r="AE35" i="2"/>
  <c r="AE33" i="2"/>
  <c r="AE31" i="2"/>
  <c r="AE18" i="2"/>
  <c r="AF18" i="2" s="1" a="1"/>
  <c r="AF18" i="2" s="1"/>
  <c r="AG19" i="2" s="1"/>
  <c r="AA14" i="2"/>
  <c r="AE12" i="2"/>
  <c r="AF12" i="2" s="1" a="1"/>
  <c r="AF12" i="2" s="1"/>
  <c r="AG13" i="2" s="1"/>
  <c r="AD19" i="2"/>
  <c r="Z15" i="2"/>
  <c r="AE20" i="2"/>
  <c r="AD13" i="2"/>
  <c r="AD21" i="2"/>
  <c r="AB17" i="2"/>
  <c r="AD17" i="2"/>
  <c r="AE24" i="2"/>
  <c r="AF24" i="2" s="1" a="1"/>
  <c r="AF24" i="2" s="1"/>
  <c r="AG25" i="2" s="1"/>
  <c r="AE22" i="2"/>
  <c r="AA26" i="2"/>
  <c r="AE16" i="2"/>
  <c r="AF16" i="2" s="1" a="1"/>
  <c r="AF16" i="2" s="1"/>
  <c r="AG17" i="2" s="1"/>
  <c r="AD25" i="2"/>
  <c r="AD23" i="2"/>
  <c r="Z27" i="2"/>
  <c r="AD18" i="2" a="1"/>
  <c r="AD18" i="2" s="1"/>
  <c r="AE19" i="2" s="1"/>
  <c r="Z28" i="2" a="1"/>
  <c r="Z28" i="2" s="1"/>
  <c r="AA29" i="2" s="1"/>
  <c r="AG34" i="2" a="1"/>
  <c r="AG34" i="2" s="1"/>
  <c r="AF35" i="2" a="1"/>
  <c r="AF35" i="2" s="1"/>
  <c r="AF34" i="2" a="1"/>
  <c r="AF34" i="2" s="1"/>
  <c r="AG32" i="2" a="1"/>
  <c r="AG32" i="2" s="1"/>
  <c r="AF33" i="2" a="1"/>
  <c r="AF33" i="2" s="1"/>
  <c r="AF32" i="2" a="1"/>
  <c r="AF32" i="2" s="1"/>
  <c r="AG36" i="2" a="1"/>
  <c r="AG36" i="2" s="1"/>
  <c r="AF37" i="2" a="1"/>
  <c r="AF37" i="2" s="1"/>
  <c r="AF36" i="2" a="1"/>
  <c r="AF36" i="2" s="1"/>
  <c r="AF40" i="2" a="1"/>
  <c r="AF40" i="2" s="1"/>
  <c r="AF41" i="2" a="1"/>
  <c r="AF41" i="2" s="1"/>
  <c r="AG40" i="2" a="1"/>
  <c r="AG40" i="2" s="1"/>
  <c r="AG38" i="2" a="1"/>
  <c r="AG38" i="2" s="1"/>
  <c r="AF38" i="2" a="1"/>
  <c r="AF38" i="2" s="1"/>
  <c r="AF39" i="2" a="1"/>
  <c r="AF39" i="2" s="1"/>
  <c r="AG30" i="2" a="1"/>
  <c r="AG30" i="2" s="1"/>
  <c r="AF31" i="2" a="1"/>
  <c r="AF31" i="2" s="1"/>
  <c r="AF30" i="2" a="1"/>
  <c r="AF30" i="2" s="1"/>
  <c r="AF17" i="2" a="1"/>
  <c r="Z29" i="2" a="1"/>
  <c r="AA28" i="2" a="1"/>
  <c r="AG18" i="2" a="1"/>
  <c r="AF21" i="2" a="1"/>
  <c r="AF23" i="2" a="1"/>
  <c r="AG22" i="2" a="1"/>
  <c r="AG24" i="2" a="1"/>
  <c r="AG12" i="2" a="1"/>
  <c r="AG20" i="2" a="1"/>
  <c r="AF19" i="2" a="1"/>
  <c r="AF13" i="2" a="1"/>
  <c r="AF20" i="2" l="1" a="1"/>
  <c r="AF20" i="2" s="1"/>
  <c r="AF22" i="2" a="1"/>
  <c r="AF22" i="2" s="1"/>
  <c r="AG41" i="2"/>
  <c r="AG39" i="2"/>
  <c r="AG37" i="2"/>
  <c r="AG35" i="2"/>
  <c r="AG33" i="2"/>
  <c r="AG31" i="2"/>
  <c r="AF13" i="2"/>
  <c r="AF19" i="2"/>
  <c r="AG20" i="2"/>
  <c r="AG12" i="2"/>
  <c r="AG24" i="2"/>
  <c r="AG22" i="2"/>
  <c r="AH22" i="2" s="1" a="1"/>
  <c r="AH22" i="2" s="1"/>
  <c r="AI23" i="2" s="1"/>
  <c r="AF23" i="2"/>
  <c r="AF21" i="2"/>
  <c r="AG18" i="2"/>
  <c r="AH18" i="2" s="1" a="1"/>
  <c r="AH18" i="2" s="1"/>
  <c r="AI19" i="2" s="1"/>
  <c r="AA28" i="2"/>
  <c r="Z29" i="2"/>
  <c r="AF17" i="2"/>
  <c r="AB14" i="2" a="1"/>
  <c r="AB14" i="2" s="1"/>
  <c r="AB26" i="2" a="1"/>
  <c r="AB26" i="2" s="1"/>
  <c r="AI32" i="2" a="1"/>
  <c r="AI32" i="2" s="1"/>
  <c r="AH32" i="2" a="1"/>
  <c r="AH32" i="2" s="1"/>
  <c r="AH33" i="2" a="1"/>
  <c r="AH33" i="2" s="1"/>
  <c r="AH35" i="2" a="1"/>
  <c r="AH35" i="2" s="1"/>
  <c r="AI34" i="2" a="1"/>
  <c r="AI34" i="2" s="1"/>
  <c r="AH34" i="2" a="1"/>
  <c r="AH34" i="2" s="1"/>
  <c r="AH24" i="2" a="1"/>
  <c r="AH24" i="2" s="1"/>
  <c r="AI25" i="2" s="1"/>
  <c r="AH31" i="2" a="1"/>
  <c r="AH31" i="2" s="1"/>
  <c r="AI30" i="2" a="1"/>
  <c r="AI30" i="2" s="1"/>
  <c r="AH30" i="2" a="1"/>
  <c r="AH30" i="2" s="1"/>
  <c r="AH41" i="2" a="1"/>
  <c r="AH41" i="2" s="1"/>
  <c r="AI40" i="2" a="1"/>
  <c r="AI40" i="2" s="1"/>
  <c r="AH40" i="2" a="1"/>
  <c r="AH40" i="2" s="1"/>
  <c r="AH12" i="2" a="1"/>
  <c r="AH12" i="2" s="1"/>
  <c r="AI13" i="2" s="1"/>
  <c r="AH36" i="2" a="1"/>
  <c r="AH36" i="2" s="1"/>
  <c r="AH37" i="2" a="1"/>
  <c r="AH37" i="2" s="1"/>
  <c r="AI36" i="2" a="1"/>
  <c r="AI36" i="2" s="1"/>
  <c r="AH39" i="2" a="1"/>
  <c r="AH39" i="2" s="1"/>
  <c r="AH38" i="2" a="1"/>
  <c r="AH38" i="2" s="1"/>
  <c r="AI38" i="2" a="1"/>
  <c r="AI38" i="2" s="1"/>
  <c r="AB27" i="2" a="1"/>
  <c r="AC26" i="2" a="1"/>
  <c r="AF25" i="2" a="1"/>
  <c r="AH19" i="2" a="1"/>
  <c r="AH21" i="2" a="1"/>
  <c r="AI22" i="2" a="1"/>
  <c r="AB15" i="2" a="1"/>
  <c r="AC14" i="2" a="1"/>
  <c r="AH13" i="2" a="1"/>
  <c r="AG16" i="2" a="1"/>
  <c r="AH25" i="2" a="1"/>
  <c r="AI12" i="2" a="1"/>
  <c r="AI18" i="2" a="1"/>
  <c r="AI20" i="2" a="1"/>
  <c r="AI24" i="2" a="1"/>
  <c r="AH23" i="2" a="1"/>
  <c r="AC15" i="2" l="1"/>
  <c r="AC27" i="2"/>
  <c r="AG23" i="2"/>
  <c r="AG21" i="2"/>
  <c r="AI41" i="2"/>
  <c r="AI39" i="2"/>
  <c r="AI37" i="2"/>
  <c r="AI35" i="2"/>
  <c r="AI33" i="2"/>
  <c r="AI31" i="2"/>
  <c r="AH23" i="2"/>
  <c r="AI24" i="2"/>
  <c r="AJ24" i="2" s="1" a="1"/>
  <c r="AJ24" i="2" s="1"/>
  <c r="AK25" i="2" s="1"/>
  <c r="AI20" i="2"/>
  <c r="AJ20" i="2" s="1" a="1"/>
  <c r="AJ20" i="2" s="1"/>
  <c r="AK21" i="2" s="1"/>
  <c r="AI18" i="2"/>
  <c r="AJ18" i="2" s="1" a="1"/>
  <c r="AJ18" i="2" s="1"/>
  <c r="AK19" i="2" s="1"/>
  <c r="AI12" i="2"/>
  <c r="AJ12" i="2" s="1" a="1"/>
  <c r="AJ12" i="2" s="1"/>
  <c r="AK13" i="2" s="1"/>
  <c r="AH25" i="2"/>
  <c r="AG16" i="2"/>
  <c r="AH13" i="2"/>
  <c r="AC14" i="2"/>
  <c r="AB15" i="2"/>
  <c r="AI22" i="2"/>
  <c r="AH21" i="2"/>
  <c r="AH19" i="2"/>
  <c r="AF25" i="2"/>
  <c r="AC26" i="2"/>
  <c r="AB27" i="2"/>
  <c r="AB28" i="2" a="1"/>
  <c r="AB28" i="2" s="1"/>
  <c r="AC29" i="2" s="1"/>
  <c r="AH20" i="2" a="1"/>
  <c r="AH20" i="2" s="1"/>
  <c r="AJ31" i="2" a="1"/>
  <c r="AJ31" i="2" s="1"/>
  <c r="AK30" i="2" a="1"/>
  <c r="AK30" i="2" s="1"/>
  <c r="AJ30" i="2" a="1"/>
  <c r="AJ30" i="2" s="1"/>
  <c r="AJ33" i="2" a="1"/>
  <c r="AJ33" i="2" s="1"/>
  <c r="AK32" i="2" a="1"/>
  <c r="AK32" i="2" s="1"/>
  <c r="AJ32" i="2" a="1"/>
  <c r="AJ32" i="2" s="1"/>
  <c r="AJ35" i="2" a="1"/>
  <c r="AJ35" i="2" s="1"/>
  <c r="AJ34" i="2" a="1"/>
  <c r="AJ34" i="2" s="1"/>
  <c r="AK34" i="2" a="1"/>
  <c r="AK34" i="2" s="1"/>
  <c r="AJ36" i="2" a="1"/>
  <c r="AJ36" i="2" s="1"/>
  <c r="AK36" i="2" a="1"/>
  <c r="AK36" i="2" s="1"/>
  <c r="AJ37" i="2" a="1"/>
  <c r="AJ37" i="2" s="1"/>
  <c r="AJ39" i="2" a="1"/>
  <c r="AJ39" i="2" s="1"/>
  <c r="AK38" i="2" a="1"/>
  <c r="AK38" i="2" s="1"/>
  <c r="AJ38" i="2" a="1"/>
  <c r="AJ38" i="2" s="1"/>
  <c r="AJ40" i="2" a="1"/>
  <c r="AJ40" i="2" s="1"/>
  <c r="AK40" i="2" a="1"/>
  <c r="AK40" i="2" s="1"/>
  <c r="AJ41" i="2" a="1"/>
  <c r="AJ41" i="2" s="1"/>
  <c r="AK18" i="2" a="1"/>
  <c r="AJ13" i="2" a="1"/>
  <c r="AB29" i="2" a="1"/>
  <c r="AK24" i="2" a="1"/>
  <c r="AJ19" i="2" a="1"/>
  <c r="AC28" i="2" a="1"/>
  <c r="AJ21" i="2" a="1"/>
  <c r="AJ23" i="2" a="1"/>
  <c r="AJ25" i="2" a="1"/>
  <c r="AJ22" i="2" l="1" a="1"/>
  <c r="AJ22" i="2" s="1"/>
  <c r="AI21" i="2"/>
  <c r="AK41" i="2"/>
  <c r="AK39" i="2"/>
  <c r="AK37" i="2"/>
  <c r="AK35" i="2"/>
  <c r="AK33" i="2"/>
  <c r="AK31" i="2"/>
  <c r="AJ25" i="2"/>
  <c r="AJ23" i="2"/>
  <c r="AJ21" i="2"/>
  <c r="AC28" i="2"/>
  <c r="AJ19" i="2"/>
  <c r="AK24" i="2"/>
  <c r="AL24" i="2" s="1" a="1"/>
  <c r="AL24" i="2" s="1"/>
  <c r="AM25" i="2" s="1"/>
  <c r="AB29" i="2"/>
  <c r="AJ13" i="2"/>
  <c r="AK18" i="2"/>
  <c r="AD14" i="2" a="1"/>
  <c r="AD14" i="2" s="1"/>
  <c r="AD26" i="2" a="1"/>
  <c r="AD26" i="2" s="1"/>
  <c r="AH16" i="2" a="1"/>
  <c r="AH16" i="2" s="1"/>
  <c r="AI17" i="2" s="1"/>
  <c r="AL32" i="2" a="1"/>
  <c r="AL32" i="2" s="1"/>
  <c r="AM32" i="2" a="1"/>
  <c r="AM32" i="2" s="1"/>
  <c r="AL33" i="2" a="1"/>
  <c r="AL33" i="2" s="1"/>
  <c r="AL38" i="2" a="1"/>
  <c r="AL38" i="2" s="1"/>
  <c r="AL39" i="2" a="1"/>
  <c r="AL39" i="2" s="1"/>
  <c r="AM38" i="2" a="1"/>
  <c r="AM38" i="2" s="1"/>
  <c r="AL41" i="2" a="1"/>
  <c r="AL41" i="2" s="1"/>
  <c r="AL40" i="2" a="1"/>
  <c r="AL40" i="2" s="1"/>
  <c r="AM40" i="2" a="1"/>
  <c r="AM40" i="2" s="1"/>
  <c r="AM30" i="2" a="1"/>
  <c r="AM30" i="2" s="1"/>
  <c r="AL31" i="2" a="1"/>
  <c r="AL31" i="2" s="1"/>
  <c r="AL30" i="2" a="1"/>
  <c r="AL30" i="2" s="1"/>
  <c r="AL35" i="2" a="1"/>
  <c r="AL35" i="2" s="1"/>
  <c r="AL34" i="2" a="1"/>
  <c r="AL34" i="2" s="1"/>
  <c r="AM34" i="2" a="1"/>
  <c r="AM34" i="2" s="1"/>
  <c r="AL37" i="2" a="1"/>
  <c r="AL37" i="2" s="1"/>
  <c r="AM36" i="2" a="1"/>
  <c r="AM36" i="2" s="1"/>
  <c r="AL36" i="2" a="1"/>
  <c r="AL36" i="2" s="1"/>
  <c r="AK12" i="2" a="1"/>
  <c r="AH17" i="2" a="1"/>
  <c r="AL25" i="2" a="1"/>
  <c r="AD15" i="2" a="1"/>
  <c r="AK22" i="2" a="1"/>
  <c r="AE14" i="2" a="1"/>
  <c r="AK20" i="2" a="1"/>
  <c r="AD27" i="2" a="1"/>
  <c r="AI16" i="2" a="1"/>
  <c r="AE26" i="2" a="1"/>
  <c r="AM24" i="2" a="1"/>
  <c r="AL19" i="2" a="1"/>
  <c r="AE15" i="2" l="1"/>
  <c r="AE27" i="2"/>
  <c r="AK23" i="2"/>
  <c r="AM41" i="2"/>
  <c r="AM39" i="2"/>
  <c r="AM37" i="2"/>
  <c r="AM35" i="2"/>
  <c r="AM33" i="2"/>
  <c r="AM31" i="2"/>
  <c r="AL19" i="2"/>
  <c r="AM24" i="2"/>
  <c r="AN24" i="2" s="1" a="1"/>
  <c r="AN24" i="2" s="1"/>
  <c r="AO25" i="2" s="1"/>
  <c r="AE26" i="2"/>
  <c r="AI16" i="2"/>
  <c r="AD27" i="2"/>
  <c r="AK20" i="2"/>
  <c r="AE14" i="2"/>
  <c r="AK22" i="2"/>
  <c r="AD15" i="2"/>
  <c r="AL25" i="2"/>
  <c r="AH17" i="2"/>
  <c r="AK12" i="2"/>
  <c r="AL18" i="2" a="1"/>
  <c r="AL18" i="2" s="1"/>
  <c r="AM19" i="2" s="1"/>
  <c r="AD28" i="2" a="1"/>
  <c r="AD28" i="2" s="1"/>
  <c r="AE29" i="2" s="1"/>
  <c r="AN35" i="2" a="1"/>
  <c r="AN35" i="2" s="1"/>
  <c r="AN34" i="2" a="1"/>
  <c r="AN34" i="2" s="1"/>
  <c r="AO34" i="2" a="1"/>
  <c r="AO34" i="2" s="1"/>
  <c r="AN36" i="2" a="1"/>
  <c r="AN36" i="2" s="1"/>
  <c r="AN37" i="2" a="1"/>
  <c r="AN37" i="2" s="1"/>
  <c r="AO36" i="2" a="1"/>
  <c r="AO36" i="2" s="1"/>
  <c r="AO30" i="2" a="1"/>
  <c r="AO30" i="2" s="1"/>
  <c r="AN31" i="2" a="1"/>
  <c r="AN31" i="2" s="1"/>
  <c r="AN30" i="2" a="1"/>
  <c r="AN30" i="2" s="1"/>
  <c r="AN39" i="2" a="1"/>
  <c r="AN39" i="2" s="1"/>
  <c r="AO38" i="2" a="1"/>
  <c r="AO38" i="2" s="1"/>
  <c r="AN38" i="2" a="1"/>
  <c r="AN38" i="2" s="1"/>
  <c r="AN41" i="2" a="1"/>
  <c r="AN41" i="2" s="1"/>
  <c r="AN40" i="2" a="1"/>
  <c r="AN40" i="2" s="1"/>
  <c r="AO40" i="2" a="1"/>
  <c r="AO40" i="2" s="1"/>
  <c r="AN32" i="2" a="1"/>
  <c r="AN32" i="2" s="1"/>
  <c r="AN33" i="2" a="1"/>
  <c r="AN33" i="2" s="1"/>
  <c r="AO32" i="2" a="1"/>
  <c r="AO32" i="2" s="1"/>
  <c r="AD29" i="2" a="1"/>
  <c r="AN25" i="2" a="1"/>
  <c r="AO24" i="2" a="1"/>
  <c r="AM18" i="2" a="1"/>
  <c r="AE28" i="2" a="1"/>
  <c r="AO41" i="2" l="1"/>
  <c r="AO39" i="2"/>
  <c r="AO37" i="2"/>
  <c r="AO35" i="2"/>
  <c r="AO33" i="2"/>
  <c r="AO31" i="2"/>
  <c r="AE28" i="2"/>
  <c r="AM18" i="2"/>
  <c r="AO24" i="2"/>
  <c r="AP24" i="2" s="1" a="1"/>
  <c r="AP24" i="2" s="1"/>
  <c r="AQ25" i="2" s="1"/>
  <c r="AN25" i="2"/>
  <c r="AD29" i="2"/>
  <c r="AL22" i="2" a="1"/>
  <c r="AL22" i="2" s="1"/>
  <c r="AF14" i="2" a="1"/>
  <c r="AF14" i="2" s="1"/>
  <c r="AL20" i="2" a="1"/>
  <c r="AL20" i="2" s="1"/>
  <c r="AL12" i="2" a="1"/>
  <c r="AL12" i="2" s="1"/>
  <c r="AM13" i="2" s="1"/>
  <c r="AJ16" i="2" a="1"/>
  <c r="AJ16" i="2" s="1"/>
  <c r="AK17" i="2" s="1"/>
  <c r="AF26" i="2" a="1"/>
  <c r="AF26" i="2" s="1"/>
  <c r="AP31" i="2" a="1"/>
  <c r="AP31" i="2" s="1"/>
  <c r="AQ30" i="2" a="1"/>
  <c r="AQ30" i="2" s="1"/>
  <c r="AP30" i="2" a="1"/>
  <c r="AP30" i="2" s="1"/>
  <c r="AQ38" i="2" a="1"/>
  <c r="AQ38" i="2" s="1"/>
  <c r="AP39" i="2" a="1"/>
  <c r="AP39" i="2" s="1"/>
  <c r="AP38" i="2" a="1"/>
  <c r="AP38" i="2" s="1"/>
  <c r="AP33" i="2" a="1"/>
  <c r="AP33" i="2" s="1"/>
  <c r="AP32" i="2" a="1"/>
  <c r="AP32" i="2" s="1"/>
  <c r="AQ32" i="2" a="1"/>
  <c r="AQ32" i="2" s="1"/>
  <c r="AP36" i="2" a="1"/>
  <c r="AP36" i="2" s="1"/>
  <c r="AQ36" i="2" a="1"/>
  <c r="AQ36" i="2" s="1"/>
  <c r="AP37" i="2" a="1"/>
  <c r="AP37" i="2" s="1"/>
  <c r="AP40" i="2" a="1"/>
  <c r="AP40" i="2" s="1"/>
  <c r="AP41" i="2" a="1"/>
  <c r="AP41" i="2" s="1"/>
  <c r="AQ40" i="2" a="1"/>
  <c r="AQ40" i="2" s="1"/>
  <c r="AQ34" i="2" a="1"/>
  <c r="AQ34" i="2" s="1"/>
  <c r="AP34" i="2" a="1"/>
  <c r="AP34" i="2" s="1"/>
  <c r="AP35" i="2" a="1"/>
  <c r="AP35" i="2" s="1"/>
  <c r="AF15" i="2" a="1"/>
  <c r="AG14" i="2" a="1"/>
  <c r="AK16" i="2" a="1"/>
  <c r="AP25" i="2" a="1"/>
  <c r="AJ17" i="2" a="1"/>
  <c r="AM20" i="2" a="1"/>
  <c r="AM22" i="2" a="1"/>
  <c r="AL21" i="2" a="1"/>
  <c r="AF27" i="2" a="1"/>
  <c r="AL23" i="2" a="1"/>
  <c r="AL13" i="2" a="1"/>
  <c r="AG26" i="2" a="1"/>
  <c r="AM12" i="2" a="1"/>
  <c r="AQ24" i="2" a="1"/>
  <c r="AG15" i="2" l="1"/>
  <c r="AM21" i="2"/>
  <c r="AM23" i="2"/>
  <c r="AG27" i="2"/>
  <c r="AQ41" i="2"/>
  <c r="AQ39" i="2"/>
  <c r="AQ37" i="2"/>
  <c r="AQ35" i="2"/>
  <c r="AQ33" i="2"/>
  <c r="AQ31" i="2"/>
  <c r="AQ24" i="2"/>
  <c r="AM12" i="2"/>
  <c r="AG26" i="2"/>
  <c r="AL13" i="2"/>
  <c r="AL23" i="2"/>
  <c r="AF27" i="2"/>
  <c r="AL21" i="2"/>
  <c r="AM22" i="2"/>
  <c r="AM20" i="2"/>
  <c r="AJ17" i="2"/>
  <c r="AP25" i="2"/>
  <c r="AK16" i="2"/>
  <c r="AG14" i="2"/>
  <c r="AF15" i="2"/>
  <c r="AN18" i="2" a="1"/>
  <c r="AN18" i="2" s="1"/>
  <c r="AO19" i="2" s="1"/>
  <c r="AF28" i="2" a="1"/>
  <c r="AF28" i="2" s="1"/>
  <c r="AG29" i="2" s="1"/>
  <c r="AS36" i="2" a="1"/>
  <c r="AS36" i="2" s="1"/>
  <c r="AR36" i="2" a="1"/>
  <c r="AR36" i="2" s="1"/>
  <c r="AR37" i="2" a="1"/>
  <c r="AR37" i="2" s="1"/>
  <c r="AS32" i="2" a="1"/>
  <c r="AS32" i="2" s="1"/>
  <c r="AR32" i="2" a="1"/>
  <c r="AR32" i="2" s="1"/>
  <c r="AR33" i="2" a="1"/>
  <c r="AR33" i="2" s="1"/>
  <c r="AR40" i="2" a="1"/>
  <c r="AR40" i="2" s="1"/>
  <c r="AS40" i="2" a="1"/>
  <c r="AS40" i="2" s="1"/>
  <c r="AR41" i="2" a="1"/>
  <c r="AR41" i="2" s="1"/>
  <c r="AR35" i="2" a="1"/>
  <c r="AR35" i="2" s="1"/>
  <c r="AR34" i="2" a="1"/>
  <c r="AR34" i="2" s="1"/>
  <c r="AS34" i="2" a="1"/>
  <c r="AS34" i="2" s="1"/>
  <c r="AR39" i="2" a="1"/>
  <c r="AR39" i="2" s="1"/>
  <c r="AR38" i="2" a="1"/>
  <c r="AR38" i="2" s="1"/>
  <c r="AS38" i="2" a="1"/>
  <c r="AS38" i="2" s="1"/>
  <c r="AS30" i="2" a="1"/>
  <c r="AS30" i="2" s="1"/>
  <c r="AR31" i="2" a="1"/>
  <c r="AR31" i="2" s="1"/>
  <c r="AR30" i="2" a="1"/>
  <c r="AR30" i="2" s="1"/>
  <c r="AF29" i="2" a="1"/>
  <c r="AG28" i="2" a="1"/>
  <c r="AO18" i="2" a="1"/>
  <c r="AN19" i="2" a="1"/>
  <c r="AR25" i="2" a="1"/>
  <c r="AS41" i="2" l="1"/>
  <c r="AS39" i="2"/>
  <c r="AS37" i="2"/>
  <c r="AS35" i="2"/>
  <c r="AS33" i="2"/>
  <c r="AS31" i="2"/>
  <c r="AR25" i="2"/>
  <c r="AN19" i="2"/>
  <c r="AO18" i="2"/>
  <c r="AG28" i="2"/>
  <c r="AF29" i="2"/>
  <c r="AN12" i="2" a="1"/>
  <c r="AN12" i="2" s="1"/>
  <c r="AO13" i="2" s="1"/>
  <c r="AN20" i="2" a="1"/>
  <c r="AN20" i="2" s="1"/>
  <c r="AN22" i="2" a="1"/>
  <c r="AN22" i="2" s="1"/>
  <c r="AR24" i="2" a="1"/>
  <c r="AR24" i="2" s="1"/>
  <c r="AS25" i="2" s="1"/>
  <c r="AH14" i="2" a="1"/>
  <c r="AH14" i="2" s="1"/>
  <c r="AL16" i="2" a="1"/>
  <c r="AL16" i="2" s="1"/>
  <c r="AM17" i="2" s="1"/>
  <c r="AH26" i="2" a="1"/>
  <c r="AH26" i="2" s="1"/>
  <c r="AU34" i="2" a="1"/>
  <c r="AU34" i="2" s="1"/>
  <c r="AT35" i="2" a="1"/>
  <c r="AT35" i="2" s="1"/>
  <c r="AT34" i="2" a="1"/>
  <c r="AT34" i="2" s="1"/>
  <c r="AT41" i="2" a="1"/>
  <c r="AT41" i="2" s="1"/>
  <c r="AT40" i="2" a="1"/>
  <c r="AT40" i="2" s="1"/>
  <c r="AU40" i="2" a="1"/>
  <c r="AU40" i="2" s="1"/>
  <c r="AU30" i="2" a="1"/>
  <c r="AU30" i="2" s="1"/>
  <c r="AT30" i="2" a="1"/>
  <c r="AT30" i="2" s="1"/>
  <c r="AT31" i="2" a="1"/>
  <c r="AT31" i="2" s="1"/>
  <c r="AU38" i="2" a="1"/>
  <c r="AU38" i="2" s="1"/>
  <c r="AT38" i="2" a="1"/>
  <c r="AT38" i="2" s="1"/>
  <c r="AT39" i="2" a="1"/>
  <c r="AT39" i="2" s="1"/>
  <c r="AT33" i="2" a="1"/>
  <c r="AT33" i="2" s="1"/>
  <c r="AU32" i="2" a="1"/>
  <c r="AU32" i="2" s="1"/>
  <c r="AT32" i="2" a="1"/>
  <c r="AT32" i="2" s="1"/>
  <c r="AU36" i="2" a="1"/>
  <c r="AU36" i="2" s="1"/>
  <c r="AT36" i="2" a="1"/>
  <c r="AT36" i="2" s="1"/>
  <c r="AT37" i="2" a="1"/>
  <c r="AT37" i="2" s="1"/>
  <c r="AO20" i="2" a="1"/>
  <c r="AN21" i="2" a="1"/>
  <c r="AH15" i="2" a="1"/>
  <c r="AO22" i="2" a="1"/>
  <c r="AM16" i="2" a="1"/>
  <c r="AL17" i="2" a="1"/>
  <c r="AO12" i="2" a="1"/>
  <c r="AN23" i="2" a="1"/>
  <c r="AN13" i="2" a="1"/>
  <c r="AI26" i="2" a="1"/>
  <c r="AI14" i="2" a="1"/>
  <c r="AS24" i="2" a="1"/>
  <c r="AH27" i="2" a="1"/>
  <c r="AI15" i="2" l="1"/>
  <c r="AO23" i="2"/>
  <c r="AO21" i="2"/>
  <c r="AI27" i="2"/>
  <c r="AU41" i="2"/>
  <c r="AU39" i="2"/>
  <c r="AU37" i="2"/>
  <c r="AU35" i="2"/>
  <c r="AU33" i="2"/>
  <c r="AU31" i="2"/>
  <c r="AH27" i="2"/>
  <c r="AS24" i="2"/>
  <c r="AI14" i="2"/>
  <c r="AI26" i="2"/>
  <c r="AN13" i="2"/>
  <c r="AN23" i="2"/>
  <c r="AO12" i="2"/>
  <c r="AL17" i="2"/>
  <c r="AM16" i="2"/>
  <c r="AO22" i="2"/>
  <c r="AH15" i="2"/>
  <c r="AN21" i="2"/>
  <c r="AO20" i="2"/>
  <c r="AH28" i="2" a="1"/>
  <c r="AH28" i="2" s="1"/>
  <c r="AI29" i="2" s="1"/>
  <c r="AP18" i="2" a="1"/>
  <c r="AP18" i="2" s="1"/>
  <c r="AQ19" i="2" s="1"/>
  <c r="AW32" i="2" a="1"/>
  <c r="AW32" i="2" s="1"/>
  <c r="AV33" i="2" a="1"/>
  <c r="AV33" i="2" s="1"/>
  <c r="AV32" i="2" a="1"/>
  <c r="AV32" i="2" s="1"/>
  <c r="AW30" i="2" a="1"/>
  <c r="AW30" i="2" s="1"/>
  <c r="AV30" i="2" a="1"/>
  <c r="AV30" i="2" s="1"/>
  <c r="AV31" i="2" a="1"/>
  <c r="AV31" i="2" s="1"/>
  <c r="AV37" i="2" a="1"/>
  <c r="AV37" i="2" s="1"/>
  <c r="AW36" i="2" a="1"/>
  <c r="AW36" i="2" s="1"/>
  <c r="AV36" i="2" a="1"/>
  <c r="AV36" i="2" s="1"/>
  <c r="AV40" i="2" a="1"/>
  <c r="AV40" i="2" s="1"/>
  <c r="AV41" i="2" a="1"/>
  <c r="AV41" i="2" s="1"/>
  <c r="AW40" i="2" a="1"/>
  <c r="AW40" i="2" s="1"/>
  <c r="AV39" i="2" a="1"/>
  <c r="AV39" i="2" s="1"/>
  <c r="AW38" i="2" a="1"/>
  <c r="AW38" i="2" s="1"/>
  <c r="AV38" i="2" a="1"/>
  <c r="AV38" i="2" s="1"/>
  <c r="AW34" i="2" a="1"/>
  <c r="AW34" i="2" s="1"/>
  <c r="AV34" i="2" a="1"/>
  <c r="AV34" i="2" s="1"/>
  <c r="AV35" i="2" a="1"/>
  <c r="AV35" i="2" s="1"/>
  <c r="AP19" i="2" a="1"/>
  <c r="AQ18" i="2" a="1"/>
  <c r="AH29" i="2" a="1"/>
  <c r="AI28" i="2" a="1"/>
  <c r="AW41" i="2" l="1"/>
  <c r="AW39" i="2"/>
  <c r="AW37" i="2"/>
  <c r="AW35" i="2"/>
  <c r="AW33" i="2"/>
  <c r="AW31" i="2"/>
  <c r="AI28" i="2"/>
  <c r="AH29" i="2"/>
  <c r="AQ18" i="2"/>
  <c r="AP19" i="2"/>
  <c r="AP12" i="2" a="1"/>
  <c r="AP12" i="2" s="1"/>
  <c r="AQ13" i="2" s="1"/>
  <c r="AP20" i="2" a="1"/>
  <c r="AP20" i="2" s="1"/>
  <c r="AJ26" i="2" a="1"/>
  <c r="AJ26" i="2" s="1"/>
  <c r="AJ14" i="2" a="1"/>
  <c r="AJ14" i="2" s="1"/>
  <c r="AP22" i="2" a="1"/>
  <c r="AP22" i="2" s="1"/>
  <c r="AT24" i="2" a="1"/>
  <c r="AT24" i="2" s="1"/>
  <c r="AU25" i="2" s="1"/>
  <c r="AN16" i="2" a="1"/>
  <c r="AN16" i="2" s="1"/>
  <c r="AO17" i="2" s="1"/>
  <c r="AX31" i="2" a="1"/>
  <c r="AX31" i="2" s="1"/>
  <c r="AY30" i="2" a="1"/>
  <c r="AY30" i="2" s="1"/>
  <c r="AX30" i="2" a="1"/>
  <c r="AX30" i="2" s="1"/>
  <c r="AY40" i="2" a="1"/>
  <c r="AY40" i="2" s="1"/>
  <c r="AX41" i="2" a="1"/>
  <c r="AX41" i="2" s="1"/>
  <c r="AX40" i="2" a="1"/>
  <c r="AX40" i="2" s="1"/>
  <c r="AX35" i="2" a="1"/>
  <c r="AX35" i="2" s="1"/>
  <c r="AY34" i="2" a="1"/>
  <c r="AY34" i="2" s="1"/>
  <c r="AX34" i="2" a="1"/>
  <c r="AX34" i="2" s="1"/>
  <c r="AY38" i="2" a="1"/>
  <c r="AY38" i="2" s="1"/>
  <c r="AX39" i="2" a="1"/>
  <c r="AX39" i="2" s="1"/>
  <c r="AX38" i="2" a="1"/>
  <c r="AX38" i="2" s="1"/>
  <c r="AY36" i="2" a="1"/>
  <c r="AY36" i="2" s="1"/>
  <c r="AX36" i="2" a="1"/>
  <c r="AX36" i="2" s="1"/>
  <c r="AX37" i="2" a="1"/>
  <c r="AX37" i="2" s="1"/>
  <c r="AX33" i="2" a="1"/>
  <c r="AX33" i="2" s="1"/>
  <c r="AX32" i="2" a="1"/>
  <c r="AX32" i="2" s="1"/>
  <c r="AY32" i="2" a="1"/>
  <c r="AY32" i="2" s="1"/>
  <c r="AQ22" i="2" a="1"/>
  <c r="AO16" i="2" a="1"/>
  <c r="AP21" i="2" a="1"/>
  <c r="AP23" i="2" a="1"/>
  <c r="AK26" i="2" a="1"/>
  <c r="AJ27" i="2" a="1"/>
  <c r="AU24" i="2" a="1"/>
  <c r="AP13" i="2" a="1"/>
  <c r="AJ15" i="2" a="1"/>
  <c r="AT25" i="2" a="1"/>
  <c r="AN17" i="2" a="1"/>
  <c r="AQ12" i="2" a="1"/>
  <c r="AK14" i="2" a="1"/>
  <c r="AQ20" i="2" a="1"/>
  <c r="AK15" i="2" l="1"/>
  <c r="AQ23" i="2"/>
  <c r="AK27" i="2"/>
  <c r="AQ21" i="2"/>
  <c r="AY41" i="2"/>
  <c r="AY39" i="2"/>
  <c r="AY37" i="2"/>
  <c r="AY35" i="2"/>
  <c r="AY33" i="2"/>
  <c r="AY31" i="2"/>
  <c r="AQ20" i="2"/>
  <c r="AK14" i="2"/>
  <c r="AQ12" i="2"/>
  <c r="AN17" i="2"/>
  <c r="AT25" i="2"/>
  <c r="AJ15" i="2"/>
  <c r="AP13" i="2"/>
  <c r="AU24" i="2"/>
  <c r="AJ27" i="2"/>
  <c r="AK26" i="2"/>
  <c r="AP23" i="2"/>
  <c r="AP21" i="2"/>
  <c r="AO16" i="2"/>
  <c r="AQ22" i="2"/>
  <c r="AR18" i="2" a="1"/>
  <c r="AR18" i="2" s="1"/>
  <c r="AS19" i="2" s="1"/>
  <c r="AJ28" i="2" a="1"/>
  <c r="AJ28" i="2" s="1"/>
  <c r="AK29" i="2" s="1"/>
  <c r="AZ33" i="2" a="1"/>
  <c r="AZ33" i="2" s="1"/>
  <c r="BA32" i="2" a="1"/>
  <c r="BA32" i="2" s="1"/>
  <c r="AZ32" i="2" a="1"/>
  <c r="AZ32" i="2" s="1"/>
  <c r="AZ40" i="2" a="1"/>
  <c r="AZ40" i="2" s="1"/>
  <c r="BA40" i="2" a="1"/>
  <c r="BA40" i="2" s="1"/>
  <c r="AZ41" i="2" a="1"/>
  <c r="AZ41" i="2" s="1"/>
  <c r="AZ31" i="2" a="1"/>
  <c r="AZ31" i="2" s="1"/>
  <c r="BA30" i="2" a="1"/>
  <c r="BA30" i="2" s="1"/>
  <c r="AZ30" i="2" a="1"/>
  <c r="AZ30" i="2" s="1"/>
  <c r="AZ39" i="2" a="1"/>
  <c r="AZ39" i="2" s="1"/>
  <c r="AZ38" i="2" a="1"/>
  <c r="AZ38" i="2" s="1"/>
  <c r="BA38" i="2" a="1"/>
  <c r="BA38" i="2" s="1"/>
  <c r="AZ34" i="2" a="1"/>
  <c r="AZ34" i="2" s="1"/>
  <c r="BA34" i="2" a="1"/>
  <c r="BA34" i="2" s="1"/>
  <c r="AZ35" i="2" a="1"/>
  <c r="AZ35" i="2" s="1"/>
  <c r="AZ36" i="2" a="1"/>
  <c r="AZ36" i="2" s="1"/>
  <c r="AZ37" i="2" a="1"/>
  <c r="AZ37" i="2" s="1"/>
  <c r="BA36" i="2" a="1"/>
  <c r="BA36" i="2" s="1"/>
  <c r="AK28" i="2" a="1"/>
  <c r="AJ29" i="2" a="1"/>
  <c r="AR19" i="2" a="1"/>
  <c r="AS18" i="2" a="1"/>
  <c r="BA41" i="2" l="1"/>
  <c r="BA39" i="2"/>
  <c r="BA37" i="2"/>
  <c r="BA35" i="2"/>
  <c r="BA33" i="2"/>
  <c r="BA31" i="2"/>
  <c r="AS18" i="2"/>
  <c r="AR19" i="2"/>
  <c r="AJ29" i="2"/>
  <c r="AK28" i="2"/>
  <c r="AV24" i="2" a="1"/>
  <c r="AV24" i="2" s="1"/>
  <c r="AW25" i="2" s="1"/>
  <c r="AR22" i="2" a="1"/>
  <c r="AR22" i="2" s="1"/>
  <c r="AP16" i="2" a="1"/>
  <c r="AP16" i="2" s="1"/>
  <c r="AQ17" i="2" s="1"/>
  <c r="AR12" i="2" a="1"/>
  <c r="AR12" i="2" s="1"/>
  <c r="AS13" i="2" s="1"/>
  <c r="AL26" i="2" a="1"/>
  <c r="AL26" i="2" s="1"/>
  <c r="AL14" i="2" a="1"/>
  <c r="AL14" i="2" s="1"/>
  <c r="AR20" i="2" a="1"/>
  <c r="AR20" i="2" s="1"/>
  <c r="BC38" i="2" a="1"/>
  <c r="BC38" i="2" s="1"/>
  <c r="BB38" i="2" a="1"/>
  <c r="BB38" i="2" s="1"/>
  <c r="BB39" i="2" a="1"/>
  <c r="BB39" i="2" s="1"/>
  <c r="BB41" i="2" a="1"/>
  <c r="BB41" i="2" s="1"/>
  <c r="BC40" i="2" a="1"/>
  <c r="BC40" i="2" s="1"/>
  <c r="BB40" i="2" a="1"/>
  <c r="BB40" i="2" s="1"/>
  <c r="BB37" i="2" a="1"/>
  <c r="BB37" i="2" s="1"/>
  <c r="BB36" i="2" a="1"/>
  <c r="BB36" i="2" s="1"/>
  <c r="BC36" i="2" a="1"/>
  <c r="BC36" i="2" s="1"/>
  <c r="BB35" i="2" a="1"/>
  <c r="BB35" i="2" s="1"/>
  <c r="BC34" i="2" a="1"/>
  <c r="BC34" i="2" s="1"/>
  <c r="BB34" i="2" a="1"/>
  <c r="BB34" i="2" s="1"/>
  <c r="BB33" i="2" a="1"/>
  <c r="BB33" i="2" s="1"/>
  <c r="BC32" i="2" a="1"/>
  <c r="BC32" i="2" s="1"/>
  <c r="BB32" i="2" a="1"/>
  <c r="BB32" i="2" s="1"/>
  <c r="BC30" i="2" a="1"/>
  <c r="BC30" i="2" s="1"/>
  <c r="BB31" i="2" a="1"/>
  <c r="BB31" i="2" s="1"/>
  <c r="BB30" i="2" a="1"/>
  <c r="BB30" i="2" s="1"/>
  <c r="AM26" i="2" a="1"/>
  <c r="AS20" i="2" a="1"/>
  <c r="AR23" i="2" a="1"/>
  <c r="AL27" i="2" a="1"/>
  <c r="AQ16" i="2" a="1"/>
  <c r="AM14" i="2" a="1"/>
  <c r="AP17" i="2" a="1"/>
  <c r="AL15" i="2" a="1"/>
  <c r="AW24" i="2" a="1"/>
  <c r="AV25" i="2" a="1"/>
  <c r="AS12" i="2" a="1"/>
  <c r="AR21" i="2" a="1"/>
  <c r="AS22" i="2" a="1"/>
  <c r="AR13" i="2" a="1"/>
  <c r="AM15" i="2" l="1"/>
  <c r="AM27" i="2"/>
  <c r="AS23" i="2"/>
  <c r="AS21" i="2"/>
  <c r="BC41" i="2"/>
  <c r="BC39" i="2"/>
  <c r="BC37" i="2"/>
  <c r="BC35" i="2"/>
  <c r="BC33" i="2"/>
  <c r="BC31" i="2"/>
  <c r="AR13" i="2"/>
  <c r="AS22" i="2"/>
  <c r="AR21" i="2"/>
  <c r="AS12" i="2"/>
  <c r="AV25" i="2"/>
  <c r="AW24" i="2"/>
  <c r="AL15" i="2"/>
  <c r="AP17" i="2"/>
  <c r="AM14" i="2"/>
  <c r="AQ16" i="2"/>
  <c r="AL27" i="2"/>
  <c r="AR23" i="2"/>
  <c r="AS20" i="2"/>
  <c r="AM26" i="2"/>
  <c r="AL28" i="2" a="1"/>
  <c r="AL28" i="2" s="1"/>
  <c r="AM29" i="2" s="1"/>
  <c r="AT18" i="2" a="1"/>
  <c r="AT18" i="2" s="1"/>
  <c r="AU19" i="2" s="1"/>
  <c r="BE32" i="2" a="1"/>
  <c r="BE32" i="2" s="1"/>
  <c r="BD33" i="2" a="1"/>
  <c r="BD33" i="2" s="1"/>
  <c r="BD32" i="2" a="1"/>
  <c r="BD32" i="2" s="1"/>
  <c r="BD39" i="2" a="1"/>
  <c r="BD39" i="2" s="1"/>
  <c r="BE38" i="2" a="1"/>
  <c r="BE38" i="2" s="1"/>
  <c r="BD38" i="2" a="1"/>
  <c r="BD38" i="2" s="1"/>
  <c r="BE30" i="2" a="1"/>
  <c r="BE30" i="2" s="1"/>
  <c r="BD31" i="2" a="1"/>
  <c r="BD31" i="2" s="1"/>
  <c r="BD30" i="2" a="1"/>
  <c r="BD30" i="2" s="1"/>
  <c r="BD34" i="2" a="1"/>
  <c r="BD34" i="2" s="1"/>
  <c r="BD35" i="2" a="1"/>
  <c r="BD35" i="2" s="1"/>
  <c r="BE34" i="2" a="1"/>
  <c r="BE34" i="2" s="1"/>
  <c r="BD41" i="2" a="1"/>
  <c r="BD41" i="2" s="1"/>
  <c r="BD40" i="2" a="1"/>
  <c r="BD40" i="2" s="1"/>
  <c r="BE40" i="2" a="1"/>
  <c r="BE40" i="2" s="1"/>
  <c r="BD36" i="2" a="1"/>
  <c r="BD36" i="2" s="1"/>
  <c r="BD37" i="2" a="1"/>
  <c r="BD37" i="2" s="1"/>
  <c r="BE36" i="2" a="1"/>
  <c r="BE36" i="2" s="1"/>
  <c r="AM28" i="2" a="1"/>
  <c r="AT19" i="2" a="1"/>
  <c r="AL29" i="2" a="1"/>
  <c r="AU18" i="2" a="1"/>
  <c r="BE41" i="2" l="1"/>
  <c r="BE39" i="2"/>
  <c r="BE37" i="2"/>
  <c r="BE35" i="2"/>
  <c r="BE33" i="2"/>
  <c r="BE31" i="2"/>
  <c r="AU18" i="2"/>
  <c r="AL29" i="2"/>
  <c r="AT19" i="2"/>
  <c r="AM28" i="2"/>
  <c r="AN26" i="2" a="1"/>
  <c r="AN26" i="2" s="1"/>
  <c r="AX24" i="2" a="1"/>
  <c r="AX24" i="2" s="1"/>
  <c r="AY25" i="2" s="1"/>
  <c r="AT20" i="2" a="1"/>
  <c r="AT20" i="2" s="1"/>
  <c r="AT12" i="2" a="1"/>
  <c r="AT12" i="2" s="1"/>
  <c r="AU13" i="2" s="1"/>
  <c r="AR16" i="2" a="1"/>
  <c r="AR16" i="2" s="1"/>
  <c r="AS17" i="2" s="1"/>
  <c r="AT22" i="2" a="1"/>
  <c r="AT22" i="2" s="1"/>
  <c r="AN14" i="2" a="1"/>
  <c r="AN14" i="2" s="1"/>
  <c r="BG40" i="2" a="1"/>
  <c r="BG40" i="2" s="1"/>
  <c r="BF41" i="2" a="1"/>
  <c r="BF41" i="2" s="1"/>
  <c r="BF40" i="2" a="1"/>
  <c r="BF40" i="2" s="1"/>
  <c r="BG36" i="2" a="1"/>
  <c r="BG36" i="2" s="1"/>
  <c r="BF37" i="2" a="1"/>
  <c r="BF37" i="2" s="1"/>
  <c r="BF36" i="2" a="1"/>
  <c r="BF36" i="2" s="1"/>
  <c r="BF33" i="2" a="1"/>
  <c r="BF33" i="2" s="1"/>
  <c r="BF32" i="2" a="1"/>
  <c r="BF32" i="2" s="1"/>
  <c r="BG32" i="2" a="1"/>
  <c r="BG32" i="2" s="1"/>
  <c r="BF31" i="2" a="1"/>
  <c r="BF31" i="2" s="1"/>
  <c r="BG30" i="2" a="1"/>
  <c r="BG30" i="2" s="1"/>
  <c r="BF30" i="2" a="1"/>
  <c r="BF30" i="2" s="1"/>
  <c r="BF35" i="2" a="1"/>
  <c r="BF35" i="2" s="1"/>
  <c r="BF34" i="2" a="1"/>
  <c r="BF34" i="2" s="1"/>
  <c r="BG34" i="2" a="1"/>
  <c r="BG34" i="2" s="1"/>
  <c r="BG38" i="2" a="1"/>
  <c r="BG38" i="2" s="1"/>
  <c r="BF39" i="2" a="1"/>
  <c r="BF39" i="2" s="1"/>
  <c r="BF38" i="2" a="1"/>
  <c r="BF38" i="2" s="1"/>
  <c r="AX25" i="2" a="1"/>
  <c r="AO14" i="2" a="1"/>
  <c r="AY24" i="2" a="1"/>
  <c r="AR17" i="2" a="1"/>
  <c r="AS16" i="2" a="1"/>
  <c r="AN15" i="2" a="1"/>
  <c r="AU20" i="2" a="1"/>
  <c r="AU22" i="2" a="1"/>
  <c r="AN27" i="2" a="1"/>
  <c r="AT21" i="2" a="1"/>
  <c r="AT23" i="2" a="1"/>
  <c r="AU12" i="2" a="1"/>
  <c r="AO26" i="2" a="1"/>
  <c r="AT13" i="2" a="1"/>
  <c r="AO15" i="2" l="1"/>
  <c r="AU23" i="2"/>
  <c r="AU21" i="2"/>
  <c r="AO27" i="2"/>
  <c r="BG41" i="2"/>
  <c r="BG39" i="2"/>
  <c r="BG37" i="2"/>
  <c r="BG35" i="2"/>
  <c r="BG33" i="2"/>
  <c r="BG31" i="2"/>
  <c r="AT13" i="2"/>
  <c r="AO26" i="2"/>
  <c r="AU12" i="2"/>
  <c r="AT23" i="2"/>
  <c r="AT21" i="2"/>
  <c r="AN27" i="2"/>
  <c r="AU22" i="2"/>
  <c r="AU20" i="2"/>
  <c r="AN15" i="2"/>
  <c r="AS16" i="2"/>
  <c r="AR17" i="2"/>
  <c r="AY24" i="2"/>
  <c r="AO14" i="2"/>
  <c r="AX25" i="2"/>
  <c r="AN28" i="2" a="1"/>
  <c r="AN28" i="2" s="1"/>
  <c r="AO29" i="2" s="1"/>
  <c r="AV18" i="2" a="1"/>
  <c r="AV18" i="2" s="1"/>
  <c r="AW19" i="2" s="1"/>
  <c r="BI30" i="2" a="1"/>
  <c r="BI30" i="2" s="1"/>
  <c r="BH31" i="2" a="1"/>
  <c r="BH31" i="2" s="1"/>
  <c r="BH30" i="2" a="1"/>
  <c r="BH30" i="2" s="1"/>
  <c r="BI32" i="2" a="1"/>
  <c r="BI32" i="2" s="1"/>
  <c r="BH33" i="2" a="1"/>
  <c r="BH33" i="2" s="1"/>
  <c r="BH32" i="2" a="1"/>
  <c r="BH32" i="2" s="1"/>
  <c r="BH37" i="2" a="1"/>
  <c r="BH37" i="2" s="1"/>
  <c r="BH36" i="2" a="1"/>
  <c r="BH36" i="2" s="1"/>
  <c r="BI36" i="2" a="1"/>
  <c r="BI36" i="2" s="1"/>
  <c r="BI34" i="2" a="1"/>
  <c r="BI34" i="2" s="1"/>
  <c r="BH34" i="2" a="1"/>
  <c r="BH34" i="2" s="1"/>
  <c r="BH35" i="2" a="1"/>
  <c r="BH35" i="2" s="1"/>
  <c r="BH39" i="2" a="1"/>
  <c r="BH39" i="2" s="1"/>
  <c r="BI38" i="2" a="1"/>
  <c r="BI38" i="2" s="1"/>
  <c r="BH38" i="2" a="1"/>
  <c r="BH38" i="2" s="1"/>
  <c r="BH40" i="2" a="1"/>
  <c r="BH40" i="2" s="1"/>
  <c r="BI40" i="2" a="1"/>
  <c r="BI40" i="2" s="1"/>
  <c r="BH41" i="2" a="1"/>
  <c r="BH41" i="2" s="1"/>
  <c r="AO28" i="2" a="1"/>
  <c r="AV19" i="2" a="1"/>
  <c r="AW18" i="2" a="1"/>
  <c r="AN29" i="2" a="1"/>
  <c r="BI41" i="2" l="1"/>
  <c r="BI39" i="2"/>
  <c r="BI37" i="2"/>
  <c r="BI35" i="2"/>
  <c r="BI33" i="2"/>
  <c r="BI31" i="2"/>
  <c r="AN29" i="2"/>
  <c r="AW18" i="2"/>
  <c r="AV19" i="2"/>
  <c r="AO28" i="2"/>
  <c r="AV20" i="2" a="1"/>
  <c r="AV20" i="2" s="1"/>
  <c r="AV22" i="2" a="1"/>
  <c r="AV22" i="2" s="1"/>
  <c r="AP14" i="2" a="1"/>
  <c r="AP14" i="2" s="1"/>
  <c r="AZ24" i="2" a="1"/>
  <c r="AZ24" i="2" s="1"/>
  <c r="BA25" i="2" s="1"/>
  <c r="AT16" i="2" a="1"/>
  <c r="AT16" i="2" s="1"/>
  <c r="AU17" i="2" s="1"/>
  <c r="AP26" i="2" a="1"/>
  <c r="AP26" i="2" s="1"/>
  <c r="AV12" i="2" a="1"/>
  <c r="AV12" i="2" s="1"/>
  <c r="AW13" i="2" s="1"/>
  <c r="BK38" i="2" a="1"/>
  <c r="BK38" i="2" s="1"/>
  <c r="BJ39" i="2" a="1"/>
  <c r="BJ39" i="2" s="1"/>
  <c r="BJ38" i="2" a="1"/>
  <c r="BJ38" i="2" s="1"/>
  <c r="BK32" i="2" a="1"/>
  <c r="BK32" i="2" s="1"/>
  <c r="BJ33" i="2" a="1"/>
  <c r="BJ33" i="2" s="1"/>
  <c r="BJ32" i="2" a="1"/>
  <c r="BJ32" i="2" s="1"/>
  <c r="BJ35" i="2" a="1"/>
  <c r="BJ35" i="2" s="1"/>
  <c r="BK34" i="2" a="1"/>
  <c r="BK34" i="2" s="1"/>
  <c r="BJ34" i="2" a="1"/>
  <c r="BJ34" i="2" s="1"/>
  <c r="BJ41" i="2" a="1"/>
  <c r="BJ41" i="2" s="1"/>
  <c r="BJ40" i="2" a="1"/>
  <c r="BJ40" i="2" s="1"/>
  <c r="BK40" i="2" a="1"/>
  <c r="BK40" i="2" s="1"/>
  <c r="BJ37" i="2" a="1"/>
  <c r="BJ37" i="2" s="1"/>
  <c r="BK36" i="2" a="1"/>
  <c r="BK36" i="2" s="1"/>
  <c r="BJ36" i="2" a="1"/>
  <c r="BJ36" i="2" s="1"/>
  <c r="BK30" i="2" a="1"/>
  <c r="BK30" i="2" s="1"/>
  <c r="BJ31" i="2" a="1"/>
  <c r="BJ31" i="2" s="1"/>
  <c r="BJ30" i="2" a="1"/>
  <c r="BJ30" i="2" s="1"/>
  <c r="AT17" i="2" a="1"/>
  <c r="AW22" i="2" a="1"/>
  <c r="AU16" i="2" a="1"/>
  <c r="AQ26" i="2" a="1"/>
  <c r="AP15" i="2" a="1"/>
  <c r="AQ14" i="2" a="1"/>
  <c r="AP27" i="2" a="1"/>
  <c r="AV21" i="2" a="1"/>
  <c r="AW20" i="2" a="1"/>
  <c r="BA24" i="2" a="1"/>
  <c r="AV13" i="2" a="1"/>
  <c r="AV23" i="2" a="1"/>
  <c r="AZ25" i="2" a="1"/>
  <c r="AW12" i="2" a="1"/>
  <c r="AQ15" i="2" l="1"/>
  <c r="AW23" i="2"/>
  <c r="AW21" i="2"/>
  <c r="AQ27" i="2"/>
  <c r="BK41" i="2"/>
  <c r="BK39" i="2"/>
  <c r="BK37" i="2"/>
  <c r="BK35" i="2"/>
  <c r="BK33" i="2"/>
  <c r="BK31" i="2"/>
  <c r="AW12" i="2"/>
  <c r="AZ25" i="2"/>
  <c r="AV23" i="2"/>
  <c r="AV13" i="2"/>
  <c r="BA24" i="2"/>
  <c r="AW20" i="2"/>
  <c r="AV21" i="2"/>
  <c r="AP27" i="2"/>
  <c r="AQ14" i="2"/>
  <c r="AP15" i="2"/>
  <c r="AQ26" i="2"/>
  <c r="AU16" i="2"/>
  <c r="AW22" i="2"/>
  <c r="AT17" i="2"/>
  <c r="AP28" i="2" a="1"/>
  <c r="AP28" i="2" s="1"/>
  <c r="AQ29" i="2" s="1"/>
  <c r="AX18" i="2" a="1"/>
  <c r="AX18" i="2" s="1"/>
  <c r="AY19" i="2" s="1"/>
  <c r="BM36" i="2" a="1"/>
  <c r="BM36" i="2" s="1"/>
  <c r="BL37" i="2" a="1"/>
  <c r="BL37" i="2" s="1"/>
  <c r="BL36" i="2" a="1"/>
  <c r="BL36" i="2" s="1"/>
  <c r="BL40" i="2" a="1"/>
  <c r="BL40" i="2" s="1"/>
  <c r="BM40" i="2" a="1"/>
  <c r="BM40" i="2" s="1"/>
  <c r="BL41" i="2" a="1"/>
  <c r="BL41" i="2" s="1"/>
  <c r="BM32" i="2" a="1"/>
  <c r="BM32" i="2" s="1"/>
  <c r="BL33" i="2" a="1"/>
  <c r="BL33" i="2" s="1"/>
  <c r="BL32" i="2" a="1"/>
  <c r="BL32" i="2" s="1"/>
  <c r="BL34" i="2" a="1"/>
  <c r="BL34" i="2" s="1"/>
  <c r="BM34" i="2" a="1"/>
  <c r="BM34" i="2" s="1"/>
  <c r="BL35" i="2" a="1"/>
  <c r="BL35" i="2" s="1"/>
  <c r="BM30" i="2" a="1"/>
  <c r="BM30" i="2" s="1"/>
  <c r="BL31" i="2" a="1"/>
  <c r="BL31" i="2" s="1"/>
  <c r="BL30" i="2" a="1"/>
  <c r="BL30" i="2" s="1"/>
  <c r="BL38" i="2" a="1"/>
  <c r="BL38" i="2" s="1"/>
  <c r="BL39" i="2" a="1"/>
  <c r="BL39" i="2" s="1"/>
  <c r="BM38" i="2" a="1"/>
  <c r="BM38" i="2" s="1"/>
  <c r="AY18" i="2" a="1"/>
  <c r="AX19" i="2" a="1"/>
  <c r="AQ28" i="2" a="1"/>
  <c r="AP29" i="2" a="1"/>
  <c r="BM41" i="2" l="1"/>
  <c r="BM39" i="2"/>
  <c r="BM37" i="2"/>
  <c r="BM35" i="2"/>
  <c r="BM33" i="2"/>
  <c r="BM31" i="2"/>
  <c r="AP29" i="2"/>
  <c r="AQ28" i="2"/>
  <c r="AX19" i="2"/>
  <c r="AY18" i="2"/>
  <c r="AX20" i="2" a="1"/>
  <c r="AX20" i="2" s="1"/>
  <c r="AX22" i="2" a="1"/>
  <c r="AX22" i="2" s="1"/>
  <c r="BB24" i="2" a="1"/>
  <c r="BB24" i="2" s="1"/>
  <c r="BC25" i="2" s="1"/>
  <c r="AV16" i="2" a="1"/>
  <c r="AV16" i="2" s="1"/>
  <c r="AW17" i="2" s="1"/>
  <c r="AR26" i="2" a="1"/>
  <c r="AR26" i="2" s="1"/>
  <c r="AR14" i="2" a="1"/>
  <c r="AR14" i="2" s="1"/>
  <c r="AX12" i="2" a="1"/>
  <c r="AX12" i="2" s="1"/>
  <c r="AY13" i="2" s="1"/>
  <c r="BN41" i="2" a="1"/>
  <c r="BN41" i="2" s="1"/>
  <c r="BN40" i="2" a="1"/>
  <c r="BN40" i="2" s="1"/>
  <c r="BO40" i="2" a="1"/>
  <c r="BO40" i="2" s="1"/>
  <c r="BN31" i="2" a="1"/>
  <c r="BN31" i="2" s="1"/>
  <c r="BO30" i="2" a="1"/>
  <c r="BO30" i="2" s="1"/>
  <c r="BN30" i="2" a="1"/>
  <c r="BN30" i="2" s="1"/>
  <c r="BN33" i="2" a="1"/>
  <c r="BN33" i="2" s="1"/>
  <c r="BN32" i="2" a="1"/>
  <c r="BN32" i="2" s="1"/>
  <c r="BO32" i="2" a="1"/>
  <c r="BO32" i="2" s="1"/>
  <c r="BO38" i="2" a="1"/>
  <c r="BO38" i="2" s="1"/>
  <c r="BN39" i="2" a="1"/>
  <c r="BN39" i="2" s="1"/>
  <c r="BN38" i="2" a="1"/>
  <c r="BN38" i="2" s="1"/>
  <c r="BN37" i="2" a="1"/>
  <c r="BN37" i="2" s="1"/>
  <c r="BN36" i="2" a="1"/>
  <c r="BN36" i="2" s="1"/>
  <c r="BO36" i="2" a="1"/>
  <c r="BO36" i="2" s="1"/>
  <c r="BN35" i="2" a="1"/>
  <c r="BN35" i="2" s="1"/>
  <c r="BO34" i="2" a="1"/>
  <c r="BO34" i="2" s="1"/>
  <c r="BN34" i="2" a="1"/>
  <c r="BN34" i="2" s="1"/>
  <c r="AR27" i="2" a="1"/>
  <c r="AY12" i="2" a="1"/>
  <c r="AY22" i="2" a="1"/>
  <c r="AR15" i="2" a="1"/>
  <c r="BB25" i="2" a="1"/>
  <c r="AS26" i="2" a="1"/>
  <c r="AX21" i="2" a="1"/>
  <c r="AV17" i="2" a="1"/>
  <c r="AS14" i="2" a="1"/>
  <c r="AY20" i="2" a="1"/>
  <c r="AX23" i="2" a="1"/>
  <c r="AW16" i="2" a="1"/>
  <c r="AX13" i="2" a="1"/>
  <c r="BC24" i="2" a="1"/>
  <c r="AS15" i="2" l="1"/>
  <c r="AY23" i="2"/>
  <c r="AY21" i="2"/>
  <c r="AS27" i="2"/>
  <c r="BO41" i="2"/>
  <c r="BO39" i="2"/>
  <c r="BO37" i="2"/>
  <c r="BO35" i="2"/>
  <c r="BO33" i="2"/>
  <c r="BO31" i="2"/>
  <c r="BC24" i="2"/>
  <c r="AX13" i="2"/>
  <c r="AW16" i="2"/>
  <c r="AX23" i="2"/>
  <c r="AY20" i="2"/>
  <c r="AS14" i="2"/>
  <c r="AV17" i="2"/>
  <c r="AX21" i="2"/>
  <c r="AS26" i="2"/>
  <c r="BB25" i="2"/>
  <c r="AR15" i="2"/>
  <c r="AY22" i="2"/>
  <c r="AY12" i="2"/>
  <c r="AR27" i="2"/>
  <c r="AZ18" i="2" a="1"/>
  <c r="AZ18" i="2" s="1"/>
  <c r="BA19" i="2" s="1"/>
  <c r="AR28" i="2" a="1"/>
  <c r="AR28" i="2" s="1"/>
  <c r="AS29" i="2" s="1"/>
  <c r="BP36" i="2" a="1"/>
  <c r="BP36" i="2" s="1"/>
  <c r="BQ36" i="2" a="1"/>
  <c r="BQ36" i="2" s="1"/>
  <c r="BP37" i="2" a="1"/>
  <c r="BP37" i="2" s="1"/>
  <c r="BQ34" i="2" a="1"/>
  <c r="BQ34" i="2" s="1"/>
  <c r="BP34" i="2" a="1"/>
  <c r="BP34" i="2" s="1"/>
  <c r="BP35" i="2" a="1"/>
  <c r="BP35" i="2" s="1"/>
  <c r="BP39" i="2" a="1"/>
  <c r="BP39" i="2" s="1"/>
  <c r="BP38" i="2" a="1"/>
  <c r="BP38" i="2" s="1"/>
  <c r="BQ38" i="2" a="1"/>
  <c r="BQ38" i="2" s="1"/>
  <c r="BP31" i="2" a="1"/>
  <c r="BP31" i="2" s="1"/>
  <c r="BQ30" i="2" a="1"/>
  <c r="BQ30" i="2" s="1"/>
  <c r="BP30" i="2" a="1"/>
  <c r="BP30" i="2" s="1"/>
  <c r="BP33" i="2" a="1"/>
  <c r="BP33" i="2" s="1"/>
  <c r="BQ32" i="2" a="1"/>
  <c r="BQ32" i="2" s="1"/>
  <c r="BP32" i="2" a="1"/>
  <c r="BP32" i="2" s="1"/>
  <c r="BP40" i="2" a="1"/>
  <c r="BP40" i="2" s="1"/>
  <c r="BP41" i="2" a="1"/>
  <c r="BP41" i="2" s="1"/>
  <c r="BQ40" i="2" a="1"/>
  <c r="BQ40" i="2" s="1"/>
  <c r="AR29" i="2" a="1"/>
  <c r="AZ19" i="2" a="1"/>
  <c r="AS28" i="2" a="1"/>
  <c r="BA18" i="2" a="1"/>
  <c r="BQ41" i="2" l="1"/>
  <c r="BQ39" i="2"/>
  <c r="BQ37" i="2"/>
  <c r="BQ35" i="2"/>
  <c r="BQ33" i="2"/>
  <c r="BQ31" i="2"/>
  <c r="BA18" i="2"/>
  <c r="AS28" i="2"/>
  <c r="AZ19" i="2"/>
  <c r="AR29" i="2"/>
  <c r="AT14" i="2" a="1"/>
  <c r="AT14" i="2" s="1"/>
  <c r="AZ12" i="2" a="1"/>
  <c r="AZ12" i="2" s="1"/>
  <c r="BA13" i="2" s="1"/>
  <c r="AZ20" i="2" a="1"/>
  <c r="AZ20" i="2" s="1"/>
  <c r="AZ22" i="2" a="1"/>
  <c r="AZ22" i="2" s="1"/>
  <c r="AX16" i="2" a="1"/>
  <c r="AX16" i="2" s="1"/>
  <c r="AY17" i="2" s="1"/>
  <c r="AT26" i="2" a="1"/>
  <c r="AT26" i="2" s="1"/>
  <c r="BD24" i="2" a="1"/>
  <c r="BD24" i="2" s="1"/>
  <c r="BE25" i="2" s="1"/>
  <c r="BS30" i="2" a="1"/>
  <c r="BS30" i="2" s="1"/>
  <c r="BR31" i="2" a="1"/>
  <c r="BR31" i="2" s="1"/>
  <c r="BR30" i="2" a="1"/>
  <c r="BR30" i="2" s="1"/>
  <c r="BR33" i="2" a="1"/>
  <c r="BR33" i="2" s="1"/>
  <c r="BS32" i="2" a="1"/>
  <c r="BS32" i="2" s="1"/>
  <c r="BR32" i="2" a="1"/>
  <c r="BR32" i="2" s="1"/>
  <c r="BR37" i="2" a="1"/>
  <c r="BR37" i="2" s="1"/>
  <c r="BR36" i="2" a="1"/>
  <c r="BR36" i="2" s="1"/>
  <c r="BS36" i="2" a="1"/>
  <c r="BS36" i="2" s="1"/>
  <c r="BS38" i="2" a="1"/>
  <c r="BS38" i="2" s="1"/>
  <c r="BR39" i="2" a="1"/>
  <c r="BR39" i="2" s="1"/>
  <c r="BR38" i="2" a="1"/>
  <c r="BR38" i="2" s="1"/>
  <c r="BR35" i="2" a="1"/>
  <c r="BR35" i="2" s="1"/>
  <c r="BS34" i="2" a="1"/>
  <c r="BS34" i="2" s="1"/>
  <c r="BR34" i="2" a="1"/>
  <c r="BR34" i="2" s="1"/>
  <c r="BR41" i="2" a="1"/>
  <c r="BR41" i="2" s="1"/>
  <c r="BR40" i="2" a="1"/>
  <c r="BR40" i="2" s="1"/>
  <c r="BS40" i="2" a="1"/>
  <c r="BS40" i="2" s="1"/>
  <c r="AX17" i="2" a="1"/>
  <c r="BE24" i="2" a="1"/>
  <c r="AZ13" i="2" a="1"/>
  <c r="AY16" i="2" a="1"/>
  <c r="AU26" i="2" a="1"/>
  <c r="BA22" i="2" a="1"/>
  <c r="AZ21" i="2" a="1"/>
  <c r="AT15" i="2" a="1"/>
  <c r="BA20" i="2" a="1"/>
  <c r="AT27" i="2" a="1"/>
  <c r="AU14" i="2" a="1"/>
  <c r="BA12" i="2" a="1"/>
  <c r="AZ23" i="2" a="1"/>
  <c r="BD25" i="2" a="1"/>
  <c r="AU15" i="2" l="1"/>
  <c r="AU27" i="2"/>
  <c r="BA23" i="2"/>
  <c r="BA21" i="2"/>
  <c r="BS41" i="2"/>
  <c r="BS39" i="2"/>
  <c r="BS37" i="2"/>
  <c r="BS35" i="2"/>
  <c r="BS33" i="2"/>
  <c r="BS31" i="2"/>
  <c r="BD25" i="2"/>
  <c r="AZ23" i="2"/>
  <c r="BA12" i="2"/>
  <c r="AU14" i="2"/>
  <c r="AT27" i="2"/>
  <c r="BA20" i="2"/>
  <c r="AT15" i="2"/>
  <c r="AZ21" i="2"/>
  <c r="BA22" i="2"/>
  <c r="AU26" i="2"/>
  <c r="AY16" i="2"/>
  <c r="AZ13" i="2"/>
  <c r="BE24" i="2"/>
  <c r="AX17" i="2"/>
  <c r="AT28" i="2" a="1"/>
  <c r="AT28" i="2" s="1"/>
  <c r="AU29" i="2" s="1"/>
  <c r="BB18" i="2" a="1"/>
  <c r="BB18" i="2" s="1"/>
  <c r="BC19" i="2" s="1"/>
  <c r="BU32" i="2" a="1"/>
  <c r="BU32" i="2" s="1"/>
  <c r="BT33" i="2" a="1"/>
  <c r="BT33" i="2" s="1"/>
  <c r="BT32" i="2" a="1"/>
  <c r="BT32" i="2" s="1"/>
  <c r="BT34" i="2" a="1"/>
  <c r="BT34" i="2" s="1"/>
  <c r="BU34" i="2" a="1"/>
  <c r="BU34" i="2" s="1"/>
  <c r="BT35" i="2" a="1"/>
  <c r="BT35" i="2" s="1"/>
  <c r="BT37" i="2" a="1"/>
  <c r="BT37" i="2" s="1"/>
  <c r="BU36" i="2" a="1"/>
  <c r="BU36" i="2" s="1"/>
  <c r="BT36" i="2" a="1"/>
  <c r="BT36" i="2" s="1"/>
  <c r="BT39" i="2" a="1"/>
  <c r="BT39" i="2" s="1"/>
  <c r="BU38" i="2" a="1"/>
  <c r="BU38" i="2" s="1"/>
  <c r="BT38" i="2" a="1"/>
  <c r="BT38" i="2" s="1"/>
  <c r="BT41" i="2" a="1"/>
  <c r="BT41" i="2" s="1"/>
  <c r="BT40" i="2" a="1"/>
  <c r="BT40" i="2" s="1"/>
  <c r="BU40" i="2" a="1"/>
  <c r="BU40" i="2" s="1"/>
  <c r="BU30" i="2" a="1"/>
  <c r="BU30" i="2" s="1"/>
  <c r="BT31" i="2" a="1"/>
  <c r="BT31" i="2" s="1"/>
  <c r="BT30" i="2" a="1"/>
  <c r="BT30" i="2" s="1"/>
  <c r="AU28" i="2" a="1"/>
  <c r="BB19" i="2" a="1"/>
  <c r="BC18" i="2" a="1"/>
  <c r="AT29" i="2" a="1"/>
  <c r="BU41" i="2" l="1"/>
  <c r="BU39" i="2"/>
  <c r="BU37" i="2"/>
  <c r="BU35" i="2"/>
  <c r="BU33" i="2"/>
  <c r="BU31" i="2"/>
  <c r="AT29" i="2"/>
  <c r="BC18" i="2"/>
  <c r="BB19" i="2"/>
  <c r="AU28" i="2"/>
  <c r="BB20" i="2" a="1"/>
  <c r="BB20" i="2" s="1"/>
  <c r="BF24" i="2" a="1"/>
  <c r="BF24" i="2" s="1"/>
  <c r="BG25" i="2" s="1"/>
  <c r="AV14" i="2" a="1"/>
  <c r="AV14" i="2" s="1"/>
  <c r="AZ16" i="2" a="1"/>
  <c r="AZ16" i="2" s="1"/>
  <c r="BA17" i="2" s="1"/>
  <c r="BB12" i="2" a="1"/>
  <c r="BB12" i="2" s="1"/>
  <c r="BC13" i="2" s="1"/>
  <c r="AV26" i="2" a="1"/>
  <c r="AV26" i="2" s="1"/>
  <c r="BB22" i="2" a="1"/>
  <c r="BB22" i="2" s="1"/>
  <c r="BV35" i="2" a="1"/>
  <c r="BV35" i="2" s="1"/>
  <c r="BV34" i="2" a="1"/>
  <c r="BV34" i="2" s="1"/>
  <c r="BW34" i="2" a="1"/>
  <c r="BW34" i="2" s="1"/>
  <c r="BV41" i="2" a="1"/>
  <c r="BV41" i="2" s="1"/>
  <c r="BV40" i="2" a="1"/>
  <c r="BV40" i="2" s="1"/>
  <c r="BW40" i="2" a="1"/>
  <c r="BW40" i="2" s="1"/>
  <c r="BW38" i="2" a="1"/>
  <c r="BW38" i="2" s="1"/>
  <c r="BV39" i="2" a="1"/>
  <c r="BV39" i="2" s="1"/>
  <c r="BV38" i="2" a="1"/>
  <c r="BV38" i="2" s="1"/>
  <c r="BV36" i="2" a="1"/>
  <c r="BV36" i="2" s="1"/>
  <c r="BV37" i="2" a="1"/>
  <c r="BV37" i="2" s="1"/>
  <c r="BW36" i="2" a="1"/>
  <c r="BW36" i="2" s="1"/>
  <c r="BV31" i="2" a="1"/>
  <c r="BV31" i="2" s="1"/>
  <c r="BW30" i="2" a="1"/>
  <c r="BW30" i="2" s="1"/>
  <c r="BV30" i="2" a="1"/>
  <c r="BV30" i="2" s="1"/>
  <c r="BV33" i="2" a="1"/>
  <c r="BV33" i="2" s="1"/>
  <c r="BV32" i="2" a="1"/>
  <c r="BV32" i="2" s="1"/>
  <c r="BW32" i="2" a="1"/>
  <c r="BW32" i="2" s="1"/>
  <c r="BB13" i="2" a="1"/>
  <c r="BB23" i="2" a="1"/>
  <c r="BG24" i="2" a="1"/>
  <c r="AV15" i="2" a="1"/>
  <c r="BC12" i="2" a="1"/>
  <c r="AW14" i="2" a="1"/>
  <c r="AW26" i="2" a="1"/>
  <c r="BB21" i="2" a="1"/>
  <c r="BA16" i="2" a="1"/>
  <c r="AV27" i="2" a="1"/>
  <c r="BC20" i="2" a="1"/>
  <c r="BF25" i="2" a="1"/>
  <c r="AZ17" i="2" a="1"/>
  <c r="BC22" i="2" a="1"/>
  <c r="AW15" i="2" l="1"/>
  <c r="BC23" i="2"/>
  <c r="AW27" i="2"/>
  <c r="BC21" i="2"/>
  <c r="BW41" i="2"/>
  <c r="BW39" i="2"/>
  <c r="BW37" i="2"/>
  <c r="BW35" i="2"/>
  <c r="BW33" i="2"/>
  <c r="BW31" i="2"/>
  <c r="BC22" i="2"/>
  <c r="AZ17" i="2"/>
  <c r="BF25" i="2"/>
  <c r="BC20" i="2"/>
  <c r="AV27" i="2"/>
  <c r="BA16" i="2"/>
  <c r="BB21" i="2"/>
  <c r="AW26" i="2"/>
  <c r="AW14" i="2"/>
  <c r="BC12" i="2"/>
  <c r="AV15" i="2"/>
  <c r="BG24" i="2"/>
  <c r="BB23" i="2"/>
  <c r="BB13" i="2"/>
  <c r="AV28" i="2" a="1"/>
  <c r="AV28" i="2" s="1"/>
  <c r="AW29" i="2" s="1"/>
  <c r="BD18" i="2" a="1"/>
  <c r="BD18" i="2" s="1"/>
  <c r="BE19" i="2" s="1"/>
  <c r="G19" i="2"/>
  <c r="G20" i="2"/>
  <c r="G23" i="2"/>
  <c r="G15" i="2"/>
  <c r="BX39" i="2" a="1"/>
  <c r="BX39" i="2" s="1"/>
  <c r="BX38" i="2" a="1"/>
  <c r="BX38" i="2" s="1"/>
  <c r="BY38" i="2" a="1"/>
  <c r="BY38" i="2" s="1"/>
  <c r="BX40" i="2" a="1"/>
  <c r="BX40" i="2" s="1"/>
  <c r="BY40" i="2" a="1"/>
  <c r="BY40" i="2" s="1"/>
  <c r="BX41" i="2" a="1"/>
  <c r="BX41" i="2" s="1"/>
  <c r="BY30" i="2" a="1"/>
  <c r="BY30" i="2" s="1"/>
  <c r="BX31" i="2" a="1"/>
  <c r="BX31" i="2" s="1"/>
  <c r="BX30" i="2" a="1"/>
  <c r="BX30" i="2" s="1"/>
  <c r="BY32" i="2" a="1"/>
  <c r="BY32" i="2" s="1"/>
  <c r="BX32" i="2" a="1"/>
  <c r="BX32" i="2" s="1"/>
  <c r="BX33" i="2" a="1"/>
  <c r="BX33" i="2" s="1"/>
  <c r="BX37" i="2" a="1"/>
  <c r="BX37" i="2" s="1"/>
  <c r="BY36" i="2" a="1"/>
  <c r="BY36" i="2" s="1"/>
  <c r="BX36" i="2" a="1"/>
  <c r="BX36" i="2" s="1"/>
  <c r="BY34" i="2" a="1"/>
  <c r="BY34" i="2" s="1"/>
  <c r="BX34" i="2" a="1"/>
  <c r="BX34" i="2" s="1"/>
  <c r="BX35" i="2" a="1"/>
  <c r="BX35" i="2" s="1"/>
  <c r="BD19" i="2" a="1"/>
  <c r="BE18" i="2" a="1"/>
  <c r="AV29" i="2" a="1"/>
  <c r="AW28" i="2" a="1"/>
  <c r="BY41" i="2" l="1"/>
  <c r="BY39" i="2"/>
  <c r="BY37" i="2"/>
  <c r="BY35" i="2"/>
  <c r="BY33" i="2"/>
  <c r="BY31" i="2"/>
  <c r="AW28" i="2"/>
  <c r="AV29" i="2"/>
  <c r="BE18" i="2"/>
  <c r="BD19" i="2"/>
  <c r="F13" i="4"/>
  <c r="BB16" i="2" a="1"/>
  <c r="BB16" i="2" s="1"/>
  <c r="BC17" i="2" s="1"/>
  <c r="F15" i="4"/>
  <c r="AX26" i="2" a="1"/>
  <c r="AX26" i="2" s="1"/>
  <c r="F12" i="4"/>
  <c r="BH24" i="2" a="1"/>
  <c r="BH24" i="2" s="1"/>
  <c r="BI25" i="2" s="1"/>
  <c r="BD20" i="2" a="1"/>
  <c r="BD20" i="2" s="1"/>
  <c r="F9" i="4"/>
  <c r="G9" i="4" s="1"/>
  <c r="BD12" i="2" a="1"/>
  <c r="BD12" i="2" s="1"/>
  <c r="BE13" i="2" s="1"/>
  <c r="AX14" i="2" a="1"/>
  <c r="AX14" i="2" s="1"/>
  <c r="BD22" i="2" a="1"/>
  <c r="BD22" i="2" s="1"/>
  <c r="BC16" i="2" a="1"/>
  <c r="BD13" i="2" a="1"/>
  <c r="BE22" i="2" a="1"/>
  <c r="BI24" i="2" a="1"/>
  <c r="BE12" i="2" a="1"/>
  <c r="BH25" i="2" a="1"/>
  <c r="BD21" i="2" a="1"/>
  <c r="AY26" i="2" a="1"/>
  <c r="BE20" i="2" a="1"/>
  <c r="AX15" i="2" a="1"/>
  <c r="AX27" i="2" a="1"/>
  <c r="AY14" i="2" a="1"/>
  <c r="BB17" i="2" a="1"/>
  <c r="BD23" i="2" a="1"/>
  <c r="AY15" i="2" l="1"/>
  <c r="AY27" i="2"/>
  <c r="BE23" i="2"/>
  <c r="BE21" i="2"/>
  <c r="BD23" i="2"/>
  <c r="BB17" i="2"/>
  <c r="AY14" i="2"/>
  <c r="AX27" i="2"/>
  <c r="AX15" i="2"/>
  <c r="BE20" i="2"/>
  <c r="AY26" i="2"/>
  <c r="BD21" i="2"/>
  <c r="BH25" i="2"/>
  <c r="BE12" i="2"/>
  <c r="BI24" i="2"/>
  <c r="BE22" i="2"/>
  <c r="BD13" i="2"/>
  <c r="BC16" i="2"/>
  <c r="J9" i="4"/>
  <c r="C9" i="4"/>
  <c r="G13" i="4"/>
  <c r="C13" i="4" s="1"/>
  <c r="G12" i="4"/>
  <c r="C12" i="4" s="1"/>
  <c r="G15" i="4"/>
  <c r="C15" i="4" s="1"/>
  <c r="BF18" i="2" a="1"/>
  <c r="BF18" i="2" s="1"/>
  <c r="BG19" i="2" s="1"/>
  <c r="AX28" i="2" a="1"/>
  <c r="AX28" i="2" s="1"/>
  <c r="AY29" i="2" s="1"/>
  <c r="BG18" i="2" a="1"/>
  <c r="AY28" i="2" a="1"/>
  <c r="AX29" i="2" a="1"/>
  <c r="BF19" i="2" a="1"/>
  <c r="J15" i="4" l="1"/>
  <c r="J12" i="4"/>
  <c r="J13" i="4"/>
  <c r="BF19" i="2"/>
  <c r="AX29" i="2"/>
  <c r="AY28" i="2"/>
  <c r="BG18" i="2"/>
  <c r="AZ26" i="2" a="1"/>
  <c r="AZ26" i="2" s="1"/>
  <c r="BD16" i="2" a="1"/>
  <c r="BD16" i="2" s="1"/>
  <c r="BE17" i="2" s="1"/>
  <c r="BF20" i="2" a="1"/>
  <c r="BF20" i="2" s="1"/>
  <c r="BJ24" i="2" a="1"/>
  <c r="BJ24" i="2" s="1"/>
  <c r="BK25" i="2" s="1"/>
  <c r="AZ14" i="2" a="1"/>
  <c r="AZ14" i="2" s="1"/>
  <c r="BF22" i="2" a="1"/>
  <c r="BF22" i="2" s="1"/>
  <c r="BF12" i="2" a="1"/>
  <c r="BF12" i="2" s="1"/>
  <c r="BG13" i="2" s="1"/>
  <c r="BE16" i="2" a="1"/>
  <c r="BA14" i="2" a="1"/>
  <c r="BG12" i="2" a="1"/>
  <c r="BD17" i="2" a="1"/>
  <c r="AZ15" i="2" a="1"/>
  <c r="BG22" i="2" a="1"/>
  <c r="BJ25" i="2" a="1"/>
  <c r="BK24" i="2" a="1"/>
  <c r="BF21" i="2" a="1"/>
  <c r="BF23" i="2" a="1"/>
  <c r="BG20" i="2" a="1"/>
  <c r="AZ27" i="2" a="1"/>
  <c r="BA26" i="2" a="1"/>
  <c r="BF13" i="2" a="1"/>
  <c r="BA15" i="2" l="1"/>
  <c r="BG23" i="2"/>
  <c r="BA27" i="2"/>
  <c r="BG21" i="2"/>
  <c r="BF13" i="2"/>
  <c r="BA26" i="2"/>
  <c r="AZ27" i="2"/>
  <c r="BG20" i="2"/>
  <c r="BF23" i="2"/>
  <c r="BF21" i="2"/>
  <c r="BK24" i="2"/>
  <c r="BJ25" i="2"/>
  <c r="BG22" i="2"/>
  <c r="AZ15" i="2"/>
  <c r="BD17" i="2"/>
  <c r="BG12" i="2"/>
  <c r="BA14" i="2"/>
  <c r="BE16" i="2"/>
  <c r="BH18" i="2" a="1"/>
  <c r="BH18" i="2" s="1"/>
  <c r="BI19" i="2" s="1"/>
  <c r="AZ28" i="2" a="1"/>
  <c r="AZ28" i="2" s="1"/>
  <c r="BA29" i="2" s="1"/>
  <c r="BI18" i="2" a="1"/>
  <c r="BA28" i="2" a="1"/>
  <c r="AZ29" i="2" a="1"/>
  <c r="BH19" i="2" a="1"/>
  <c r="BH19" i="2" l="1"/>
  <c r="AZ29" i="2"/>
  <c r="BA28" i="2"/>
  <c r="BI18" i="2"/>
  <c r="BL24" i="2" a="1"/>
  <c r="BL24" i="2" s="1"/>
  <c r="BM25" i="2" s="1"/>
  <c r="BF16" i="2" a="1"/>
  <c r="BF16" i="2" s="1"/>
  <c r="BG17" i="2" s="1"/>
  <c r="BB14" i="2" a="1"/>
  <c r="BB14" i="2" s="1"/>
  <c r="BB26" i="2" a="1"/>
  <c r="BB26" i="2" s="1"/>
  <c r="BH12" i="2" a="1"/>
  <c r="BH12" i="2" s="1"/>
  <c r="BI13" i="2" s="1"/>
  <c r="BH20" i="2" a="1"/>
  <c r="BH20" i="2" s="1"/>
  <c r="BH22" i="2" a="1"/>
  <c r="BH22" i="2" s="1"/>
  <c r="BG16" i="2" a="1"/>
  <c r="BI22" i="2" a="1"/>
  <c r="BH13" i="2" a="1"/>
  <c r="BF17" i="2" a="1"/>
  <c r="BH23" i="2" a="1"/>
  <c r="BI12" i="2" a="1"/>
  <c r="BB15" i="2" a="1"/>
  <c r="BH21" i="2" a="1"/>
  <c r="BI20" i="2" a="1"/>
  <c r="BL25" i="2" a="1"/>
  <c r="BM24" i="2" a="1"/>
  <c r="BC14" i="2" a="1"/>
  <c r="BB27" i="2" a="1"/>
  <c r="BC26" i="2" a="1"/>
  <c r="BC15" i="2" l="1"/>
  <c r="BI21" i="2"/>
  <c r="BC27" i="2"/>
  <c r="BI23" i="2"/>
  <c r="BC26" i="2"/>
  <c r="BB27" i="2"/>
  <c r="BC14" i="2"/>
  <c r="BM24" i="2"/>
  <c r="BL25" i="2"/>
  <c r="BI20" i="2"/>
  <c r="BH21" i="2"/>
  <c r="BB15" i="2"/>
  <c r="BI12" i="2"/>
  <c r="BH23" i="2"/>
  <c r="BF17" i="2"/>
  <c r="BH13" i="2"/>
  <c r="BI22" i="2"/>
  <c r="BG16" i="2"/>
  <c r="BJ18" i="2" a="1"/>
  <c r="BJ18" i="2" s="1"/>
  <c r="BK19" i="2" s="1"/>
  <c r="BB28" i="2" a="1"/>
  <c r="BB28" i="2" s="1"/>
  <c r="BC29" i="2" s="1"/>
  <c r="BC28" i="2" a="1"/>
  <c r="BB29" i="2" a="1"/>
  <c r="BK18" i="2" a="1"/>
  <c r="BJ19" i="2" a="1"/>
  <c r="BJ19" i="2" l="1"/>
  <c r="BK18" i="2"/>
  <c r="BB29" i="2"/>
  <c r="BC28" i="2"/>
  <c r="BH16" i="2" a="1"/>
  <c r="BH16" i="2" s="1"/>
  <c r="BI17" i="2" s="1"/>
  <c r="BJ20" i="2" a="1"/>
  <c r="BJ20" i="2" s="1"/>
  <c r="BJ22" i="2" a="1"/>
  <c r="BJ22" i="2" s="1"/>
  <c r="BN24" i="2" a="1"/>
  <c r="BN24" i="2" s="1"/>
  <c r="BO25" i="2" s="1"/>
  <c r="BD14" i="2" a="1"/>
  <c r="BD14" i="2" s="1"/>
  <c r="BJ12" i="2" a="1"/>
  <c r="BJ12" i="2" s="1"/>
  <c r="BK13" i="2" s="1"/>
  <c r="BD26" i="2" a="1"/>
  <c r="BD26" i="2" s="1"/>
  <c r="BJ21" i="2" a="1"/>
  <c r="BE14" i="2" a="1"/>
  <c r="BD15" i="2" a="1"/>
  <c r="BJ23" i="2" a="1"/>
  <c r="BK22" i="2" a="1"/>
  <c r="BK12" i="2" a="1"/>
  <c r="BJ13" i="2" a="1"/>
  <c r="BE26" i="2" a="1"/>
  <c r="BD27" i="2" a="1"/>
  <c r="BI16" i="2" a="1"/>
  <c r="BN25" i="2" a="1"/>
  <c r="BH17" i="2" a="1"/>
  <c r="BK20" i="2" a="1"/>
  <c r="BO24" i="2" a="1"/>
  <c r="BE15" i="2" l="1"/>
  <c r="BK23" i="2"/>
  <c r="BK21" i="2"/>
  <c r="BE27" i="2"/>
  <c r="BO24" i="2"/>
  <c r="BK20" i="2"/>
  <c r="BH17" i="2"/>
  <c r="BN25" i="2"/>
  <c r="BI16" i="2"/>
  <c r="BD27" i="2"/>
  <c r="BE26" i="2"/>
  <c r="BJ13" i="2"/>
  <c r="BK12" i="2"/>
  <c r="BK22" i="2"/>
  <c r="BJ23" i="2"/>
  <c r="BD15" i="2"/>
  <c r="BE14" i="2"/>
  <c r="BJ21" i="2"/>
  <c r="BD28" i="2" a="1"/>
  <c r="BD28" i="2" s="1"/>
  <c r="BE29" i="2" s="1"/>
  <c r="BL18" i="2" a="1"/>
  <c r="BL18" i="2" s="1"/>
  <c r="BM19" i="2" s="1"/>
  <c r="BL19" i="2" a="1"/>
  <c r="BM18" i="2" a="1"/>
  <c r="BE28" i="2" a="1"/>
  <c r="BD29" i="2" a="1"/>
  <c r="BD29" i="2" l="1"/>
  <c r="BE28" i="2"/>
  <c r="BM18" i="2"/>
  <c r="BL19" i="2"/>
  <c r="BF26" i="2" a="1"/>
  <c r="BF26" i="2" s="1"/>
  <c r="BF14" i="2" a="1"/>
  <c r="BF14" i="2" s="1"/>
  <c r="BJ16" i="2" a="1"/>
  <c r="BJ16" i="2" s="1"/>
  <c r="BK17" i="2" s="1"/>
  <c r="BL22" i="2" a="1"/>
  <c r="BL22" i="2" s="1"/>
  <c r="BL20" i="2" a="1"/>
  <c r="BL20" i="2" s="1"/>
  <c r="BL12" i="2" a="1"/>
  <c r="BL12" i="2" s="1"/>
  <c r="BM13" i="2" s="1"/>
  <c r="BP24" i="2" a="1"/>
  <c r="BP24" i="2" s="1"/>
  <c r="BQ25" i="2" s="1"/>
  <c r="BG14" i="2" a="1"/>
  <c r="BL21" i="2" a="1"/>
  <c r="BQ24" i="2" a="1"/>
  <c r="BJ17" i="2" a="1"/>
  <c r="BM20" i="2" a="1"/>
  <c r="BK16" i="2" a="1"/>
  <c r="BM12" i="2" a="1"/>
  <c r="BF27" i="2" a="1"/>
  <c r="BL13" i="2" a="1"/>
  <c r="BG26" i="2" a="1"/>
  <c r="BM22" i="2" a="1"/>
  <c r="BF15" i="2" a="1"/>
  <c r="BL23" i="2" a="1"/>
  <c r="BP25" i="2" a="1"/>
  <c r="BG15" i="2" l="1"/>
  <c r="BM23" i="2"/>
  <c r="BG27" i="2"/>
  <c r="BM21" i="2"/>
  <c r="BP25" i="2"/>
  <c r="BL23" i="2"/>
  <c r="BF15" i="2"/>
  <c r="BM22" i="2"/>
  <c r="BG26" i="2"/>
  <c r="BL13" i="2"/>
  <c r="BF27" i="2"/>
  <c r="BM12" i="2"/>
  <c r="BK16" i="2"/>
  <c r="BM20" i="2"/>
  <c r="BJ17" i="2"/>
  <c r="BQ24" i="2"/>
  <c r="BL21" i="2"/>
  <c r="BG14" i="2"/>
  <c r="BN18" i="2" a="1"/>
  <c r="BN18" i="2" s="1"/>
  <c r="BO19" i="2" s="1"/>
  <c r="BF28" i="2" a="1"/>
  <c r="BF28" i="2" s="1"/>
  <c r="BG29" i="2" s="1"/>
  <c r="BF29" i="2" a="1"/>
  <c r="BG28" i="2" a="1"/>
  <c r="BN19" i="2" a="1"/>
  <c r="BO18" i="2" a="1"/>
  <c r="BO18" i="2" l="1"/>
  <c r="BN19" i="2"/>
  <c r="BG28" i="2"/>
  <c r="BF29" i="2"/>
  <c r="BN12" i="2" a="1"/>
  <c r="BN12" i="2" s="1"/>
  <c r="BO13" i="2" s="1"/>
  <c r="BH14" i="2" a="1"/>
  <c r="BH14" i="2" s="1"/>
  <c r="BH26" i="2" a="1"/>
  <c r="BH26" i="2" s="1"/>
  <c r="BR24" i="2" a="1"/>
  <c r="BR24" i="2" s="1"/>
  <c r="BS25" i="2" s="1"/>
  <c r="BN22" i="2" a="1"/>
  <c r="BN22" i="2" s="1"/>
  <c r="BN20" i="2" a="1"/>
  <c r="BN20" i="2" s="1"/>
  <c r="BL16" i="2" a="1"/>
  <c r="BL16" i="2" s="1"/>
  <c r="BM17" i="2" s="1"/>
  <c r="BH15" i="2" a="1"/>
  <c r="BN23" i="2" a="1"/>
  <c r="BM16" i="2" a="1"/>
  <c r="BO22" i="2" a="1"/>
  <c r="BL17" i="2" a="1"/>
  <c r="BR25" i="2" a="1"/>
  <c r="BH27" i="2" a="1"/>
  <c r="BN21" i="2" a="1"/>
  <c r="BO12" i="2" a="1"/>
  <c r="BO20" i="2" a="1"/>
  <c r="BN13" i="2" a="1"/>
  <c r="BI26" i="2" a="1"/>
  <c r="BI14" i="2" a="1"/>
  <c r="BS24" i="2" a="1"/>
  <c r="BI15" i="2" l="1"/>
  <c r="BO21" i="2"/>
  <c r="BO23" i="2"/>
  <c r="BI27" i="2"/>
  <c r="BS24" i="2"/>
  <c r="BI14" i="2"/>
  <c r="BI26" i="2"/>
  <c r="BN13" i="2"/>
  <c r="BO20" i="2"/>
  <c r="BO12" i="2"/>
  <c r="BN21" i="2"/>
  <c r="BH27" i="2"/>
  <c r="BR25" i="2"/>
  <c r="BL17" i="2"/>
  <c r="BO22" i="2"/>
  <c r="BM16" i="2"/>
  <c r="BN23" i="2"/>
  <c r="BH15" i="2"/>
  <c r="BH28" i="2" a="1"/>
  <c r="BH28" i="2" s="1"/>
  <c r="BI29" i="2" s="1"/>
  <c r="BP18" i="2" a="1"/>
  <c r="BP18" i="2" s="1"/>
  <c r="BQ19" i="2" s="1"/>
  <c r="BH29" i="2" a="1"/>
  <c r="BQ18" i="2" a="1"/>
  <c r="BP19" i="2" a="1"/>
  <c r="BI28" i="2" a="1"/>
  <c r="BI28" i="2" l="1"/>
  <c r="BP19" i="2"/>
  <c r="BQ18" i="2"/>
  <c r="BH29" i="2"/>
  <c r="BN16" i="2" a="1"/>
  <c r="BN16" i="2" s="1"/>
  <c r="BO17" i="2" s="1"/>
  <c r="BP12" i="2" a="1"/>
  <c r="BP12" i="2" s="1"/>
  <c r="BQ13" i="2" s="1"/>
  <c r="BP20" i="2" a="1"/>
  <c r="BP20" i="2" s="1"/>
  <c r="BP22" i="2" a="1"/>
  <c r="BP22" i="2" s="1"/>
  <c r="BJ26" i="2" a="1"/>
  <c r="BJ26" i="2" s="1"/>
  <c r="BJ14" i="2" a="1"/>
  <c r="BJ14" i="2" s="1"/>
  <c r="BT24" i="2" a="1"/>
  <c r="BT24" i="2" s="1"/>
  <c r="BU25" i="2" s="1"/>
  <c r="BK26" i="2" a="1"/>
  <c r="BU24" i="2" a="1"/>
  <c r="BJ15" i="2" a="1"/>
  <c r="BP23" i="2" a="1"/>
  <c r="BP13" i="2" a="1"/>
  <c r="BT25" i="2" a="1"/>
  <c r="BQ20" i="2" a="1"/>
  <c r="BJ27" i="2" a="1"/>
  <c r="BK14" i="2" a="1"/>
  <c r="BP21" i="2" a="1"/>
  <c r="BN17" i="2" a="1"/>
  <c r="BO16" i="2" a="1"/>
  <c r="BQ12" i="2" a="1"/>
  <c r="BQ22" i="2" a="1"/>
  <c r="BK15" i="2" l="1"/>
  <c r="BK27" i="2"/>
  <c r="BQ23" i="2"/>
  <c r="BQ21" i="2"/>
  <c r="BQ22" i="2"/>
  <c r="BQ12" i="2"/>
  <c r="BO16" i="2"/>
  <c r="BN17" i="2"/>
  <c r="BP21" i="2"/>
  <c r="BK14" i="2"/>
  <c r="BJ27" i="2"/>
  <c r="BQ20" i="2"/>
  <c r="BT25" i="2"/>
  <c r="BP13" i="2"/>
  <c r="BP23" i="2"/>
  <c r="BJ15" i="2"/>
  <c r="BU24" i="2"/>
  <c r="BK26" i="2"/>
  <c r="BR18" i="2" a="1"/>
  <c r="BR18" i="2" s="1"/>
  <c r="BS19" i="2" s="1"/>
  <c r="BJ28" i="2" a="1"/>
  <c r="BJ28" i="2" s="1"/>
  <c r="BK29" i="2" s="1"/>
  <c r="BR19" i="2" a="1"/>
  <c r="BK28" i="2" a="1"/>
  <c r="BJ29" i="2" a="1"/>
  <c r="BS18" i="2" a="1"/>
  <c r="BS18" i="2" l="1"/>
  <c r="BJ29" i="2"/>
  <c r="BK28" i="2"/>
  <c r="BR19" i="2"/>
  <c r="BL26" i="2" a="1"/>
  <c r="BL26" i="2" s="1"/>
  <c r="BL14" i="2" a="1"/>
  <c r="BL14" i="2" s="1"/>
  <c r="BV24" i="2" a="1"/>
  <c r="BV24" i="2" s="1"/>
  <c r="BW25" i="2" s="1"/>
  <c r="BR20" i="2" a="1"/>
  <c r="BR20" i="2" s="1"/>
  <c r="BR12" i="2" a="1"/>
  <c r="BR12" i="2" s="1"/>
  <c r="BS13" i="2" s="1"/>
  <c r="BP16" i="2" a="1"/>
  <c r="BP16" i="2" s="1"/>
  <c r="BQ17" i="2" s="1"/>
  <c r="BR22" i="2" a="1"/>
  <c r="BR22" i="2" s="1"/>
  <c r="BR13" i="2" a="1"/>
  <c r="BS22" i="2" a="1"/>
  <c r="BP17" i="2" a="1"/>
  <c r="BL15" i="2" a="1"/>
  <c r="BW24" i="2" a="1"/>
  <c r="BS12" i="2" a="1"/>
  <c r="BV25" i="2" a="1"/>
  <c r="BM26" i="2" a="1"/>
  <c r="BQ16" i="2" a="1"/>
  <c r="BS20" i="2" a="1"/>
  <c r="BR21" i="2" a="1"/>
  <c r="BR23" i="2" a="1"/>
  <c r="BL27" i="2" a="1"/>
  <c r="BM14" i="2" a="1"/>
  <c r="BM15" i="2" l="1"/>
  <c r="BS21" i="2"/>
  <c r="BM27" i="2"/>
  <c r="BS23" i="2"/>
  <c r="BM14" i="2"/>
  <c r="BL27" i="2"/>
  <c r="BR23" i="2"/>
  <c r="BR21" i="2"/>
  <c r="BS20" i="2"/>
  <c r="BQ16" i="2"/>
  <c r="BM26" i="2"/>
  <c r="BV25" i="2"/>
  <c r="BS12" i="2"/>
  <c r="BW24" i="2"/>
  <c r="BL15" i="2"/>
  <c r="BP17" i="2"/>
  <c r="BS22" i="2"/>
  <c r="BR13" i="2"/>
  <c r="BL28" i="2" a="1"/>
  <c r="BL28" i="2" s="1"/>
  <c r="BM29" i="2" s="1"/>
  <c r="BT18" i="2" a="1"/>
  <c r="BT18" i="2" s="1"/>
  <c r="BU19" i="2" s="1"/>
  <c r="BM28" i="2" a="1"/>
  <c r="BU18" i="2" a="1"/>
  <c r="BL29" i="2" a="1"/>
  <c r="BT19" i="2" a="1"/>
  <c r="BT19" i="2" l="1"/>
  <c r="BL29" i="2"/>
  <c r="BU18" i="2"/>
  <c r="BM28" i="2"/>
  <c r="BN26" i="2" a="1"/>
  <c r="BN26" i="2" s="1"/>
  <c r="BR16" i="2" a="1"/>
  <c r="BR16" i="2" s="1"/>
  <c r="BS17" i="2" s="1"/>
  <c r="BT22" i="2" a="1"/>
  <c r="BT22" i="2" s="1"/>
  <c r="BT20" i="2" a="1"/>
  <c r="BT20" i="2" s="1"/>
  <c r="BX24" i="2" a="1"/>
  <c r="BX24" i="2" s="1"/>
  <c r="BY25" i="2" s="1"/>
  <c r="BT12" i="2" a="1"/>
  <c r="BT12" i="2" s="1"/>
  <c r="BU13" i="2" s="1"/>
  <c r="BN14" i="2" a="1"/>
  <c r="BN14" i="2" s="1"/>
  <c r="BU20" i="2" a="1"/>
  <c r="BO14" i="2" a="1"/>
  <c r="BR17" i="2" a="1"/>
  <c r="BY24" i="2" a="1"/>
  <c r="BT13" i="2" a="1"/>
  <c r="BS16" i="2" a="1"/>
  <c r="BX25" i="2" a="1"/>
  <c r="BN15" i="2" a="1"/>
  <c r="BT23" i="2" a="1"/>
  <c r="BO26" i="2" a="1"/>
  <c r="BU22" i="2" a="1"/>
  <c r="BN27" i="2" a="1"/>
  <c r="BT21" i="2" a="1"/>
  <c r="BU12" i="2" a="1"/>
  <c r="BO15" i="2" l="1"/>
  <c r="BU21" i="2"/>
  <c r="BU23" i="2"/>
  <c r="BO27" i="2"/>
  <c r="BU12" i="2"/>
  <c r="BT21" i="2"/>
  <c r="BN27" i="2"/>
  <c r="BU22" i="2"/>
  <c r="BO26" i="2"/>
  <c r="BT23" i="2"/>
  <c r="BN15" i="2"/>
  <c r="BX25" i="2"/>
  <c r="BS16" i="2"/>
  <c r="BT13" i="2"/>
  <c r="BY24" i="2"/>
  <c r="BR17" i="2"/>
  <c r="BO14" i="2"/>
  <c r="BU20" i="2"/>
  <c r="BN28" i="2" a="1"/>
  <c r="BN28" i="2" s="1"/>
  <c r="BO29" i="2" s="1"/>
  <c r="BV18" i="2" a="1"/>
  <c r="BV18" i="2" s="1"/>
  <c r="BW19" i="2" s="1"/>
  <c r="BO28" i="2" a="1"/>
  <c r="BN29" i="2" a="1"/>
  <c r="BW18" i="2" a="1"/>
  <c r="BV19" i="2" a="1"/>
  <c r="BV19" i="2" l="1"/>
  <c r="BW18" i="2"/>
  <c r="BN29" i="2"/>
  <c r="BO28" i="2"/>
  <c r="BP14" i="2" a="1"/>
  <c r="BP14" i="2" s="1"/>
  <c r="BP26" i="2" a="1"/>
  <c r="BP26" i="2" s="1"/>
  <c r="BV20" i="2" a="1"/>
  <c r="BV20" i="2" s="1"/>
  <c r="BV22" i="2" a="1"/>
  <c r="BV22" i="2" s="1"/>
  <c r="BT16" i="2" a="1"/>
  <c r="BT16" i="2" s="1"/>
  <c r="BU17" i="2" s="1"/>
  <c r="BV12" i="2" a="1"/>
  <c r="BV12" i="2" s="1"/>
  <c r="BW13" i="2" s="1"/>
  <c r="BQ26" i="2" a="1"/>
  <c r="BV23" i="2" a="1"/>
  <c r="BP27" i="2" a="1"/>
  <c r="BV13" i="2" a="1"/>
  <c r="BW22" i="2" a="1"/>
  <c r="BW12" i="2" a="1"/>
  <c r="BT17" i="2" a="1"/>
  <c r="BU16" i="2" a="1"/>
  <c r="BW20" i="2" a="1"/>
  <c r="BV21" i="2" a="1"/>
  <c r="BP15" i="2" a="1"/>
  <c r="BQ14" i="2" a="1"/>
  <c r="BQ15" i="2" l="1"/>
  <c r="BW23" i="2"/>
  <c r="BW21" i="2"/>
  <c r="BQ27" i="2"/>
  <c r="BQ14" i="2"/>
  <c r="BP15" i="2"/>
  <c r="BV21" i="2"/>
  <c r="BW20" i="2"/>
  <c r="BU16" i="2"/>
  <c r="BT17" i="2"/>
  <c r="BW12" i="2"/>
  <c r="BW22" i="2"/>
  <c r="BV13" i="2"/>
  <c r="BP27" i="2"/>
  <c r="BV23" i="2"/>
  <c r="BQ26" i="2"/>
  <c r="BP28" i="2" a="1"/>
  <c r="BP28" i="2" s="1"/>
  <c r="BQ29" i="2" s="1"/>
  <c r="BX18" i="2" a="1"/>
  <c r="BX18" i="2" s="1"/>
  <c r="BY19" i="2" s="1"/>
  <c r="BQ28" i="2" a="1"/>
  <c r="BP29" i="2" a="1"/>
  <c r="BY18" i="2" a="1"/>
  <c r="BX19" i="2" a="1"/>
  <c r="BX19" i="2" l="1"/>
  <c r="BY18" i="2"/>
  <c r="BP29" i="2"/>
  <c r="BQ28" i="2"/>
  <c r="BR26" i="2" a="1"/>
  <c r="BR26" i="2" s="1"/>
  <c r="BX20" i="2" a="1"/>
  <c r="BX20" i="2" s="1"/>
  <c r="BV16" i="2" a="1"/>
  <c r="BV16" i="2" s="1"/>
  <c r="BW17" i="2" s="1"/>
  <c r="BX12" i="2" a="1"/>
  <c r="BX12" i="2" s="1"/>
  <c r="BY13" i="2" s="1"/>
  <c r="BX22" i="2" a="1"/>
  <c r="BX22" i="2" s="1"/>
  <c r="BR14" i="2" a="1"/>
  <c r="BR14" i="2" s="1"/>
  <c r="BX21" i="2" a="1"/>
  <c r="BX13" i="2" a="1"/>
  <c r="BX23" i="2" a="1"/>
  <c r="BS14" i="2" a="1"/>
  <c r="BY20" i="2" a="1"/>
  <c r="BY12" i="2" a="1"/>
  <c r="BV17" i="2" a="1"/>
  <c r="BY22" i="2" a="1"/>
  <c r="BR15" i="2" a="1"/>
  <c r="BW16" i="2" a="1"/>
  <c r="BR27" i="2" a="1"/>
  <c r="BS26" i="2" a="1"/>
  <c r="BS15" i="2" l="1"/>
  <c r="BY21" i="2"/>
  <c r="BY23" i="2"/>
  <c r="BS27" i="2"/>
  <c r="BS26" i="2"/>
  <c r="BR27" i="2"/>
  <c r="BW16" i="2"/>
  <c r="BR15" i="2"/>
  <c r="BY22" i="2"/>
  <c r="BV17" i="2"/>
  <c r="BY12" i="2"/>
  <c r="BY20" i="2"/>
  <c r="BS14" i="2"/>
  <c r="BX23" i="2"/>
  <c r="BX13" i="2"/>
  <c r="BX21" i="2"/>
  <c r="BR28" i="2" a="1"/>
  <c r="BR28" i="2" s="1"/>
  <c r="BS29" i="2" s="1"/>
  <c r="O20" i="2" a="1"/>
  <c r="O22" i="2" a="1"/>
  <c r="BR29" i="2" a="1"/>
  <c r="BS28" i="2" a="1"/>
  <c r="O22" i="2" l="1"/>
  <c r="O20" i="2"/>
  <c r="BS28" i="2"/>
  <c r="BR29" i="2"/>
  <c r="BX16" i="2" a="1"/>
  <c r="BX16" i="2" s="1"/>
  <c r="BY17" i="2" s="1"/>
  <c r="BT14" i="2" a="1"/>
  <c r="BT14" i="2" s="1"/>
  <c r="BT26" i="2" a="1"/>
  <c r="BT26" i="2" s="1"/>
  <c r="BU14" i="2" a="1"/>
  <c r="BX17" i="2" a="1"/>
  <c r="BU26" i="2" a="1"/>
  <c r="BY16" i="2" a="1"/>
  <c r="BT15" i="2" a="1"/>
  <c r="BT27" i="2" a="1"/>
  <c r="BU15" i="2" l="1"/>
  <c r="BU27" i="2"/>
  <c r="BT27" i="2"/>
  <c r="BT15" i="2"/>
  <c r="BY16" i="2"/>
  <c r="BU26" i="2"/>
  <c r="BX17" i="2"/>
  <c r="BU14" i="2"/>
  <c r="BT28" i="2" a="1"/>
  <c r="BT28" i="2" s="1"/>
  <c r="BU29" i="2" s="1"/>
  <c r="BT29" i="2" a="1"/>
  <c r="BU28" i="2" a="1"/>
  <c r="BU28" i="2" l="1"/>
  <c r="BT29" i="2"/>
  <c r="BV14" i="2" a="1"/>
  <c r="BV14" i="2" s="1"/>
  <c r="BV26" i="2" a="1"/>
  <c r="BV26" i="2" s="1"/>
  <c r="BV27" i="2" a="1"/>
  <c r="BV15" i="2" a="1"/>
  <c r="BW26" i="2" a="1"/>
  <c r="BW14" i="2" a="1"/>
  <c r="BW15" i="2" l="1"/>
  <c r="BW27" i="2"/>
  <c r="BW14" i="2"/>
  <c r="BW26" i="2"/>
  <c r="BV15" i="2"/>
  <c r="BV27" i="2"/>
  <c r="BV28" i="2" a="1"/>
  <c r="BV28" i="2" s="1"/>
  <c r="BW29" i="2" s="1"/>
  <c r="BV29" i="2" a="1"/>
  <c r="BW28" i="2" a="1"/>
  <c r="BW28" i="2" l="1"/>
  <c r="BV29" i="2"/>
  <c r="BX26" i="2" a="1"/>
  <c r="BX26" i="2" s="1"/>
  <c r="BX14" i="2" a="1"/>
  <c r="BX14" i="2" s="1"/>
  <c r="BX15" i="2" a="1"/>
  <c r="BY26" i="2" a="1"/>
  <c r="BX27" i="2" a="1"/>
  <c r="BY14" i="2" a="1"/>
  <c r="BY15" i="2" l="1"/>
  <c r="BY27" i="2"/>
  <c r="BY14" i="2"/>
  <c r="BX27" i="2"/>
  <c r="BY26" i="2"/>
  <c r="BX15" i="2"/>
  <c r="BX28" i="2" a="1"/>
  <c r="BX28" i="2" s="1"/>
  <c r="BY29" i="2" s="1"/>
  <c r="O14" i="2" a="1"/>
  <c r="O26" i="2" a="1"/>
  <c r="BY28" i="2" a="1"/>
  <c r="BX29" i="2" a="1"/>
  <c r="O14" i="2" l="1"/>
  <c r="O26" i="2"/>
  <c r="BX29" i="2"/>
  <c r="BY28" i="2"/>
  <c r="O28" i="2" a="1"/>
  <c r="O28" i="2" l="1"/>
  <c r="G24" i="2"/>
  <c r="O16" i="2" a="1"/>
  <c r="O16" i="2" l="1"/>
  <c r="G17" i="2" s="1"/>
  <c r="F16" i="4"/>
  <c r="O12" i="2" a="1"/>
  <c r="O12" i="2" l="1"/>
  <c r="G12" i="2" s="1"/>
  <c r="F10" i="4"/>
  <c r="G11" i="3"/>
  <c r="E11" i="3" s="1"/>
  <c r="G16" i="4"/>
  <c r="C16" i="4" s="1"/>
  <c r="O18" i="2" a="1"/>
  <c r="F19" i="19" l="1" a="1"/>
  <c r="F19" i="19" s="1"/>
  <c r="G10" i="3"/>
  <c r="E10" i="3" s="1"/>
  <c r="I10" i="3" s="1"/>
  <c r="C10" i="3" s="1"/>
  <c r="G19" i="3"/>
  <c r="E19" i="3" s="1"/>
  <c r="I19" i="3" s="1"/>
  <c r="F21" i="19" a="1"/>
  <c r="F21" i="19" s="1"/>
  <c r="G18" i="3"/>
  <c r="E18" i="3" s="1"/>
  <c r="I18" i="3" s="1"/>
  <c r="F25" i="19" a="1"/>
  <c r="F25" i="19" s="1"/>
  <c r="G16" i="3"/>
  <c r="E16" i="3" s="1"/>
  <c r="I16" i="3" s="1"/>
  <c r="C16" i="3" s="1"/>
  <c r="F24" i="19" a="1"/>
  <c r="F24" i="19" s="1"/>
  <c r="G13" i="3"/>
  <c r="E13" i="3" s="1"/>
  <c r="I13" i="3" s="1"/>
  <c r="C13" i="3" s="1"/>
  <c r="F27" i="19" a="1"/>
  <c r="F27" i="19" s="1"/>
  <c r="F20" i="19" a="1"/>
  <c r="F20" i="19" s="1"/>
  <c r="G14" i="3"/>
  <c r="E14" i="3" s="1"/>
  <c r="I14" i="3" s="1"/>
  <c r="C14" i="3" s="1"/>
  <c r="G9" i="3"/>
  <c r="E9" i="3" s="1"/>
  <c r="I9" i="3" s="1"/>
  <c r="C9" i="3" s="1"/>
  <c r="F28" i="19" a="1"/>
  <c r="F28" i="19" s="1"/>
  <c r="G17" i="3"/>
  <c r="E17" i="3" s="1"/>
  <c r="I17" i="3" s="1"/>
  <c r="C17" i="3" s="1"/>
  <c r="F22" i="19" a="1"/>
  <c r="F22" i="19" s="1"/>
  <c r="J16" i="4"/>
  <c r="F8" i="4"/>
  <c r="G8" i="4" s="1"/>
  <c r="I11" i="3"/>
  <c r="C11" i="3" s="1"/>
  <c r="O18" i="2"/>
  <c r="G18" i="2" s="1"/>
  <c r="F23" i="19" s="1" a="1"/>
  <c r="F23" i="19" s="1"/>
  <c r="G8" i="3"/>
  <c r="E8" i="3" s="1"/>
  <c r="G10" i="4"/>
  <c r="C10" i="4" s="1"/>
  <c r="O24" i="2" a="1"/>
  <c r="F11" i="4" l="1"/>
  <c r="G11" i="4" s="1"/>
  <c r="C11" i="4" s="1"/>
  <c r="J10" i="4"/>
  <c r="G12" i="3"/>
  <c r="E12" i="3" s="1"/>
  <c r="I8" i="3"/>
  <c r="C8" i="3" s="1"/>
  <c r="O24" i="2"/>
  <c r="G22" i="2" s="1"/>
  <c r="F26" i="19" s="1" a="1"/>
  <c r="F26" i="19" s="1"/>
  <c r="C8" i="4"/>
  <c r="J8" i="4"/>
  <c r="O30" i="2" a="1"/>
  <c r="F14" i="4" l="1"/>
  <c r="G14" i="4" s="1"/>
  <c r="I12" i="3"/>
  <c r="C12" i="3" s="1"/>
  <c r="G15" i="3"/>
  <c r="E15" i="3" s="1"/>
  <c r="O30" i="2"/>
  <c r="J11" i="4"/>
  <c r="O32" i="2" a="1"/>
  <c r="C14" i="4" l="1"/>
  <c r="J14" i="4"/>
  <c r="I15" i="3"/>
  <c r="C15" i="3" s="1"/>
  <c r="F5" i="4"/>
  <c r="O32" i="2"/>
  <c r="O34" i="2" a="1"/>
  <c r="E5" i="3" l="1"/>
  <c r="O34" i="2"/>
  <c r="O36" i="2" a="1"/>
  <c r="O36" i="2" l="1"/>
  <c r="O38" i="2" a="1"/>
  <c r="O38" i="2" l="1"/>
  <c r="O40" i="2" a="1"/>
  <c r="O4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<sst xmlns="http://schemas.openxmlformats.org/spreadsheetml/2006/main" count="57" uniqueCount="33">
  <si>
    <t>雇用形態</t>
  </si>
  <si>
    <t>3・4歳児</t>
  </si>
  <si>
    <t>1・2歳児</t>
  </si>
  <si>
    <t>乳児</t>
  </si>
  <si>
    <t>+</t>
  </si>
  <si>
    <t>=</t>
  </si>
  <si>
    <t>←保育士必要数</t>
  </si>
  <si>
    <t>ページ数</t>
  </si>
  <si>
    <t>必要保育従事者数
※一時預かり除く</t>
  </si>
  <si>
    <t>所定労働時間</t>
  </si>
  <si>
    <t>病児・一時</t>
  </si>
  <si>
    <t>一時</t>
  </si>
  <si>
    <t>出勤簿</t>
  </si>
  <si>
    <t>勤務時間</t>
  </si>
  <si>
    <t>みなし</t>
  </si>
  <si>
    <t>氏名</t>
  </si>
  <si>
    <t>備考</t>
  </si>
  <si>
    <t>▼保育士常勤換算</t>
  </si>
  <si>
    <t>常勤換算合計</t>
  </si>
  <si>
    <t>勤務体制</t>
  </si>
  <si>
    <t>時間数</t>
  </si>
  <si>
    <t>常勤換算</t>
  </si>
  <si>
    <t>かがやき保育園</t>
  </si>
  <si>
    <t>受託保育事業部</t>
    <rPh sb="0" eb="7">
      <t>ジュタクホイクジギョウブ</t>
    </rPh>
    <phoneticPr fontId="2"/>
  </si>
  <si>
    <t>医療法人　輝松会</t>
    <rPh sb="0" eb="4">
      <t>イリョウホウジン</t>
    </rPh>
    <rPh sb="5" eb="8">
      <t>キショウカイ</t>
    </rPh>
    <phoneticPr fontId="2"/>
  </si>
  <si>
    <t>保育園
勤務時間</t>
    <phoneticPr fontId="2"/>
  </si>
  <si>
    <t>病児保育室
勤務時間</t>
    <phoneticPr fontId="2"/>
  </si>
  <si>
    <t>保育士名</t>
    <rPh sb="0" eb="4">
      <t>ホイクシメイ</t>
    </rPh>
    <phoneticPr fontId="2"/>
  </si>
  <si>
    <t>備考</t>
    <phoneticPr fontId="2"/>
  </si>
  <si>
    <t>株式会社キッズコーポレーション</t>
    <rPh sb="0" eb="4">
      <t>カブシキガイシャ</t>
    </rPh>
    <phoneticPr fontId="2"/>
  </si>
  <si>
    <t>保育園・病児保育室 勤務時間報告書</t>
    <phoneticPr fontId="2"/>
  </si>
  <si>
    <t>管理課長　松尾　智彦　様</t>
    <rPh sb="0" eb="4">
      <t>カンリカチョウ</t>
    </rPh>
    <rPh sb="5" eb="7">
      <t>マツオ</t>
    </rPh>
    <rPh sb="8" eb="10">
      <t>トモヒコ</t>
    </rPh>
    <rPh sb="11" eb="12">
      <t>サマ</t>
    </rPh>
    <phoneticPr fontId="2"/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</si>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</sst>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.0_ "/>
    <numFmt numFmtId="178" formatCode="0.00_ "/>
    <numFmt numFmtId="179" formatCode="@&quot;　実績&quot;"/>
  </numFmts>
  <fonts count="3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6"/>
      <name val="ＭＳ Ｐゴシック"/>
      <family val="3"/>
      <charset val="128"/>
      <scheme val="minor"/>
    </font>
    <font>
      <sz val="11"/>
      <color theme="0" tint="-0.1499984740745262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6"/>
      <color theme="1"/>
      <name val="ＭＳ Ｐゴシック"/>
      <family val="2"/>
      <scheme val="minor"/>
    </font>
    <font>
      <b/>
      <sz val="18"/>
      <color theme="1"/>
      <name val="Aptos Black"/>
      <family val="2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rgb="FF404040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sz val="11"/>
      <color rgb="FF40404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E5E5E5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2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readingOrder="1"/>
    </xf>
    <xf numFmtId="2" fontId="6" fillId="0" borderId="0" xfId="0" applyNumberFormat="1" applyFont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7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1" fillId="0" borderId="0" xfId="0" applyFont="1"/>
    <xf numFmtId="1" fontId="7" fillId="4" borderId="2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78" fontId="3" fillId="0" borderId="9" xfId="0" applyNumberFormat="1" applyFont="1" applyBorder="1" applyAlignment="1">
      <alignment horizontal="center" vertical="center"/>
    </xf>
    <xf numFmtId="178" fontId="3" fillId="0" borderId="10" xfId="0" applyNumberFormat="1" applyFont="1" applyBorder="1" applyAlignment="1">
      <alignment horizontal="center" vertical="center"/>
    </xf>
    <xf numFmtId="178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8" fontId="3" fillId="0" borderId="17" xfId="0" applyNumberFormat="1" applyFont="1" applyBorder="1" applyAlignment="1">
      <alignment horizontal="center" vertical="center"/>
    </xf>
    <xf numFmtId="178" fontId="3" fillId="0" borderId="18" xfId="0" applyNumberFormat="1" applyFont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/>
    </xf>
    <xf numFmtId="176" fontId="3" fillId="0" borderId="9" xfId="0" applyNumberFormat="1" applyFont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6" fontId="3" fillId="0" borderId="8" xfId="0" applyNumberFormat="1" applyFont="1" applyBorder="1" applyAlignment="1">
      <alignment horizontal="center" vertical="center"/>
    </xf>
    <xf numFmtId="0" fontId="12" fillId="0" borderId="20" xfId="0" applyFont="1" applyBorder="1" applyAlignment="1">
      <alignment vertical="center"/>
    </xf>
    <xf numFmtId="0" fontId="12" fillId="0" borderId="21" xfId="0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176" fontId="3" fillId="0" borderId="12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right" vertical="center"/>
    </xf>
    <xf numFmtId="0" fontId="3" fillId="0" borderId="10" xfId="0" applyFont="1" applyBorder="1" applyAlignment="1">
      <alignment horizontal="right" vertical="center"/>
    </xf>
    <xf numFmtId="0" fontId="3" fillId="0" borderId="8" xfId="0" applyFont="1" applyBorder="1" applyAlignment="1">
      <alignment horizontal="right" vertical="center"/>
    </xf>
    <xf numFmtId="178" fontId="3" fillId="0" borderId="0" xfId="0" applyNumberFormat="1" applyFont="1" applyAlignment="1">
      <alignment vertical="center"/>
    </xf>
    <xf numFmtId="178" fontId="3" fillId="0" borderId="12" xfId="0" applyNumberFormat="1" applyFont="1" applyBorder="1" applyAlignment="1">
      <alignment horizontal="center" vertical="center"/>
    </xf>
    <xf numFmtId="178" fontId="3" fillId="0" borderId="14" xfId="0" applyNumberFormat="1" applyFont="1" applyBorder="1" applyAlignment="1">
      <alignment horizontal="center" vertical="center"/>
    </xf>
    <xf numFmtId="178" fontId="3" fillId="0" borderId="1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79" fontId="13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3" fillId="0" borderId="4" xfId="0" applyFont="1" applyBorder="1" applyAlignment="1">
      <alignment horizontal="center" vertical="center"/>
    </xf>
    <xf numFmtId="0" fontId="0" fillId="0" borderId="32" xfId="0" applyBorder="1"/>
    <xf numFmtId="0" fontId="3" fillId="0" borderId="5" xfId="0" applyFont="1" applyBorder="1" applyAlignment="1">
      <alignment horizontal="center" vertical="center"/>
    </xf>
    <xf numFmtId="0" fontId="0" fillId="0" borderId="31" xfId="0" applyBorder="1"/>
    <xf numFmtId="178" fontId="3" fillId="0" borderId="3" xfId="0" applyNumberFormat="1" applyFont="1" applyBorder="1" applyAlignment="1">
      <alignment horizontal="center" vertical="center"/>
    </xf>
    <xf numFmtId="0" fontId="0" fillId="0" borderId="33" xfId="0" applyBorder="1"/>
    <xf numFmtId="0" fontId="3" fillId="0" borderId="3" xfId="0" applyFont="1" applyBorder="1" applyAlignment="1">
      <alignment horizontal="center" vertical="center"/>
    </xf>
    <xf numFmtId="0" fontId="0" fillId="0" borderId="4" xfId="0" applyBorder="1"/>
    <xf numFmtId="0" fontId="13" fillId="2" borderId="1" xfId="0" applyFont="1" applyFill="1" applyBorder="1" applyAlignment="1">
      <alignment horizontal="center" vertical="center"/>
    </xf>
    <xf numFmtId="0" fontId="0" fillId="0" borderId="25" xfId="0" applyBorder="1"/>
    <xf numFmtId="0" fontId="14" fillId="0" borderId="23" xfId="0" applyFont="1" applyBorder="1" applyAlignment="1">
      <alignment horizontal="center" vertical="center"/>
    </xf>
    <xf numFmtId="0" fontId="0" fillId="0" borderId="26" xfId="0" applyBorder="1"/>
    <xf numFmtId="0" fontId="0" fillId="0" borderId="34" xfId="0" applyBorder="1"/>
    <xf numFmtId="0" fontId="0" fillId="0" borderId="28" xfId="0" applyBorder="1"/>
    <xf numFmtId="0" fontId="0" fillId="0" borderId="29" xfId="0" applyBorder="1"/>
    <xf numFmtId="0" fontId="0" fillId="0" borderId="35" xfId="0" applyBorder="1"/>
    <xf numFmtId="178" fontId="15" fillId="5" borderId="23" xfId="0" applyNumberFormat="1" applyFont="1" applyFill="1" applyBorder="1" applyAlignment="1">
      <alignment horizontal="center" vertical="center"/>
    </xf>
    <xf numFmtId="0" fontId="0" fillId="0" borderId="24" xfId="0" applyBorder="1"/>
    <xf numFmtId="0" fontId="0" fillId="0" borderId="36" xfId="0" applyBorder="1"/>
    <xf numFmtId="0" fontId="14" fillId="0" borderId="1" xfId="0" applyFont="1" applyBorder="1" applyAlignment="1">
      <alignment horizontal="center" vertical="center"/>
    </xf>
    <xf numFmtId="0" fontId="0" fillId="0" borderId="27" xfId="0" applyBorder="1"/>
    <xf numFmtId="0" fontId="0" fillId="0" borderId="30" xfId="0" applyBorder="1"/>
    <xf numFmtId="0" fontId="3" fillId="0" borderId="0" xfId="0" applyFont="1"/>
    <xf numFmtId="0" fontId="26" fillId="6" borderId="37" xfId="0" applyFont="1" applyFill="1" applyBorder="1" applyAlignment="1">
      <alignment vertical="center" wrapText="1"/>
    </xf>
    <xf numFmtId="0" fontId="27" fillId="0" borderId="0" xfId="0" applyFont="1"/>
    <xf numFmtId="0" fontId="10" fillId="0" borderId="0" xfId="0" applyFont="1"/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7" fillId="6" borderId="4" xfId="0" applyFont="1" applyFill="1" applyBorder="1" applyAlignment="1">
      <alignment horizontal="center" vertical="center" wrapText="1"/>
    </xf>
    <xf numFmtId="0" fontId="25" fillId="6" borderId="3" xfId="0" applyFont="1" applyFill="1" applyBorder="1" applyAlignment="1">
      <alignment horizontal="center" vertical="center" wrapText="1"/>
    </xf>
    <xf numFmtId="0" fontId="25" fillId="6" borderId="3" xfId="0" applyFont="1" applyFill="1" applyBorder="1" applyAlignment="1">
      <alignment horizontal="center" vertical="center" wrapText="1"/>
    </xf>
    <xf numFmtId="178" fontId="27" fillId="6" borderId="3" xfId="0" applyNumberFormat="1" applyFont="1" applyFill="1" applyBorder="1" applyAlignment="1">
      <alignment horizontal="center" vertical="center" wrapText="1"/>
    </xf>
    <xf numFmtId="14" fontId="3" fillId="0" borderId="0" xfId="0" applyNumberFormat="1" applyFont="1" applyAlignment="1"/>
    <xf numFmtId="0" fontId="3" fillId="0" borderId="0" xfId="0" applyFont="1" applyAlignment="1">
      <alignment horizontal="right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266065</xdr:colOff>
      <xdr:row>39</xdr:row>
      <xdr:rowOff>137796</xdr:rowOff>
    </xdr:from>
    <xdr:to>
      <xdr:col>6</xdr:col>
      <xdr:colOff>376555</xdr:colOff>
      <xdr:row>42</xdr:row>
      <xdr:rowOff>7779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ECC970B-CFDA-264A-ABA0-84614CBA9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4065" y="9154796"/>
          <a:ext cx="1888490" cy="4414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74" customWidth="1" collapsed="1"/>
    <col min="2" max="2" width="24" customWidth="1"/>
    <col min="3" max="3" width="6" customWidth="1"/>
    <col min="4" max="4" width="7" customWidth="1"/>
    <col min="5" max="5" width="9" style="75" customWidth="1" collapsed="1"/>
    <col min="6" max="55" width="9" style="75" collapsed="1"/>
    <col min="56" max="56" width="9" customWidth="1"/>
    <col min="57" max="16384" width="9" style="75" collapsed="1"/>
  </cols>
  <sheetData>
    <row r="1" spans="1:55" ht="13.2" x14ac:dyDescent="0.2"/>
    <row r="2" spans="1:55" s="78" customFormat="1" ht="10.8" customHeight="1" x14ac:dyDescent="0.2">
      <c r="A2" s="76"/>
      <c r="B2" s="77"/>
      <c r="C2" s="74"/>
      <c r="D2" s="74"/>
    </row>
    <row r="3" spans="1:55" s="78" customFormat="1" ht="10.8" customHeight="1" x14ac:dyDescent="0.2">
      <c r="A3" s="79"/>
      <c r="B3" s="79"/>
      <c r="C3" s="79"/>
      <c r="D3" s="79"/>
    </row>
    <row r="4" spans="1:55" s="78" customFormat="1" ht="10.8" customHeight="1" x14ac:dyDescent="0.2">
      <c r="A4" s="79"/>
      <c r="B4" s="79"/>
      <c r="C4" s="79"/>
      <c r="F4" s="80"/>
      <c r="G4" s="81"/>
      <c r="H4" s="81"/>
      <c r="I4" s="80"/>
      <c r="J4" s="82"/>
      <c r="K4" s="83"/>
      <c r="L4" s="80"/>
      <c r="M4" s="80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</row>
    <row r="5" spans="1:55" ht="10.8" customHeight="1" x14ac:dyDescent="0.2">
      <c r="A5" s="77"/>
      <c r="B5" s="77"/>
    </row>
    <row r="6" spans="1:55" ht="10.8" customHeight="1" x14ac:dyDescent="0.2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</row>
    <row r="7" spans="1:55" ht="10.8" customHeight="1" x14ac:dyDescent="0.2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</row>
    <row r="8" spans="1:55" ht="10.8" customHeight="1" x14ac:dyDescent="0.2">
      <c r="A8" s="89"/>
      <c r="B8" s="86"/>
      <c r="C8" s="88"/>
      <c r="D8" s="88"/>
      <c r="E8" s="88"/>
      <c r="F8" s="87"/>
      <c r="G8" s="87"/>
      <c r="H8" s="87"/>
      <c r="I8" s="87"/>
      <c r="J8" s="88"/>
      <c r="K8" s="88"/>
      <c r="L8" s="88"/>
      <c r="M8" s="88"/>
      <c r="N8" s="87"/>
      <c r="O8" s="87"/>
      <c r="P8" s="87"/>
      <c r="Q8" s="88"/>
      <c r="R8" s="87"/>
      <c r="S8" s="88"/>
      <c r="T8" s="88"/>
      <c r="U8" s="87"/>
      <c r="V8" s="88"/>
      <c r="W8" s="87"/>
      <c r="X8" s="88"/>
      <c r="Y8" s="87"/>
      <c r="Z8" s="88"/>
      <c r="AA8" s="88"/>
      <c r="AB8" s="88"/>
      <c r="AC8" s="88"/>
      <c r="AD8" s="87"/>
      <c r="AE8" s="87"/>
      <c r="AF8" s="88"/>
      <c r="AG8" s="88"/>
      <c r="AH8" s="87"/>
      <c r="AI8" s="87"/>
    </row>
    <row r="9" spans="1:55" ht="10.8" customHeight="1" x14ac:dyDescent="0.2">
      <c r="A9" s="89"/>
      <c r="B9" s="86"/>
      <c r="C9" s="88"/>
      <c r="D9" s="88"/>
      <c r="E9" s="88"/>
      <c r="F9" s="87"/>
      <c r="G9" s="87"/>
      <c r="H9" s="87"/>
      <c r="I9" s="87"/>
      <c r="J9" s="88"/>
      <c r="K9" s="88"/>
      <c r="L9" s="88"/>
      <c r="M9" s="88"/>
      <c r="N9" s="87"/>
      <c r="O9" s="87"/>
      <c r="P9" s="87"/>
      <c r="Q9" s="88"/>
      <c r="R9" s="87"/>
      <c r="S9" s="88"/>
      <c r="T9" s="88"/>
      <c r="U9" s="87"/>
      <c r="V9" s="88"/>
      <c r="W9" s="87"/>
      <c r="X9" s="88"/>
      <c r="Y9" s="87"/>
      <c r="Z9" s="88"/>
      <c r="AA9" s="88"/>
      <c r="AB9" s="88"/>
      <c r="AC9" s="88"/>
      <c r="AD9" s="87"/>
      <c r="AE9" s="87"/>
      <c r="AF9" s="88"/>
      <c r="AG9" s="88"/>
      <c r="AH9" s="87"/>
      <c r="AI9" s="87"/>
    </row>
    <row r="10" spans="1:55" ht="10.8" customHeight="1" x14ac:dyDescent="0.2">
      <c r="A10" s="89"/>
      <c r="B10" s="86"/>
      <c r="C10" s="88"/>
      <c r="D10" s="88"/>
      <c r="E10" s="88"/>
      <c r="F10" s="88"/>
      <c r="G10" s="88"/>
      <c r="H10" s="88"/>
      <c r="I10" s="88"/>
      <c r="J10" s="87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7"/>
      <c r="AC10" s="88"/>
      <c r="AD10" s="88"/>
      <c r="AE10" s="88"/>
      <c r="AF10" s="88"/>
      <c r="AG10" s="88"/>
      <c r="AH10" s="88"/>
      <c r="AI10" s="88"/>
    </row>
    <row r="11" spans="1:55" ht="10.8" customHeight="1" x14ac:dyDescent="0.2">
      <c r="A11" s="89"/>
      <c r="B11" s="86"/>
      <c r="C11" s="88"/>
      <c r="D11" s="88"/>
      <c r="E11" s="88"/>
      <c r="F11" s="88"/>
      <c r="G11" s="88"/>
      <c r="H11" s="88"/>
      <c r="I11" s="88"/>
      <c r="J11" s="87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7"/>
      <c r="AC11" s="88"/>
      <c r="AD11" s="88"/>
      <c r="AE11" s="88"/>
      <c r="AF11" s="88"/>
      <c r="AG11" s="88"/>
      <c r="AH11" s="88"/>
      <c r="AI11" s="88"/>
    </row>
    <row r="12" spans="1:55" ht="10.8" customHeight="1" x14ac:dyDescent="0.2">
      <c r="A12" s="89"/>
      <c r="B12" s="86"/>
      <c r="C12" s="88"/>
      <c r="D12" s="88"/>
      <c r="E12" s="88"/>
      <c r="F12" s="88"/>
      <c r="G12" s="88"/>
      <c r="H12" s="87"/>
      <c r="I12" s="88"/>
      <c r="J12" s="88"/>
      <c r="K12" s="87"/>
      <c r="L12" s="87"/>
      <c r="M12" s="88"/>
      <c r="N12" s="87"/>
      <c r="O12" s="88"/>
      <c r="P12" s="87"/>
      <c r="Q12" s="87"/>
      <c r="R12" s="88"/>
      <c r="S12" s="88"/>
      <c r="T12" s="88"/>
      <c r="U12" s="88"/>
      <c r="V12" s="87"/>
      <c r="W12" s="88"/>
      <c r="X12" s="87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</row>
    <row r="13" spans="1:55" ht="10.8" customHeight="1" x14ac:dyDescent="0.2">
      <c r="A13" s="89"/>
      <c r="B13" s="86"/>
      <c r="C13" s="88"/>
      <c r="D13" s="88"/>
      <c r="E13" s="88"/>
      <c r="F13" s="88"/>
      <c r="G13" s="88"/>
      <c r="H13" s="87"/>
      <c r="I13" s="88"/>
      <c r="J13" s="88"/>
      <c r="K13" s="87"/>
      <c r="L13" s="87"/>
      <c r="M13" s="88"/>
      <c r="N13" s="87"/>
      <c r="O13" s="88"/>
      <c r="P13" s="87"/>
      <c r="Q13" s="87"/>
      <c r="R13" s="88"/>
      <c r="S13" s="88"/>
      <c r="T13" s="88"/>
      <c r="U13" s="88"/>
      <c r="V13" s="87"/>
      <c r="W13" s="88"/>
      <c r="X13" s="87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</row>
    <row r="14" spans="1:55" ht="10.8" customHeight="1" x14ac:dyDescent="0.2">
      <c r="A14" s="89"/>
      <c r="B14" s="86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</row>
    <row r="15" spans="1:55" ht="10.8" customHeight="1" x14ac:dyDescent="0.2">
      <c r="A15" s="89"/>
      <c r="B15" s="86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</row>
    <row r="16" spans="1:55" ht="10.8" customHeight="1" x14ac:dyDescent="0.2">
      <c r="A16" s="89"/>
      <c r="B16" s="86"/>
      <c r="C16" s="88"/>
      <c r="D16" s="88"/>
      <c r="E16" s="88"/>
      <c r="F16" s="88"/>
      <c r="G16" s="88"/>
      <c r="H16" s="87"/>
      <c r="I16" s="87"/>
      <c r="J16" s="88"/>
      <c r="K16" s="88"/>
      <c r="L16" s="88"/>
      <c r="M16" s="87"/>
      <c r="N16" s="87"/>
      <c r="O16" s="87"/>
      <c r="P16" s="88"/>
      <c r="Q16" s="87"/>
      <c r="R16" s="88"/>
      <c r="S16" s="88"/>
      <c r="T16" s="88"/>
      <c r="U16" s="87"/>
      <c r="V16" s="87"/>
      <c r="W16" s="88"/>
      <c r="X16" s="87"/>
      <c r="Y16" s="88"/>
      <c r="Z16" s="87"/>
      <c r="AA16" s="87"/>
      <c r="AB16" s="88"/>
      <c r="AC16" s="88"/>
      <c r="AD16" s="87"/>
      <c r="AE16" s="88"/>
      <c r="AF16" s="87"/>
      <c r="AG16" s="87"/>
      <c r="AH16" s="88"/>
      <c r="AI16" s="87"/>
    </row>
    <row r="17" spans="1:35" ht="10.8" customHeight="1" x14ac:dyDescent="0.2">
      <c r="A17" s="89"/>
      <c r="B17" s="86"/>
      <c r="C17" s="88"/>
      <c r="D17" s="88"/>
      <c r="E17" s="88"/>
      <c r="F17" s="88"/>
      <c r="G17" s="88"/>
      <c r="H17" s="87"/>
      <c r="I17" s="87"/>
      <c r="J17" s="88"/>
      <c r="K17" s="88"/>
      <c r="L17" s="88"/>
      <c r="M17" s="87"/>
      <c r="N17" s="87"/>
      <c r="O17" s="87"/>
      <c r="P17" s="88"/>
      <c r="Q17" s="87"/>
      <c r="R17" s="88"/>
      <c r="S17" s="88"/>
      <c r="T17" s="88"/>
      <c r="U17" s="87"/>
      <c r="V17" s="87"/>
      <c r="W17" s="88"/>
      <c r="X17" s="87"/>
      <c r="Y17" s="88"/>
      <c r="Z17" s="87"/>
      <c r="AA17" s="87"/>
      <c r="AB17" s="88"/>
      <c r="AC17" s="88"/>
      <c r="AD17" s="87"/>
      <c r="AE17" s="88"/>
      <c r="AF17" s="87"/>
      <c r="AG17" s="87"/>
      <c r="AH17" s="88"/>
      <c r="AI17" s="87"/>
    </row>
    <row r="18" spans="1:35" ht="10.8" customHeight="1" x14ac:dyDescent="0.2">
      <c r="A18" s="89"/>
      <c r="B18" s="86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</row>
    <row r="19" spans="1:35" ht="10.8" customHeight="1" x14ac:dyDescent="0.2">
      <c r="A19" s="89"/>
      <c r="B19" s="86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</row>
    <row r="20" spans="1:35" ht="10.8" customHeight="1" x14ac:dyDescent="0.2">
      <c r="A20" s="89"/>
      <c r="B20" s="86"/>
      <c r="C20" s="88"/>
      <c r="D20" s="88"/>
      <c r="E20" s="88"/>
      <c r="F20" s="88"/>
      <c r="G20" s="87"/>
      <c r="H20" s="88"/>
      <c r="I20" s="88"/>
      <c r="J20" s="88"/>
      <c r="K20" s="87"/>
      <c r="L20" s="88"/>
      <c r="M20" s="87"/>
      <c r="N20" s="87"/>
      <c r="O20" s="87"/>
      <c r="P20" s="88"/>
      <c r="Q20" s="88"/>
      <c r="R20" s="87"/>
      <c r="S20" s="88"/>
      <c r="T20" s="87"/>
      <c r="U20" s="87"/>
      <c r="V20" s="88"/>
      <c r="W20" s="87"/>
      <c r="X20" s="88"/>
      <c r="Y20" s="87"/>
      <c r="Z20" s="88"/>
      <c r="AA20" s="88"/>
      <c r="AB20" s="88"/>
      <c r="AC20" s="87"/>
      <c r="AD20" s="87"/>
      <c r="AE20" s="88"/>
      <c r="AF20" s="87"/>
      <c r="AG20" s="88"/>
      <c r="AH20" s="88"/>
      <c r="AI20" s="87"/>
    </row>
    <row r="21" spans="1:35" ht="10.8" customHeight="1" x14ac:dyDescent="0.2">
      <c r="A21" s="89"/>
      <c r="B21" s="86"/>
      <c r="C21" s="88"/>
      <c r="D21" s="88"/>
      <c r="E21" s="88"/>
      <c r="F21" s="88"/>
      <c r="G21" s="87"/>
      <c r="H21" s="88"/>
      <c r="I21" s="88"/>
      <c r="J21" s="88"/>
      <c r="K21" s="87"/>
      <c r="L21" s="88"/>
      <c r="M21" s="87"/>
      <c r="N21" s="87"/>
      <c r="O21" s="87"/>
      <c r="P21" s="88"/>
      <c r="Q21" s="88"/>
      <c r="R21" s="87"/>
      <c r="S21" s="88"/>
      <c r="T21" s="87"/>
      <c r="U21" s="87"/>
      <c r="V21" s="88"/>
      <c r="W21" s="87"/>
      <c r="X21" s="88"/>
      <c r="Y21" s="87"/>
      <c r="Z21" s="88"/>
      <c r="AA21" s="88"/>
      <c r="AB21" s="88"/>
      <c r="AC21" s="87"/>
      <c r="AD21" s="87"/>
      <c r="AE21" s="88"/>
      <c r="AF21" s="87"/>
      <c r="AG21" s="88"/>
      <c r="AH21" s="88"/>
      <c r="AI21" s="87"/>
    </row>
    <row r="22" spans="1:35" ht="10.8" customHeight="1" x14ac:dyDescent="0.2">
      <c r="A22" s="89"/>
      <c r="B22" s="86"/>
      <c r="C22" s="88"/>
      <c r="D22" s="88"/>
      <c r="E22" s="88"/>
      <c r="F22" s="88"/>
      <c r="G22" s="88"/>
      <c r="H22" s="88"/>
      <c r="I22" s="88"/>
      <c r="J22" s="87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</row>
    <row r="23" spans="1:35" ht="10.8" customHeight="1" x14ac:dyDescent="0.2">
      <c r="A23" s="89"/>
      <c r="B23" s="86"/>
      <c r="C23" s="88"/>
      <c r="D23" s="88"/>
      <c r="E23" s="88"/>
      <c r="F23" s="88"/>
      <c r="G23" s="88"/>
      <c r="H23" s="88"/>
      <c r="I23" s="88"/>
      <c r="J23" s="87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</row>
    <row r="24" spans="1:35" ht="10.8" customHeight="1" x14ac:dyDescent="0.2">
      <c r="A24" s="89"/>
      <c r="B24" s="86"/>
      <c r="C24" s="88"/>
      <c r="D24" s="88"/>
      <c r="E24" s="88"/>
      <c r="F24" s="87"/>
      <c r="G24" s="87"/>
      <c r="H24" s="88"/>
      <c r="I24" s="88"/>
      <c r="J24" s="88"/>
      <c r="K24" s="87"/>
      <c r="L24" s="88"/>
      <c r="M24" s="87"/>
      <c r="N24" s="88"/>
      <c r="O24" s="88"/>
      <c r="P24" s="87"/>
      <c r="Q24" s="88"/>
      <c r="R24" s="87"/>
      <c r="S24" s="88"/>
      <c r="T24" s="88"/>
      <c r="U24" s="88"/>
      <c r="V24" s="87"/>
      <c r="W24" s="87"/>
      <c r="X24" s="88"/>
      <c r="Y24" s="88"/>
      <c r="Z24" s="88"/>
      <c r="AA24" s="88"/>
      <c r="AB24" s="88"/>
      <c r="AC24" s="87"/>
      <c r="AD24" s="88"/>
      <c r="AE24" s="87"/>
      <c r="AF24" s="88"/>
      <c r="AG24" s="88"/>
      <c r="AH24" s="88"/>
      <c r="AI24" s="88"/>
    </row>
    <row r="25" spans="1:35" ht="10.8" customHeight="1" x14ac:dyDescent="0.2">
      <c r="A25" s="89"/>
      <c r="B25" s="86"/>
      <c r="C25" s="88"/>
      <c r="D25" s="88"/>
      <c r="E25" s="88"/>
      <c r="F25" s="87"/>
      <c r="G25" s="87"/>
      <c r="H25" s="88"/>
      <c r="I25" s="88"/>
      <c r="J25" s="88"/>
      <c r="K25" s="87"/>
      <c r="L25" s="88"/>
      <c r="M25" s="87"/>
      <c r="N25" s="88"/>
      <c r="O25" s="88"/>
      <c r="P25" s="87"/>
      <c r="Q25" s="88"/>
      <c r="R25" s="87"/>
      <c r="S25" s="88"/>
      <c r="T25" s="88"/>
      <c r="U25" s="88"/>
      <c r="V25" s="87"/>
      <c r="W25" s="87"/>
      <c r="X25" s="88"/>
      <c r="Y25" s="88"/>
      <c r="Z25" s="88"/>
      <c r="AA25" s="88"/>
      <c r="AB25" s="88"/>
      <c r="AC25" s="87"/>
      <c r="AD25" s="88"/>
      <c r="AE25" s="87"/>
      <c r="AF25" s="88"/>
      <c r="AG25" s="88"/>
      <c r="AH25" s="88"/>
      <c r="AI25" s="88"/>
    </row>
    <row r="26" spans="1:35" ht="10.8" customHeight="1" x14ac:dyDescent="0.2">
      <c r="A26" s="89"/>
      <c r="B26" s="86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</row>
    <row r="27" spans="1:35" ht="10.8" customHeight="1" x14ac:dyDescent="0.2">
      <c r="A27" s="89"/>
      <c r="B27" s="86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</row>
    <row r="28" spans="1:35" ht="10.8" customHeight="1" x14ac:dyDescent="0.2">
      <c r="A28" s="89"/>
      <c r="B28" s="86"/>
      <c r="C28" s="88"/>
      <c r="D28" s="88"/>
      <c r="E28" s="88"/>
      <c r="F28" s="88"/>
      <c r="G28" s="87"/>
      <c r="H28" s="87"/>
      <c r="I28" s="87"/>
      <c r="J28" s="87"/>
      <c r="K28" s="88"/>
      <c r="L28" s="88"/>
      <c r="M28" s="87"/>
      <c r="N28" s="87"/>
      <c r="O28" s="87"/>
      <c r="P28" s="88"/>
      <c r="Q28" s="88"/>
      <c r="R28" s="88"/>
      <c r="S28" s="88"/>
      <c r="T28" s="88"/>
      <c r="U28" s="87"/>
      <c r="V28" s="88"/>
      <c r="W28" s="87"/>
      <c r="X28" s="87"/>
      <c r="Y28" s="87"/>
      <c r="Z28" s="88"/>
      <c r="AA28" s="87"/>
      <c r="AB28" s="88"/>
      <c r="AC28" s="88"/>
      <c r="AD28" s="88"/>
      <c r="AE28" s="87"/>
      <c r="AF28" s="87"/>
      <c r="AG28" s="88"/>
      <c r="AH28" s="88"/>
      <c r="AI28" s="87"/>
    </row>
    <row r="29" spans="1:35" ht="10.8" customHeight="1" x14ac:dyDescent="0.2">
      <c r="A29" s="89"/>
      <c r="B29" s="86"/>
      <c r="C29" s="88"/>
      <c r="D29" s="88"/>
      <c r="E29" s="88"/>
      <c r="F29" s="88"/>
      <c r="G29" s="87"/>
      <c r="H29" s="87"/>
      <c r="I29" s="87"/>
      <c r="J29" s="87"/>
      <c r="K29" s="88"/>
      <c r="L29" s="88"/>
      <c r="M29" s="87"/>
      <c r="N29" s="87"/>
      <c r="O29" s="87"/>
      <c r="P29" s="88"/>
      <c r="Q29" s="88"/>
      <c r="R29" s="88"/>
      <c r="S29" s="88"/>
      <c r="T29" s="88"/>
      <c r="U29" s="87"/>
      <c r="V29" s="88"/>
      <c r="W29" s="87"/>
      <c r="X29" s="87"/>
      <c r="Y29" s="87"/>
      <c r="Z29" s="88"/>
      <c r="AA29" s="87"/>
      <c r="AB29" s="88"/>
      <c r="AC29" s="88"/>
      <c r="AD29" s="88"/>
      <c r="AE29" s="87"/>
      <c r="AF29" s="87"/>
      <c r="AG29" s="88"/>
      <c r="AH29" s="88"/>
      <c r="AI29" s="87"/>
    </row>
    <row r="30" spans="1:35" ht="10.8" customHeight="1" x14ac:dyDescent="0.2">
      <c r="A30" s="89"/>
      <c r="B30" s="86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</row>
    <row r="31" spans="1:35" ht="10.8" customHeight="1" x14ac:dyDescent="0.2">
      <c r="A31" s="89"/>
      <c r="B31" s="86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</row>
    <row r="32" spans="1:35" ht="10.8" customHeight="1" x14ac:dyDescent="0.2">
      <c r="A32" s="89"/>
      <c r="B32" s="86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</row>
    <row r="33" spans="1:35" ht="10.8" customHeight="1" x14ac:dyDescent="0.2">
      <c r="A33" s="89"/>
      <c r="B33" s="86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</row>
    <row r="34" spans="1:35" ht="10.8" customHeight="1" x14ac:dyDescent="0.2">
      <c r="A34" s="89"/>
      <c r="B34" s="86"/>
      <c r="C34" s="88"/>
      <c r="D34" s="88"/>
      <c r="E34" s="88"/>
      <c r="F34" s="88"/>
      <c r="G34" s="87"/>
      <c r="H34" s="88"/>
      <c r="I34" s="88"/>
      <c r="J34" s="88"/>
      <c r="K34" s="88"/>
      <c r="L34" s="88"/>
      <c r="M34" s="88"/>
      <c r="N34" s="88"/>
      <c r="O34" s="87"/>
      <c r="P34" s="87"/>
      <c r="Q34" s="88"/>
      <c r="R34" s="87"/>
      <c r="S34" s="88"/>
      <c r="T34" s="87"/>
      <c r="U34" s="88"/>
      <c r="V34" s="88"/>
      <c r="W34" s="87"/>
      <c r="X34" s="88"/>
      <c r="Y34" s="88"/>
      <c r="Z34" s="88"/>
      <c r="AA34" s="87"/>
      <c r="AB34" s="87"/>
      <c r="AC34" s="88"/>
      <c r="AD34" s="88"/>
      <c r="AE34" s="87"/>
      <c r="AF34" s="87"/>
      <c r="AG34" s="88"/>
      <c r="AH34" s="88"/>
      <c r="AI34" s="87"/>
    </row>
    <row r="35" spans="1:35" ht="10.8" customHeight="1" x14ac:dyDescent="0.2">
      <c r="A35" s="89"/>
      <c r="B35" s="86"/>
      <c r="C35" s="88"/>
      <c r="D35" s="88"/>
      <c r="E35" s="88"/>
      <c r="F35" s="88"/>
      <c r="G35" s="87"/>
      <c r="H35" s="88"/>
      <c r="I35" s="88"/>
      <c r="J35" s="88"/>
      <c r="K35" s="88"/>
      <c r="L35" s="88"/>
      <c r="M35" s="88"/>
      <c r="N35" s="88"/>
      <c r="O35" s="87"/>
      <c r="P35" s="87"/>
      <c r="Q35" s="88"/>
      <c r="R35" s="87"/>
      <c r="S35" s="88"/>
      <c r="T35" s="87"/>
      <c r="U35" s="88"/>
      <c r="V35" s="88"/>
      <c r="W35" s="87"/>
      <c r="X35" s="88"/>
      <c r="Y35" s="88"/>
      <c r="Z35" s="88"/>
      <c r="AA35" s="87"/>
      <c r="AB35" s="87"/>
      <c r="AC35" s="88"/>
      <c r="AD35" s="88"/>
      <c r="AE35" s="87"/>
      <c r="AF35" s="87"/>
      <c r="AG35" s="88"/>
      <c r="AH35" s="88"/>
      <c r="AI35" s="87"/>
    </row>
    <row r="36" spans="1:35" ht="10.8" customHeight="1" x14ac:dyDescent="0.2">
      <c r="A36" s="89"/>
      <c r="B36" s="86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</row>
    <row r="37" spans="1:35" ht="10.8" customHeight="1" x14ac:dyDescent="0.2">
      <c r="A37" s="89"/>
      <c r="B37" s="86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</row>
    <row r="38" spans="1:35" ht="10.8" customHeight="1" x14ac:dyDescent="0.2">
      <c r="A38" s="89"/>
      <c r="B38" s="86"/>
      <c r="C38" s="88"/>
      <c r="D38" s="88"/>
      <c r="E38" s="88"/>
      <c r="F38" s="87"/>
      <c r="G38" s="87"/>
      <c r="H38" s="88"/>
      <c r="I38" s="87"/>
      <c r="J38" s="87"/>
      <c r="K38" s="87"/>
      <c r="L38" s="87"/>
      <c r="M38" s="88"/>
      <c r="N38" s="87"/>
      <c r="O38" s="87"/>
      <c r="P38" s="87"/>
      <c r="Q38" s="87"/>
      <c r="R38" s="88"/>
      <c r="S38" s="88"/>
      <c r="T38" s="87"/>
      <c r="U38" s="87"/>
      <c r="V38" s="87"/>
      <c r="W38" s="87"/>
      <c r="X38" s="88"/>
      <c r="Y38" s="88"/>
      <c r="Z38" s="88"/>
      <c r="AA38" s="88"/>
      <c r="AB38" s="88"/>
      <c r="AC38" s="87"/>
      <c r="AD38" s="88"/>
      <c r="AE38" s="87"/>
      <c r="AF38" s="88"/>
      <c r="AG38" s="88"/>
      <c r="AH38" s="88"/>
      <c r="AI38" s="88"/>
    </row>
    <row r="39" spans="1:35" ht="10.8" customHeight="1" x14ac:dyDescent="0.2">
      <c r="A39" s="89"/>
      <c r="B39" s="86"/>
      <c r="C39" s="88"/>
      <c r="D39" s="88"/>
      <c r="E39" s="88"/>
      <c r="F39" s="87"/>
      <c r="G39" s="87"/>
      <c r="H39" s="88"/>
      <c r="I39" s="87"/>
      <c r="J39" s="87"/>
      <c r="K39" s="87"/>
      <c r="L39" s="87"/>
      <c r="M39" s="88"/>
      <c r="N39" s="87"/>
      <c r="O39" s="87"/>
      <c r="P39" s="87"/>
      <c r="Q39" s="87"/>
      <c r="R39" s="88"/>
      <c r="S39" s="88"/>
      <c r="T39" s="87"/>
      <c r="U39" s="87"/>
      <c r="V39" s="87"/>
      <c r="W39" s="87"/>
      <c r="X39" s="88"/>
      <c r="Y39" s="88"/>
      <c r="Z39" s="88"/>
      <c r="AA39" s="88"/>
      <c r="AB39" s="88"/>
      <c r="AC39" s="87"/>
      <c r="AD39" s="88"/>
      <c r="AE39" s="87"/>
      <c r="AF39" s="88"/>
      <c r="AG39" s="88"/>
      <c r="AH39" s="88"/>
      <c r="AI39" s="88"/>
    </row>
    <row r="40" spans="1:35" ht="10.8" customHeight="1" x14ac:dyDescent="0.2">
      <c r="A40" s="89"/>
      <c r="B40" s="86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7"/>
      <c r="AC40" s="88"/>
      <c r="AD40" s="88"/>
      <c r="AE40" s="88"/>
      <c r="AF40" s="88"/>
      <c r="AG40" s="88"/>
      <c r="AH40" s="88"/>
      <c r="AI40" s="88"/>
    </row>
    <row r="41" spans="1:35" ht="10.8" customHeight="1" x14ac:dyDescent="0.2">
      <c r="A41" s="89"/>
      <c r="B41" s="86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7"/>
      <c r="AC41" s="88"/>
      <c r="AD41" s="88"/>
      <c r="AE41" s="88"/>
      <c r="AF41" s="88"/>
      <c r="AG41" s="88"/>
      <c r="AH41" s="88"/>
      <c r="AI41" s="88"/>
    </row>
    <row r="42" spans="1:35" ht="10.8" customHeight="1" x14ac:dyDescent="0.2">
      <c r="A42" s="89"/>
      <c r="B42" s="86"/>
      <c r="C42" s="88"/>
      <c r="D42" s="88"/>
      <c r="E42" s="88"/>
      <c r="F42" s="88"/>
      <c r="G42" s="88"/>
      <c r="H42" s="88"/>
      <c r="I42" s="88"/>
      <c r="J42" s="88"/>
      <c r="K42" s="87"/>
      <c r="L42" s="88"/>
      <c r="M42" s="88"/>
      <c r="N42" s="88"/>
      <c r="O42" s="88"/>
      <c r="P42" s="88"/>
      <c r="Q42" s="87"/>
      <c r="R42" s="88"/>
      <c r="S42" s="88"/>
      <c r="T42" s="87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7"/>
      <c r="AF42" s="87"/>
      <c r="AG42" s="88"/>
      <c r="AH42" s="87"/>
      <c r="AI42" s="88"/>
    </row>
    <row r="43" spans="1:35" ht="10.8" customHeight="1" x14ac:dyDescent="0.2">
      <c r="A43" s="89"/>
      <c r="B43" s="86"/>
      <c r="C43" s="88"/>
      <c r="D43" s="88"/>
      <c r="E43" s="88"/>
      <c r="F43" s="88"/>
      <c r="G43" s="88"/>
      <c r="H43" s="88"/>
      <c r="I43" s="88"/>
      <c r="J43" s="88"/>
      <c r="K43" s="87"/>
      <c r="L43" s="88"/>
      <c r="M43" s="88"/>
      <c r="N43" s="88"/>
      <c r="O43" s="88"/>
      <c r="P43" s="88"/>
      <c r="Q43" s="87"/>
      <c r="R43" s="88"/>
      <c r="S43" s="88"/>
      <c r="T43" s="87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7"/>
      <c r="AF43" s="87"/>
      <c r="AG43" s="88"/>
      <c r="AH43" s="87"/>
      <c r="AI43" s="88"/>
    </row>
    <row r="44" spans="1:35" ht="10.8" customHeight="1" x14ac:dyDescent="0.2">
      <c r="A44" s="89"/>
      <c r="B44" s="86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</row>
    <row r="45" spans="1:35" ht="10.8" customHeight="1" x14ac:dyDescent="0.2">
      <c r="A45" s="89"/>
      <c r="B45" s="86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</row>
    <row r="46" spans="1:35" ht="10.8" customHeight="1" x14ac:dyDescent="0.2">
      <c r="A46" s="89"/>
      <c r="B46" s="86"/>
      <c r="C46" s="88"/>
      <c r="D46" s="88"/>
      <c r="E46" s="88"/>
      <c r="F46" s="87"/>
      <c r="G46" s="88"/>
      <c r="H46" s="87"/>
      <c r="I46" s="87"/>
      <c r="J46" s="88"/>
      <c r="K46" s="88"/>
      <c r="L46" s="88"/>
      <c r="M46" s="88"/>
      <c r="N46" s="87"/>
      <c r="O46" s="88"/>
      <c r="P46" s="87"/>
      <c r="Q46" s="87"/>
      <c r="R46" s="88"/>
      <c r="S46" s="88"/>
      <c r="T46" s="88"/>
      <c r="U46" s="87"/>
      <c r="V46" s="87"/>
      <c r="W46" s="88"/>
      <c r="X46" s="87"/>
      <c r="Y46" s="88"/>
      <c r="Z46" s="88"/>
      <c r="AA46" s="87"/>
      <c r="AB46" s="88"/>
      <c r="AC46" s="88"/>
      <c r="AD46" s="88"/>
      <c r="AE46" s="87"/>
      <c r="AF46" s="88"/>
      <c r="AG46" s="88"/>
      <c r="AH46" s="88"/>
      <c r="AI46" s="87"/>
    </row>
    <row r="47" spans="1:35" ht="10.8" customHeight="1" x14ac:dyDescent="0.2">
      <c r="A47" s="89"/>
      <c r="B47" s="86"/>
      <c r="C47" s="88"/>
      <c r="D47" s="88"/>
      <c r="E47" s="88"/>
      <c r="F47" s="87"/>
      <c r="G47" s="88"/>
      <c r="H47" s="87"/>
      <c r="I47" s="87"/>
      <c r="J47" s="88"/>
      <c r="K47" s="88"/>
      <c r="L47" s="88"/>
      <c r="M47" s="88"/>
      <c r="N47" s="87"/>
      <c r="O47" s="88"/>
      <c r="P47" s="87"/>
      <c r="Q47" s="87"/>
      <c r="R47" s="88"/>
      <c r="S47" s="88"/>
      <c r="T47" s="88"/>
      <c r="U47" s="87"/>
      <c r="V47" s="87"/>
      <c r="W47" s="88"/>
      <c r="X47" s="87"/>
      <c r="Y47" s="88"/>
      <c r="Z47" s="88"/>
      <c r="AA47" s="87"/>
      <c r="AB47" s="88"/>
      <c r="AC47" s="88"/>
      <c r="AD47" s="88"/>
      <c r="AE47" s="87"/>
      <c r="AF47" s="88"/>
      <c r="AG47" s="88"/>
      <c r="AH47" s="88"/>
      <c r="AI47" s="87"/>
    </row>
    <row r="48" spans="1:35" ht="10.8" customHeight="1" x14ac:dyDescent="0.2">
      <c r="A48" s="89"/>
      <c r="B48" s="86"/>
      <c r="C48" s="88"/>
      <c r="D48" s="88"/>
      <c r="E48" s="88"/>
      <c r="F48" s="88"/>
      <c r="G48" s="87"/>
      <c r="H48" s="87"/>
      <c r="I48" s="88"/>
      <c r="J48" s="87"/>
      <c r="K48" s="87"/>
      <c r="L48" s="88"/>
      <c r="M48" s="87"/>
      <c r="N48" s="87"/>
      <c r="O48" s="87"/>
      <c r="P48" s="88"/>
      <c r="Q48" s="87"/>
      <c r="R48" s="88"/>
      <c r="S48" s="87"/>
      <c r="T48" s="87"/>
      <c r="U48" s="87"/>
      <c r="V48" s="88"/>
      <c r="W48" s="87"/>
      <c r="X48" s="87"/>
      <c r="Y48" s="88"/>
      <c r="Z48" s="88"/>
      <c r="AA48" s="88"/>
      <c r="AB48" s="87"/>
      <c r="AC48" s="87"/>
      <c r="AD48" s="88"/>
      <c r="AE48" s="87"/>
      <c r="AF48" s="87"/>
      <c r="AG48" s="88"/>
      <c r="AH48" s="88"/>
      <c r="AI48" s="87"/>
    </row>
    <row r="49" spans="1:35" ht="10.8" customHeight="1" x14ac:dyDescent="0.2">
      <c r="A49" s="89"/>
      <c r="B49" s="86"/>
      <c r="C49" s="88"/>
      <c r="D49" s="88"/>
      <c r="E49" s="88"/>
      <c r="F49" s="88"/>
      <c r="G49" s="87"/>
      <c r="H49" s="87"/>
      <c r="I49" s="88"/>
      <c r="J49" s="87"/>
      <c r="K49" s="87"/>
      <c r="L49" s="88"/>
      <c r="M49" s="87"/>
      <c r="N49" s="87"/>
      <c r="O49" s="87"/>
      <c r="P49" s="88"/>
      <c r="Q49" s="87"/>
      <c r="R49" s="88"/>
      <c r="S49" s="87"/>
      <c r="T49" s="87"/>
      <c r="U49" s="87"/>
      <c r="V49" s="88"/>
      <c r="W49" s="87"/>
      <c r="X49" s="87"/>
      <c r="Y49" s="88"/>
      <c r="Z49" s="88"/>
      <c r="AA49" s="88"/>
      <c r="AB49" s="87"/>
      <c r="AC49" s="87"/>
      <c r="AD49" s="88"/>
      <c r="AE49" s="87"/>
      <c r="AF49" s="87"/>
      <c r="AG49" s="88"/>
      <c r="AH49" s="88"/>
      <c r="AI49" s="87"/>
    </row>
    <row r="50" spans="1:35" ht="10.8" customHeight="1" x14ac:dyDescent="0.2">
      <c r="A50" s="89"/>
      <c r="B50" s="86"/>
      <c r="C50" s="88"/>
      <c r="D50" s="88"/>
      <c r="E50" s="88"/>
      <c r="F50" s="87"/>
      <c r="G50" s="87"/>
      <c r="H50" s="88"/>
      <c r="I50" s="87"/>
      <c r="J50" s="87"/>
      <c r="K50" s="88"/>
      <c r="L50" s="87"/>
      <c r="M50" s="87"/>
      <c r="N50" s="88"/>
      <c r="O50" s="87"/>
      <c r="P50" s="87"/>
      <c r="Q50" s="88"/>
      <c r="R50" s="87"/>
      <c r="S50" s="88"/>
      <c r="T50" s="87"/>
      <c r="U50" s="88"/>
      <c r="V50" s="87"/>
      <c r="W50" s="87"/>
      <c r="X50" s="88"/>
      <c r="Y50" s="87"/>
      <c r="Z50" s="88"/>
      <c r="AA50" s="87"/>
      <c r="AB50" s="87"/>
      <c r="AC50" s="87"/>
      <c r="AD50" s="87"/>
      <c r="AE50" s="88"/>
      <c r="AF50" s="88"/>
      <c r="AG50" s="87"/>
      <c r="AH50" s="87"/>
      <c r="AI50" s="88"/>
    </row>
    <row r="51" spans="1:35" ht="10.8" customHeight="1" x14ac:dyDescent="0.2">
      <c r="A51" s="89"/>
      <c r="B51" s="86"/>
      <c r="C51" s="88"/>
      <c r="D51" s="88"/>
      <c r="E51" s="88"/>
      <c r="F51" s="87"/>
      <c r="G51" s="87"/>
      <c r="H51" s="88"/>
      <c r="I51" s="87"/>
      <c r="J51" s="87"/>
      <c r="K51" s="88"/>
      <c r="L51" s="87"/>
      <c r="M51" s="87"/>
      <c r="N51" s="88"/>
      <c r="O51" s="87"/>
      <c r="P51" s="87"/>
      <c r="Q51" s="88"/>
      <c r="R51" s="87"/>
      <c r="S51" s="88"/>
      <c r="T51" s="87"/>
      <c r="U51" s="88"/>
      <c r="V51" s="87"/>
      <c r="W51" s="87"/>
      <c r="X51" s="88"/>
      <c r="Y51" s="87"/>
      <c r="Z51" s="88"/>
      <c r="AA51" s="87"/>
      <c r="AB51" s="87"/>
      <c r="AC51" s="87"/>
      <c r="AD51" s="87"/>
      <c r="AE51" s="88"/>
      <c r="AF51" s="88"/>
      <c r="AG51" s="87"/>
      <c r="AH51" s="87"/>
      <c r="AI51" s="88"/>
    </row>
    <row r="52" spans="1:35" ht="10.8" customHeight="1" x14ac:dyDescent="0.2">
      <c r="A52" s="89"/>
      <c r="B52" s="86"/>
      <c r="C52" s="88"/>
      <c r="D52" s="88"/>
      <c r="E52" s="88"/>
      <c r="F52" s="87"/>
      <c r="G52" s="87"/>
      <c r="H52" s="87"/>
      <c r="I52" s="87"/>
      <c r="J52" s="88"/>
      <c r="K52" s="88"/>
      <c r="L52" s="88"/>
      <c r="M52" s="87"/>
      <c r="N52" s="87"/>
      <c r="O52" s="87"/>
      <c r="P52" s="87"/>
      <c r="Q52" s="87"/>
      <c r="R52" s="88"/>
      <c r="S52" s="88"/>
      <c r="T52" s="87"/>
      <c r="U52" s="87"/>
      <c r="V52" s="87"/>
      <c r="W52" s="87"/>
      <c r="X52" s="87"/>
      <c r="Y52" s="88"/>
      <c r="Z52" s="88"/>
      <c r="AA52" s="87"/>
      <c r="AB52" s="87"/>
      <c r="AC52" s="87"/>
      <c r="AD52" s="87"/>
      <c r="AE52" s="87"/>
      <c r="AF52" s="87"/>
      <c r="AG52" s="88"/>
      <c r="AH52" s="88"/>
      <c r="AI52" s="87"/>
    </row>
    <row r="53" spans="1:35" ht="10.8" customHeight="1" x14ac:dyDescent="0.2">
      <c r="A53" s="89"/>
      <c r="B53" s="86"/>
      <c r="C53" s="88"/>
      <c r="D53" s="88"/>
      <c r="E53" s="88"/>
      <c r="F53" s="87"/>
      <c r="G53" s="87"/>
      <c r="H53" s="87"/>
      <c r="I53" s="87"/>
      <c r="J53" s="88"/>
      <c r="K53" s="88"/>
      <c r="L53" s="88"/>
      <c r="M53" s="87"/>
      <c r="N53" s="87"/>
      <c r="O53" s="87"/>
      <c r="P53" s="87"/>
      <c r="Q53" s="87"/>
      <c r="R53" s="88"/>
      <c r="S53" s="88"/>
      <c r="T53" s="87"/>
      <c r="U53" s="87"/>
      <c r="V53" s="87"/>
      <c r="W53" s="87"/>
      <c r="X53" s="87"/>
      <c r="Y53" s="88"/>
      <c r="Z53" s="88"/>
      <c r="AA53" s="87"/>
      <c r="AB53" s="87"/>
      <c r="AC53" s="87"/>
      <c r="AD53" s="87"/>
      <c r="AE53" s="87"/>
      <c r="AF53" s="87"/>
      <c r="AG53" s="88"/>
      <c r="AH53" s="88"/>
      <c r="AI53" s="87"/>
    </row>
    <row r="54" spans="1:35" ht="13.2" x14ac:dyDescent="0.2"/>
    <row r="55" spans="1:35" ht="13.2" x14ac:dyDescent="0.2"/>
    <row r="56" spans="1:35" ht="10.8" customHeight="1" x14ac:dyDescent="0.2">
      <c r="F56" s="80"/>
      <c r="G56" s="80"/>
      <c r="H56" s="80"/>
      <c r="I56" s="80"/>
      <c r="J56" s="80"/>
      <c r="K56" s="80"/>
      <c r="L56" s="80"/>
    </row>
    <row r="57" spans="1:35" ht="13.2" x14ac:dyDescent="0.2"/>
    <row r="58" spans="1:35" ht="10.8" customHeight="1" x14ac:dyDescent="0.2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</row>
    <row r="59" spans="1:35" ht="10.8" customHeight="1" x14ac:dyDescent="0.2">
      <c r="A59" s="85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</row>
    <row r="60" spans="1:35" ht="10.8" customHeight="1" x14ac:dyDescent="0.2">
      <c r="A60" s="89"/>
      <c r="B60" s="89"/>
      <c r="C60" s="88"/>
      <c r="D60" s="89"/>
      <c r="E60" s="89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</row>
    <row r="61" spans="1:35" ht="10.8" customHeight="1" x14ac:dyDescent="0.2">
      <c r="A61" s="89"/>
      <c r="B61" s="89"/>
      <c r="C61" s="88"/>
      <c r="D61" s="89"/>
      <c r="E61" s="89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</row>
    <row r="62" spans="1:35" ht="10.8" customHeight="1" x14ac:dyDescent="0.2">
      <c r="A62" s="89"/>
      <c r="B62" s="89"/>
      <c r="C62" s="88"/>
      <c r="D62" s="89"/>
      <c r="E62" s="89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</row>
    <row r="63" spans="1:35" ht="10.8" customHeight="1" x14ac:dyDescent="0.2">
      <c r="A63" s="89"/>
      <c r="B63" s="89"/>
      <c r="C63" s="88"/>
      <c r="D63" s="89"/>
      <c r="E63" s="89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8"/>
      <c r="AE63" s="88"/>
      <c r="AF63" s="88"/>
      <c r="AG63" s="88"/>
      <c r="AH63" s="88"/>
      <c r="AI63" s="88"/>
    </row>
    <row r="64" spans="1:35" ht="10.8" customHeight="1" x14ac:dyDescent="0.2">
      <c r="A64" s="89"/>
      <c r="B64" s="89"/>
      <c r="C64" s="88"/>
      <c r="D64" s="89"/>
      <c r="E64" s="89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</row>
    <row r="65" spans="1:35" ht="10.8" customHeight="1" x14ac:dyDescent="0.2">
      <c r="A65" s="89"/>
      <c r="B65" s="89"/>
      <c r="C65" s="88"/>
      <c r="D65" s="89"/>
      <c r="E65" s="89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</row>
    <row r="66" spans="1:35" ht="10.8" customHeight="1" x14ac:dyDescent="0.2">
      <c r="A66" s="89"/>
      <c r="B66" s="89"/>
      <c r="C66" s="88"/>
      <c r="D66" s="89"/>
      <c r="E66" s="89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</row>
    <row r="67" spans="1:35" ht="10.8" customHeight="1" x14ac:dyDescent="0.2">
      <c r="A67" s="89"/>
      <c r="B67" s="89"/>
      <c r="C67" s="88"/>
      <c r="D67" s="89"/>
      <c r="E67" s="89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</row>
    <row r="68" spans="1:35" ht="10.8" customHeight="1" x14ac:dyDescent="0.2">
      <c r="A68" s="89"/>
      <c r="B68" s="89"/>
      <c r="C68" s="88"/>
      <c r="D68" s="89"/>
      <c r="E68" s="89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</row>
    <row r="69" spans="1:35" ht="10.8" customHeight="1" x14ac:dyDescent="0.2">
      <c r="A69" s="89"/>
      <c r="B69" s="89"/>
      <c r="C69" s="88"/>
      <c r="D69" s="89"/>
      <c r="E69" s="89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</row>
    <row r="70" spans="1:35" ht="10.8" customHeight="1" x14ac:dyDescent="0.2">
      <c r="A70" s="89"/>
      <c r="B70" s="89"/>
      <c r="C70" s="88"/>
      <c r="D70" s="89"/>
      <c r="E70" s="89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</row>
    <row r="71" spans="1:35" ht="10.8" customHeight="1" x14ac:dyDescent="0.2">
      <c r="A71" s="89"/>
      <c r="B71" s="89"/>
      <c r="C71" s="88"/>
      <c r="D71" s="89"/>
      <c r="E71" s="89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</row>
    <row r="72" spans="1:35" ht="10.8" customHeight="1" x14ac:dyDescent="0.2">
      <c r="A72" s="89"/>
      <c r="B72" s="89"/>
      <c r="C72" s="88"/>
      <c r="D72" s="89"/>
      <c r="E72" s="89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</row>
    <row r="73" spans="1:35" ht="10.8" customHeight="1" x14ac:dyDescent="0.2">
      <c r="A73" s="89"/>
      <c r="B73" s="89"/>
      <c r="C73" s="88"/>
      <c r="D73" s="89"/>
      <c r="E73" s="89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</row>
    <row r="74" spans="1:35" ht="10.8" customHeight="1" x14ac:dyDescent="0.2">
      <c r="A74" s="89"/>
      <c r="B74" s="89"/>
      <c r="C74" s="88"/>
      <c r="D74" s="89"/>
      <c r="E74" s="89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</row>
    <row r="75" spans="1:35" ht="10.8" customHeight="1" x14ac:dyDescent="0.2">
      <c r="A75" s="89"/>
      <c r="B75" s="89"/>
      <c r="C75" s="88"/>
      <c r="D75" s="89"/>
      <c r="E75" s="89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</row>
    <row r="76" spans="1:35" ht="10.8" customHeight="1" x14ac:dyDescent="0.2">
      <c r="A76" s="89"/>
      <c r="B76" s="89"/>
      <c r="C76" s="88"/>
      <c r="D76" s="89"/>
      <c r="E76" s="89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</row>
    <row r="77" spans="1:35" ht="10.8" customHeight="1" x14ac:dyDescent="0.2">
      <c r="A77" s="89"/>
      <c r="B77" s="89"/>
      <c r="C77" s="88"/>
      <c r="D77" s="89"/>
      <c r="E77" s="89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</row>
    <row r="78" spans="1:35" ht="10.8" customHeight="1" x14ac:dyDescent="0.2">
      <c r="A78" s="89"/>
      <c r="B78" s="89"/>
      <c r="C78" s="88"/>
      <c r="D78" s="89"/>
      <c r="E78" s="89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</row>
    <row r="79" spans="1:35" ht="10.8" customHeight="1" x14ac:dyDescent="0.2">
      <c r="A79" s="89"/>
      <c r="B79" s="89"/>
      <c r="C79" s="88"/>
      <c r="D79" s="89"/>
      <c r="E79" s="89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</row>
    <row r="80" spans="1:35" ht="10.8" customHeight="1" x14ac:dyDescent="0.2">
      <c r="A80" s="89"/>
      <c r="B80" s="89"/>
      <c r="C80" s="88"/>
      <c r="D80" s="89"/>
      <c r="E80" s="89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</row>
    <row r="81" spans="1:35" ht="10.8" customHeight="1" x14ac:dyDescent="0.2">
      <c r="A81" s="89"/>
      <c r="B81" s="89"/>
      <c r="C81" s="88"/>
      <c r="D81" s="89"/>
      <c r="E81" s="89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</row>
    <row r="82" spans="1:35" ht="10.8" customHeight="1" x14ac:dyDescent="0.2">
      <c r="A82" s="89"/>
      <c r="B82" s="89"/>
      <c r="C82" s="88"/>
      <c r="D82" s="89"/>
      <c r="E82" s="89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88"/>
      <c r="AG82" s="88"/>
      <c r="AH82" s="88"/>
      <c r="AI82" s="88"/>
    </row>
    <row r="83" spans="1:35" ht="10.8" customHeight="1" x14ac:dyDescent="0.2">
      <c r="A83" s="89"/>
      <c r="B83" s="89"/>
      <c r="C83" s="88"/>
      <c r="D83" s="89"/>
      <c r="E83" s="89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</row>
    <row r="84" spans="1:35" ht="10.8" customHeight="1" x14ac:dyDescent="0.2">
      <c r="A84" s="89"/>
      <c r="B84" s="89"/>
      <c r="C84" s="88"/>
      <c r="D84" s="89"/>
      <c r="E84" s="89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</row>
    <row r="85" spans="1:35" ht="10.8" customHeight="1" x14ac:dyDescent="0.2">
      <c r="A85" s="89"/>
      <c r="B85" s="89"/>
      <c r="C85" s="88"/>
      <c r="D85" s="89"/>
      <c r="E85" s="89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</row>
    <row r="86" spans="1:35" ht="10.8" customHeight="1" x14ac:dyDescent="0.2">
      <c r="A86" s="89"/>
      <c r="B86" s="89"/>
      <c r="C86" s="88"/>
      <c r="D86" s="89"/>
      <c r="E86" s="89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  <c r="AI86" s="88"/>
    </row>
    <row r="87" spans="1:35" ht="10.8" customHeight="1" x14ac:dyDescent="0.2">
      <c r="A87" s="89"/>
      <c r="B87" s="89"/>
      <c r="C87" s="88"/>
      <c r="D87" s="89"/>
      <c r="E87" s="89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8"/>
      <c r="AI87" s="88"/>
    </row>
    <row r="88" spans="1:35" ht="10.8" customHeight="1" x14ac:dyDescent="0.2">
      <c r="A88" s="89"/>
      <c r="B88" s="89"/>
      <c r="C88" s="88"/>
      <c r="D88" s="89"/>
      <c r="E88" s="89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88"/>
      <c r="AI88" s="88"/>
    </row>
    <row r="89" spans="1:35" ht="10.8" customHeight="1" x14ac:dyDescent="0.2">
      <c r="A89" s="89"/>
      <c r="B89" s="89"/>
      <c r="C89" s="88"/>
      <c r="D89" s="89"/>
      <c r="E89" s="89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88"/>
      <c r="AG89" s="88"/>
      <c r="AH89" s="88"/>
      <c r="AI89" s="88"/>
    </row>
    <row r="90" spans="1:35" ht="10.8" customHeight="1" x14ac:dyDescent="0.2">
      <c r="A90" s="89"/>
      <c r="B90" s="89"/>
      <c r="C90" s="88"/>
      <c r="D90" s="89"/>
      <c r="E90" s="89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88"/>
      <c r="AG90" s="88"/>
      <c r="AH90" s="88"/>
      <c r="AI90" s="88"/>
    </row>
    <row r="91" spans="1:35" ht="10.8" customHeight="1" x14ac:dyDescent="0.2">
      <c r="A91" s="89"/>
      <c r="B91" s="89"/>
      <c r="C91" s="88"/>
      <c r="D91" s="89"/>
      <c r="E91" s="89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</row>
    <row r="92" spans="1:35" ht="10.8" customHeight="1" x14ac:dyDescent="0.2">
      <c r="A92" s="89"/>
      <c r="B92" s="89"/>
      <c r="C92" s="88"/>
      <c r="D92" s="89"/>
      <c r="E92" s="89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</row>
    <row r="93" spans="1:35" ht="10.8" customHeight="1" x14ac:dyDescent="0.2">
      <c r="A93" s="89"/>
      <c r="B93" s="89"/>
      <c r="C93" s="88"/>
      <c r="D93" s="89"/>
      <c r="E93" s="89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7FE89-C7A5-42F0-A5A2-FDBAA426F03D}">
  <dimension ref="B1:J33"/>
  <sheetViews>
    <sheetView view="pageBreakPreview" zoomScale="60" zoomScaleNormal="100" zoomScalePageLayoutView="70" workbookViewId="0">
      <selection activeCell="Q26" sqref="Q26"/>
    </sheetView>
  </sheetViews>
  <sheetFormatPr defaultRowHeight="15" x14ac:dyDescent="0.3"/>
  <cols>
    <col min="1" max="1" width="2.6640625" style="112" customWidth="1"/>
    <col min="2" max="2" width="7.33203125" style="112" customWidth="1"/>
    <col min="3" max="3" width="7.109375" style="112" customWidth="1"/>
    <col min="4" max="4" width="8.77734375" style="112" customWidth="1"/>
    <col min="5" max="6" width="13" style="112" customWidth="1"/>
    <col min="7" max="8" width="8.88671875" style="112"/>
    <col min="9" max="9" width="12.77734375" style="112" bestFit="1" customWidth="1"/>
    <col min="10" max="10" width="7.33203125" style="112" customWidth="1"/>
    <col min="11" max="16384" width="8.88671875" style="112"/>
  </cols>
  <sheetData>
    <row r="1" spans="2:10" x14ac:dyDescent="0.3">
      <c r="B1" s="115"/>
      <c r="C1" s="115"/>
      <c r="D1" s="115"/>
      <c r="E1" s="115"/>
      <c r="F1" s="115"/>
      <c r="G1" s="115"/>
      <c r="H1" s="115"/>
      <c r="I1" s="115"/>
      <c r="J1" s="115"/>
    </row>
    <row r="2" spans="2:10" ht="16.8" customHeight="1" x14ac:dyDescent="0.3">
      <c r="I2" s="122">
        <f ca="1">TODAY()</f>
        <v>45771</v>
      </c>
      <c r="J2" s="122"/>
    </row>
    <row r="3" spans="2:10" ht="16.8" customHeight="1" x14ac:dyDescent="0.3">
      <c r="B3" s="112" t="s">
        <v>24</v>
      </c>
    </row>
    <row r="4" spans="2:10" ht="16.8" customHeight="1" x14ac:dyDescent="0.3">
      <c r="B4" s="112" t="s">
        <v>22</v>
      </c>
    </row>
    <row r="5" spans="2:10" ht="16.8" customHeight="1" x14ac:dyDescent="0.3">
      <c r="B5" s="112" t="s">
        <v>31</v>
      </c>
    </row>
    <row r="6" spans="2:10" ht="16.8" customHeight="1" x14ac:dyDescent="0.3">
      <c r="H6" s="123" t="s">
        <v>29</v>
      </c>
      <c r="I6" s="123"/>
      <c r="J6" s="123"/>
    </row>
    <row r="7" spans="2:10" ht="16.8" customHeight="1" x14ac:dyDescent="0.3">
      <c r="H7" s="123" t="s">
        <v>23</v>
      </c>
      <c r="I7" s="123"/>
      <c r="J7" s="123"/>
    </row>
    <row r="9" spans="2:10" s="124" customFormat="1" ht="24" customHeight="1" x14ac:dyDescent="0.2">
      <c r="C9" s="125" t="s">
        <v>30</v>
      </c>
      <c r="D9" s="125"/>
      <c r="E9" s="125"/>
      <c r="F9" s="125"/>
      <c r="G9" s="125"/>
      <c r="H9" s="125"/>
      <c r="I9" s="125"/>
    </row>
    <row r="10" spans="2:10" s="124" customFormat="1" ht="14.4" customHeight="1" x14ac:dyDescent="0.2">
      <c r="C10" s="126"/>
      <c r="D10" s="126"/>
      <c r="E10" s="126"/>
      <c r="F10" s="126"/>
      <c r="G10" s="126"/>
      <c r="H10" s="126"/>
      <c r="I10" s="126"/>
    </row>
    <row r="11" spans="2:10" s="1" customFormat="1" ht="21" customHeight="1" x14ac:dyDescent="0.2">
      <c r="C11" s="128" t="s">
        <v>32</v>
      </c>
      <c r="D11" s="127"/>
      <c r="E11" s="127"/>
      <c r="F11" s="127"/>
      <c r="G11" s="127"/>
      <c r="H11" s="127"/>
      <c r="I11" s="127"/>
    </row>
    <row r="12" spans="2:10" s="1" customFormat="1" ht="21" customHeight="1" x14ac:dyDescent="0.2">
      <c r="C12" s="127"/>
      <c r="D12" s="127"/>
      <c r="E12" s="127"/>
      <c r="F12" s="127"/>
      <c r="G12" s="127"/>
      <c r="H12" s="127"/>
      <c r="I12" s="127"/>
    </row>
    <row r="13" spans="2:10" s="1" customFormat="1" ht="21" customHeight="1" x14ac:dyDescent="0.2">
      <c r="C13" s="127"/>
      <c r="D13" s="127"/>
      <c r="E13" s="127"/>
      <c r="F13" s="127"/>
      <c r="G13" s="127"/>
      <c r="H13" s="127"/>
      <c r="I13" s="127"/>
    </row>
    <row r="14" spans="2:10" s="1" customFormat="1" ht="21" customHeight="1" x14ac:dyDescent="0.2">
      <c r="C14" s="127"/>
      <c r="D14" s="127"/>
      <c r="E14" s="127"/>
      <c r="F14" s="127"/>
      <c r="G14" s="127"/>
      <c r="H14" s="127"/>
      <c r="I14" s="127"/>
    </row>
    <row r="15" spans="2:10" s="1" customFormat="1" ht="21" customHeight="1" x14ac:dyDescent="0.2">
      <c r="C15" s="127"/>
      <c r="D15" s="127"/>
      <c r="E15" s="127"/>
      <c r="F15" s="127"/>
      <c r="G15" s="127"/>
      <c r="H15" s="127"/>
      <c r="I15" s="127"/>
    </row>
    <row r="16" spans="2:10" s="1" customFormat="1" ht="21" customHeight="1" x14ac:dyDescent="0.2">
      <c r="C16" s="127"/>
      <c r="D16" s="127"/>
      <c r="E16" s="127"/>
      <c r="F16" s="127"/>
      <c r="G16" s="127"/>
      <c r="H16" s="127"/>
      <c r="I16" s="127"/>
    </row>
    <row r="17" spans="3:9" ht="17.399999999999999" customHeight="1" x14ac:dyDescent="0.3"/>
    <row r="18" spans="3:9" ht="31.8" customHeight="1" x14ac:dyDescent="0.3">
      <c r="C18" s="119" t="s">
        <v>27</v>
      </c>
      <c r="D18" s="119"/>
      <c r="E18" s="120" t="s">
        <v>25</v>
      </c>
      <c r="F18" s="120" t="s">
        <v>26</v>
      </c>
      <c r="G18" s="119" t="s">
        <v>28</v>
      </c>
      <c r="H18" s="119"/>
      <c r="I18" s="119"/>
    </row>
    <row r="19" spans="3:9" ht="19.8" customHeight="1" x14ac:dyDescent="0.3">
      <c r="C19" s="117">
        <f ca="1">通常保育!J8</f>
        <v>0</v>
      </c>
      <c r="D19" s="118">
        <f ca="1">通常保育!K8</f>
        <v>0</v>
      </c>
      <c r="E19" s="121" cm="1">
        <f t="array" aca="1" ref="E19" ca="1">_xlfn.XLOOKUP(1,(まとめ!$I$12:$I$27=提出用!C19)*(まとめ!$J$12:$J$27=提出用!D19),まとめ!$E$12:$E$27,0,0)</f>
        <v>0</v>
      </c>
      <c r="F19" s="121" cm="1">
        <f t="array" aca="1" ref="F19" ca="1">_xlfn.XLOOKUP(1,(まとめ!$I$12:$I$27=提出用!C19)*(まとめ!$J$12:$J$27=提出用!D19),まとめ!$G$12:$G$27,0,0)</f>
        <v>0</v>
      </c>
      <c r="G19" s="116" t="str" cm="1">
        <f t="array" aca="1" ref="G19" ca="1">IF(_xlfn.XLOOKUP(1,(まとめ!$I$12:$I$27=提出用!C19)*(まとめ!$J$12:$J$27=提出用!D19),まとめ!$K$12:$K$27,0,0)=0,
"",_xlfn.XLOOKUP(1,(まとめ!I12:I27=提出用!C19)*(まとめ!J12:J27=提出用!D19),まとめ!K12:K27,0,0))</f>
        <v/>
      </c>
      <c r="H19" s="116"/>
      <c r="I19" s="116"/>
    </row>
    <row r="20" spans="3:9" ht="19.8" customHeight="1" x14ac:dyDescent="0.3">
      <c r="C20" s="117">
        <f ca="1">通常保育!J9</f>
        <v>0</v>
      </c>
      <c r="D20" s="118">
        <f ca="1">通常保育!K9</f>
        <v>0</v>
      </c>
      <c r="E20" s="121" cm="1">
        <f t="array" aca="1" ref="E20" ca="1">_xlfn.XLOOKUP(1,(まとめ!$I$12:$I$27=提出用!C20)*(まとめ!$J$12:$J$27=提出用!D20),まとめ!$E$12:$E$27,0,0)</f>
        <v>0</v>
      </c>
      <c r="F20" s="121" cm="1">
        <f t="array" aca="1" ref="F20" ca="1">_xlfn.XLOOKUP(1,(まとめ!$I$12:$I$27=提出用!C20)*(まとめ!$J$12:$J$27=提出用!D20),まとめ!$G$12:$G$27,0,0)</f>
        <v>0</v>
      </c>
      <c r="G20" s="116" t="str" cm="1">
        <f t="array" aca="1" ref="G20" ca="1">IF(_xlfn.XLOOKUP(1,(まとめ!$I$12:$I$27=提出用!C20)*(まとめ!$J$12:$J$27=提出用!D20),まとめ!$K$12:$K$27,0,0)=0,
"",_xlfn.XLOOKUP(1,(まとめ!I13:I28=提出用!C20)*(まとめ!J13:J28=提出用!D20),まとめ!K13:K28,0,0))</f>
        <v/>
      </c>
      <c r="H20" s="116"/>
      <c r="I20" s="116"/>
    </row>
    <row r="21" spans="3:9" ht="19.8" customHeight="1" x14ac:dyDescent="0.3">
      <c r="C21" s="117">
        <f ca="1">通常保育!J10</f>
        <v>0</v>
      </c>
      <c r="D21" s="118">
        <f ca="1">通常保育!K10</f>
        <v>0</v>
      </c>
      <c r="E21" s="121" cm="1">
        <f t="array" aca="1" ref="E21" ca="1">_xlfn.XLOOKUP(1,(まとめ!$I$12:$I$27=提出用!C21)*(まとめ!$J$12:$J$27=提出用!D21),まとめ!$E$12:$E$27,0,0)</f>
        <v>0</v>
      </c>
      <c r="F21" s="121" cm="1">
        <f t="array" aca="1" ref="F21" ca="1">_xlfn.XLOOKUP(1,(まとめ!$I$12:$I$27=提出用!C21)*(まとめ!$J$12:$J$27=提出用!D21),まとめ!$G$12:$G$27,0,0)</f>
        <v>0</v>
      </c>
      <c r="G21" s="116" t="str" cm="1">
        <f t="array" aca="1" ref="G21" ca="1">IF(_xlfn.XLOOKUP(1,(まとめ!$I$12:$I$27=提出用!C21)*(まとめ!$J$12:$J$27=提出用!D21),まとめ!$K$12:$K$27,0,0)=0,
"",_xlfn.XLOOKUP(1,(まとめ!I14:I29=提出用!C21)*(まとめ!J14:J29=提出用!D21),まとめ!K14:K29,0,0))</f>
        <v/>
      </c>
      <c r="H21" s="116"/>
      <c r="I21" s="116"/>
    </row>
    <row r="22" spans="3:9" ht="19.8" customHeight="1" x14ac:dyDescent="0.3">
      <c r="C22" s="117">
        <f ca="1">通常保育!J11</f>
        <v>0</v>
      </c>
      <c r="D22" s="118">
        <f ca="1">通常保育!K11</f>
        <v>0</v>
      </c>
      <c r="E22" s="121" cm="1">
        <f t="array" aca="1" ref="E22" ca="1">_xlfn.XLOOKUP(1,(まとめ!$I$12:$I$27=提出用!C22)*(まとめ!$J$12:$J$27=提出用!D22),まとめ!$E$12:$E$27,0,0)</f>
        <v>0</v>
      </c>
      <c r="F22" s="121" cm="1">
        <f t="array" aca="1" ref="F22" ca="1">_xlfn.XLOOKUP(1,(まとめ!$I$12:$I$27=提出用!C22)*(まとめ!$J$12:$J$27=提出用!D22),まとめ!$G$12:$G$27,0,0)</f>
        <v>0</v>
      </c>
      <c r="G22" s="116" t="str" cm="1">
        <f t="array" aca="1" ref="G22" ca="1">IF(_xlfn.XLOOKUP(1,(まとめ!$I$12:$I$27=提出用!C22)*(まとめ!$J$12:$J$27=提出用!D22),まとめ!$K$12:$K$27,0,0)=0,
"",_xlfn.XLOOKUP(1,(まとめ!I15:I30=提出用!C22)*(まとめ!J15:J30=提出用!D22),まとめ!K15:K30,0,0))</f>
        <v/>
      </c>
      <c r="H22" s="116"/>
      <c r="I22" s="116"/>
    </row>
    <row r="23" spans="3:9" ht="19.8" customHeight="1" x14ac:dyDescent="0.3">
      <c r="C23" s="117">
        <f ca="1">通常保育!J12</f>
        <v>0</v>
      </c>
      <c r="D23" s="118">
        <f ca="1">通常保育!K12</f>
        <v>0</v>
      </c>
      <c r="E23" s="121" cm="1">
        <f t="array" aca="1" ref="E23" ca="1">_xlfn.XLOOKUP(1,(まとめ!$I$12:$I$27=提出用!C23)*(まとめ!$J$12:$J$27=提出用!D23),まとめ!$E$12:$E$27,0,0)</f>
        <v>0</v>
      </c>
      <c r="F23" s="121" cm="1">
        <f t="array" aca="1" ref="F23" ca="1">_xlfn.XLOOKUP(1,(まとめ!$I$12:$I$27=提出用!C23)*(まとめ!$J$12:$J$27=提出用!D23),まとめ!$G$12:$G$27,0,0)</f>
        <v>0</v>
      </c>
      <c r="G23" s="116" t="str" cm="1">
        <f t="array" aca="1" ref="G23" ca="1">IF(_xlfn.XLOOKUP(1,(まとめ!$I$12:$I$27=提出用!C23)*(まとめ!$J$12:$J$27=提出用!D23),まとめ!$K$12:$K$27,0,0)=0,
"",_xlfn.XLOOKUP(1,(まとめ!I16:I31=提出用!C23)*(まとめ!J16:J31=提出用!D23),まとめ!K16:K31,0,0))</f>
        <v/>
      </c>
      <c r="H23" s="116"/>
      <c r="I23" s="116"/>
    </row>
    <row r="24" spans="3:9" ht="19.8" customHeight="1" x14ac:dyDescent="0.3">
      <c r="C24" s="117">
        <f ca="1">通常保育!J13</f>
        <v>0</v>
      </c>
      <c r="D24" s="118">
        <f ca="1">通常保育!K13</f>
        <v>0</v>
      </c>
      <c r="E24" s="121" cm="1">
        <f t="array" aca="1" ref="E24" ca="1">_xlfn.XLOOKUP(1,(まとめ!$I$12:$I$27=提出用!C24)*(まとめ!$J$12:$J$27=提出用!D24),まとめ!$E$12:$E$27,0,0)</f>
        <v>0</v>
      </c>
      <c r="F24" s="121" cm="1">
        <f t="array" aca="1" ref="F24" ca="1">_xlfn.XLOOKUP(1,(まとめ!$I$12:$I$27=提出用!C24)*(まとめ!$J$12:$J$27=提出用!D24),まとめ!$G$12:$G$27,0,0)</f>
        <v>0</v>
      </c>
      <c r="G24" s="116" t="str" cm="1">
        <f t="array" aca="1" ref="G24" ca="1">IF(_xlfn.XLOOKUP(1,(まとめ!$I$12:$I$27=提出用!C24)*(まとめ!$J$12:$J$27=提出用!D24),まとめ!$K$12:$K$27,0,0)=0,
"",_xlfn.XLOOKUP(1,(まとめ!I17:I32=提出用!C24)*(まとめ!J17:J32=提出用!D24),まとめ!K17:K32,0,0))</f>
        <v/>
      </c>
      <c r="H24" s="116"/>
      <c r="I24" s="116"/>
    </row>
    <row r="25" spans="3:9" ht="19.8" customHeight="1" x14ac:dyDescent="0.3">
      <c r="C25" s="117">
        <f ca="1">通常保育!J14</f>
        <v>0</v>
      </c>
      <c r="D25" s="118">
        <f ca="1">通常保育!K14</f>
        <v>0</v>
      </c>
      <c r="E25" s="121" cm="1">
        <f t="array" aca="1" ref="E25" ca="1">_xlfn.XLOOKUP(1,(まとめ!$I$12:$I$27=提出用!C25)*(まとめ!$J$12:$J$27=提出用!D25),まとめ!$E$12:$E$27,0,0)</f>
        <v>0</v>
      </c>
      <c r="F25" s="121" cm="1">
        <f t="array" aca="1" ref="F25" ca="1">_xlfn.XLOOKUP(1,(まとめ!$I$12:$I$27=提出用!C25)*(まとめ!$J$12:$J$27=提出用!D25),まとめ!$G$12:$G$27,0,0)</f>
        <v>0</v>
      </c>
      <c r="G25" s="116" t="str" cm="1">
        <f t="array" aca="1" ref="G25" ca="1">IF(_xlfn.XLOOKUP(1,(まとめ!$I$12:$I$27=提出用!C25)*(まとめ!$J$12:$J$27=提出用!D25),まとめ!$K$12:$K$27,0,0)=0,
"",_xlfn.XLOOKUP(1,(まとめ!I18:I33=提出用!C25)*(まとめ!J18:J33=提出用!D25),まとめ!K18:K33,0,0))</f>
        <v/>
      </c>
      <c r="H25" s="116"/>
      <c r="I25" s="116"/>
    </row>
    <row r="26" spans="3:9" ht="19.8" customHeight="1" x14ac:dyDescent="0.3">
      <c r="C26" s="117">
        <f ca="1">通常保育!J15</f>
        <v>0</v>
      </c>
      <c r="D26" s="118">
        <f ca="1">通常保育!K15</f>
        <v>0</v>
      </c>
      <c r="E26" s="121" cm="1">
        <f t="array" aca="1" ref="E26" ca="1">_xlfn.XLOOKUP(1,(まとめ!$I$12:$I$27=提出用!C26)*(まとめ!$J$12:$J$27=提出用!D26),まとめ!$E$12:$E$27,0,0)</f>
        <v>0</v>
      </c>
      <c r="F26" s="121" cm="1">
        <f t="array" aca="1" ref="F26" ca="1">_xlfn.XLOOKUP(1,(まとめ!$I$12:$I$27=提出用!C26)*(まとめ!$J$12:$J$27=提出用!D26),まとめ!$G$12:$G$27,0,0)</f>
        <v>0</v>
      </c>
      <c r="G26" s="116" t="str" cm="1">
        <f t="array" aca="1" ref="G26" ca="1">IF(_xlfn.XLOOKUP(1,(まとめ!$I$12:$I$27=提出用!C26)*(まとめ!$J$12:$J$27=提出用!D26),まとめ!$K$12:$K$27,0,0)=0,
"",_xlfn.XLOOKUP(1,(まとめ!I19:I34=提出用!C26)*(まとめ!J19:J34=提出用!D26),まとめ!K19:K34,0,0))</f>
        <v/>
      </c>
      <c r="H26" s="116"/>
      <c r="I26" s="116"/>
    </row>
    <row r="27" spans="3:9" ht="19.8" customHeight="1" x14ac:dyDescent="0.3">
      <c r="C27" s="117">
        <f ca="1">通常保育!J16</f>
        <v>0</v>
      </c>
      <c r="D27" s="118">
        <f ca="1">通常保育!K16</f>
        <v>0</v>
      </c>
      <c r="E27" s="121" cm="1">
        <f t="array" aca="1" ref="E27" ca="1">_xlfn.XLOOKUP(1,(まとめ!$I$12:$I$27=提出用!C27)*(まとめ!$J$12:$J$27=提出用!D27),まとめ!$E$12:$E$27,0,0)</f>
        <v>0</v>
      </c>
      <c r="F27" s="121" cm="1">
        <f t="array" aca="1" ref="F27" ca="1">_xlfn.XLOOKUP(1,(まとめ!$I$12:$I$27=提出用!C27)*(まとめ!$J$12:$J$27=提出用!D27),まとめ!$G$12:$G$27,0,0)</f>
        <v>0</v>
      </c>
      <c r="G27" s="116" t="str" cm="1">
        <f t="array" aca="1" ref="G27" ca="1">IF(_xlfn.XLOOKUP(1,(まとめ!$I$12:$I$27=提出用!C27)*(まとめ!$J$12:$J$27=提出用!D27),まとめ!$K$12:$K$27,0,0)=0,
"",_xlfn.XLOOKUP(1,(まとめ!I20:I35=提出用!C27)*(まとめ!J20:J35=提出用!D27),まとめ!K20:K35,0,0))</f>
        <v/>
      </c>
      <c r="H27" s="116"/>
      <c r="I27" s="116"/>
    </row>
    <row r="28" spans="3:9" ht="19.8" customHeight="1" x14ac:dyDescent="0.3">
      <c r="C28" s="117">
        <f ca="1">通常保育!J17</f>
        <v>0</v>
      </c>
      <c r="D28" s="118">
        <f ca="1">通常保育!K17</f>
        <v>0</v>
      </c>
      <c r="E28" s="121" cm="1">
        <f t="array" aca="1" ref="E28" ca="1">_xlfn.XLOOKUP(1,(まとめ!$I$12:$I$27=提出用!C28)*(まとめ!$J$12:$J$27=提出用!D28),まとめ!$E$12:$E$27,0,0)</f>
        <v>0</v>
      </c>
      <c r="F28" s="121" cm="1">
        <f t="array" aca="1" ref="F28" ca="1">_xlfn.XLOOKUP(1,(まとめ!$I$12:$I$27=提出用!C28)*(まとめ!$J$12:$J$27=提出用!D28),まとめ!$G$12:$G$27,0,0)</f>
        <v>0</v>
      </c>
      <c r="G28" s="116" t="str" cm="1">
        <f t="array" aca="1" ref="G28" ca="1">IF(_xlfn.XLOOKUP(1,(まとめ!$I$12:$I$27=提出用!C28)*(まとめ!$J$12:$J$27=提出用!D28),まとめ!$K$12:$K$27,0,0)=0,
"",_xlfn.XLOOKUP(1,(まとめ!I21:I36=提出用!C28)*(まとめ!J21:J36=提出用!D28),まとめ!K21:K36,0,0))</f>
        <v/>
      </c>
      <c r="H28" s="116"/>
      <c r="I28" s="116"/>
    </row>
    <row r="29" spans="3:9" ht="15.6" thickBot="1" x14ac:dyDescent="0.35">
      <c r="D29" s="113"/>
    </row>
    <row r="30" spans="3:9" ht="15.6" thickBot="1" x14ac:dyDescent="0.35">
      <c r="D30" s="113"/>
    </row>
    <row r="31" spans="3:9" ht="15.6" thickBot="1" x14ac:dyDescent="0.35">
      <c r="D31" s="113" t="str">
        <f>通常保育!J20&amp;通常保育!K20</f>
        <v/>
      </c>
    </row>
    <row r="32" spans="3:9" x14ac:dyDescent="0.3">
      <c r="D32" s="114"/>
    </row>
    <row r="33" spans="4:4" x14ac:dyDescent="0.3">
      <c r="D33" s="114"/>
    </row>
  </sheetData>
  <mergeCells count="17">
    <mergeCell ref="I2:J2"/>
    <mergeCell ref="C11:I16"/>
    <mergeCell ref="G26:I26"/>
    <mergeCell ref="G27:I27"/>
    <mergeCell ref="G28:I28"/>
    <mergeCell ref="H6:J6"/>
    <mergeCell ref="H7:J7"/>
    <mergeCell ref="G20:I20"/>
    <mergeCell ref="G21:I21"/>
    <mergeCell ref="G22:I22"/>
    <mergeCell ref="G23:I23"/>
    <mergeCell ref="G24:I24"/>
    <mergeCell ref="G25:I25"/>
    <mergeCell ref="C18:D18"/>
    <mergeCell ref="C9:I9"/>
    <mergeCell ref="G18:I18"/>
    <mergeCell ref="G19:I19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41"/>
  <sheetViews>
    <sheetView tabSelected="1" zoomScale="80" zoomScaleNormal="80" workbookViewId="0">
      <selection activeCell="A27" sqref="A27"/>
    </sheetView>
  </sheetViews>
  <sheetFormatPr defaultColWidth="9" defaultRowHeight="15" x14ac:dyDescent="0.2"/>
  <cols>
    <col min="1" max="1" width="4.6640625" style="1" customWidth="1"/>
    <col min="2" max="2" width="29.21875" style="1" customWidth="1"/>
    <col min="3" max="3" width="14.5546875" style="1" customWidth="1"/>
    <col min="4" max="4" width="14.6640625" style="1" customWidth="1"/>
    <col min="5" max="5" width="17.109375" style="1" customWidth="1"/>
    <col min="6" max="6" width="10.21875" style="1" customWidth="1"/>
    <col min="7" max="7" width="11.33203125" style="1" customWidth="1"/>
    <col min="8" max="8" width="8.77734375" style="1" customWidth="1"/>
    <col min="9" max="10" width="10.21875" style="1" customWidth="1"/>
    <col min="11" max="11" width="45" style="1" customWidth="1"/>
    <col min="12" max="12" width="10.109375" style="1" customWidth="1"/>
    <col min="13" max="14" width="8.88671875" style="1" customWidth="1"/>
    <col min="15" max="15" width="11.109375" style="1" customWidth="1"/>
    <col min="16" max="16" width="11.88671875" style="19" customWidth="1"/>
    <col min="17" max="17" width="9.44140625" style="19" hidden="1" customWidth="1"/>
    <col min="18" max="18" width="11.88671875" style="19" customWidth="1"/>
    <col min="19" max="19" width="9.44140625" style="19" hidden="1" customWidth="1"/>
    <col min="20" max="20" width="11.88671875" style="19" customWidth="1"/>
    <col min="21" max="21" width="9.44140625" style="19" hidden="1" customWidth="1"/>
    <col min="22" max="22" width="11.88671875" style="19" customWidth="1"/>
    <col min="23" max="23" width="9.44140625" style="19" hidden="1" customWidth="1"/>
    <col min="24" max="24" width="11.88671875" style="19" customWidth="1"/>
    <col min="25" max="25" width="9.44140625" style="19" hidden="1" customWidth="1"/>
    <col min="26" max="26" width="11.88671875" style="19" customWidth="1"/>
    <col min="27" max="27" width="9.44140625" style="19" hidden="1" customWidth="1"/>
    <col min="28" max="28" width="11.88671875" style="19" customWidth="1"/>
    <col min="29" max="29" width="9.44140625" style="19" hidden="1" customWidth="1"/>
    <col min="30" max="30" width="11.88671875" style="1" customWidth="1"/>
    <col min="31" max="31" width="9.44140625" style="19" hidden="1" customWidth="1"/>
    <col min="32" max="32" width="11.88671875" style="1" customWidth="1"/>
    <col min="33" max="33" width="9.44140625" style="1" hidden="1" customWidth="1"/>
    <col min="34" max="34" width="11.88671875" style="1" customWidth="1"/>
    <col min="35" max="35" width="9.44140625" style="1" hidden="1" customWidth="1"/>
    <col min="36" max="36" width="11.88671875" style="1" customWidth="1"/>
    <col min="37" max="37" width="9.44140625" style="1" hidden="1" customWidth="1"/>
    <col min="38" max="38" width="11.88671875" style="1" customWidth="1"/>
    <col min="39" max="39" width="9.44140625" style="1" hidden="1" customWidth="1"/>
    <col min="40" max="40" width="11.88671875" style="1" customWidth="1"/>
    <col min="41" max="41" width="9.44140625" style="1" hidden="1" customWidth="1"/>
    <col min="42" max="42" width="11.88671875" style="1" customWidth="1"/>
    <col min="43" max="43" width="9.44140625" style="1" hidden="1" customWidth="1"/>
    <col min="44" max="44" width="11.88671875" style="1" customWidth="1"/>
    <col min="45" max="45" width="9.44140625" style="1" hidden="1" customWidth="1"/>
    <col min="46" max="46" width="11.88671875" style="1" customWidth="1"/>
    <col min="47" max="47" width="9.44140625" style="1" hidden="1" customWidth="1"/>
    <col min="48" max="48" width="11.88671875" style="1" customWidth="1"/>
    <col min="49" max="49" width="9.44140625" style="1" hidden="1" customWidth="1"/>
    <col min="50" max="50" width="11.88671875" style="1" customWidth="1"/>
    <col min="51" max="51" width="9.44140625" style="1" hidden="1" customWidth="1"/>
    <col min="52" max="52" width="11.88671875" style="1" customWidth="1"/>
    <col min="53" max="53" width="9.44140625" style="1" hidden="1" customWidth="1"/>
    <col min="54" max="54" width="11.88671875" style="1" customWidth="1"/>
    <col min="55" max="55" width="9.44140625" style="1" hidden="1" customWidth="1"/>
    <col min="56" max="56" width="11.88671875" style="1" customWidth="1"/>
    <col min="57" max="57" width="9.44140625" style="1" hidden="1" customWidth="1"/>
    <col min="58" max="58" width="11.88671875" style="1" customWidth="1"/>
    <col min="59" max="59" width="9.44140625" style="1" hidden="1" customWidth="1"/>
    <col min="60" max="60" width="11.88671875" style="1" customWidth="1"/>
    <col min="61" max="61" width="9.44140625" style="1" hidden="1" customWidth="1"/>
    <col min="62" max="62" width="11.88671875" style="1" customWidth="1"/>
    <col min="63" max="63" width="9.44140625" style="1" hidden="1" customWidth="1"/>
    <col min="64" max="64" width="11.88671875" style="1" customWidth="1"/>
    <col min="65" max="65" width="9.44140625" style="1" hidden="1" customWidth="1"/>
    <col min="66" max="66" width="11.88671875" style="1" customWidth="1"/>
    <col min="67" max="67" width="9.44140625" style="1" hidden="1" customWidth="1"/>
    <col min="68" max="68" width="11.88671875" style="1" customWidth="1"/>
    <col min="69" max="69" width="9.44140625" style="1" hidden="1" customWidth="1"/>
    <col min="70" max="70" width="11.88671875" style="1" customWidth="1"/>
    <col min="71" max="71" width="9.44140625" style="1" hidden="1" customWidth="1"/>
    <col min="72" max="72" width="11.88671875" style="1" customWidth="1"/>
    <col min="73" max="73" width="9.44140625" style="1" hidden="1" customWidth="1"/>
    <col min="74" max="74" width="11.88671875" style="1" customWidth="1"/>
    <col min="75" max="75" width="9.44140625" style="1" hidden="1" customWidth="1"/>
    <col min="76" max="76" width="11.88671875" style="1" customWidth="1"/>
    <col min="77" max="77" width="9.44140625" style="1" hidden="1" customWidth="1"/>
    <col min="78" max="78" width="9.44140625" style="1" customWidth="1"/>
    <col min="79" max="81" width="9" style="1" customWidth="1"/>
    <col min="82" max="16384" width="9" style="1"/>
  </cols>
  <sheetData>
    <row r="1" spans="1:77" ht="25.2" customHeight="1" thickBot="1" x14ac:dyDescent="0.25">
      <c r="B1" s="71">
        <f>'シフト一覧（転載）'!B2</f>
        <v>0</v>
      </c>
      <c r="C1" s="98">
        <f>'シフト一覧（転載）'!B4</f>
        <v>0</v>
      </c>
      <c r="D1" s="99"/>
    </row>
    <row r="2" spans="1:77" ht="14.4" customHeight="1" x14ac:dyDescent="0.2"/>
    <row r="3" spans="1:77" ht="18" customHeight="1" thickBot="1" x14ac:dyDescent="0.25">
      <c r="B3" s="5" t="s">
        <v>1</v>
      </c>
      <c r="C3" s="5"/>
      <c r="D3" s="5" t="s">
        <v>2</v>
      </c>
      <c r="E3" s="5"/>
      <c r="F3" s="5" t="s">
        <v>3</v>
      </c>
      <c r="G3" s="5"/>
      <c r="H3" s="5"/>
      <c r="I3" s="4"/>
      <c r="L3" s="4"/>
      <c r="M3" s="4"/>
      <c r="N3" s="4"/>
    </row>
    <row r="4" spans="1:77" ht="30.6" customHeight="1" thickBot="1" x14ac:dyDescent="0.25">
      <c r="B4" s="13">
        <v>0</v>
      </c>
      <c r="C4" s="5" t="s">
        <v>4</v>
      </c>
      <c r="D4" s="13">
        <v>4</v>
      </c>
      <c r="E4" s="5" t="s">
        <v>4</v>
      </c>
      <c r="F4" s="13">
        <v>1</v>
      </c>
      <c r="G4" s="6" t="s">
        <v>4</v>
      </c>
      <c r="H4" s="6">
        <v>1</v>
      </c>
      <c r="I4" s="5" t="s">
        <v>5</v>
      </c>
      <c r="J4" s="7">
        <f>B5+D5+F5+1</f>
        <v>1.9</v>
      </c>
      <c r="M4" s="4"/>
      <c r="N4" s="4"/>
    </row>
    <row r="5" spans="1:77" ht="18" hidden="1" customHeight="1" thickBot="1" x14ac:dyDescent="0.25">
      <c r="B5" s="5">
        <f>ROUNDDOWN(B4*1/20,1)</f>
        <v>0</v>
      </c>
      <c r="C5" s="5"/>
      <c r="D5" s="5">
        <f>ROUNDDOWN(D4*1/6,1)</f>
        <v>0.6</v>
      </c>
      <c r="E5" s="5"/>
      <c r="F5" s="5">
        <f>ROUNDDOWN(F4*1/3,1)</f>
        <v>0.3</v>
      </c>
      <c r="G5" s="5"/>
      <c r="H5" s="5"/>
      <c r="I5" s="5"/>
      <c r="J5" s="3"/>
    </row>
    <row r="6" spans="1:77" ht="18" customHeight="1" thickBot="1" x14ac:dyDescent="0.25">
      <c r="B6" s="3"/>
      <c r="C6" s="3"/>
      <c r="D6" s="3"/>
      <c r="E6" s="3"/>
      <c r="F6" s="3"/>
      <c r="G6" s="3"/>
      <c r="H6" s="3"/>
      <c r="I6" s="3"/>
      <c r="J6" s="8">
        <f>J4</f>
        <v>1.9</v>
      </c>
      <c r="K6" s="1" t="s">
        <v>6</v>
      </c>
      <c r="M6" s="4"/>
      <c r="N6" s="4"/>
    </row>
    <row r="7" spans="1:77" x14ac:dyDescent="0.2">
      <c r="B7" s="3"/>
      <c r="C7" s="3"/>
      <c r="D7" s="3"/>
      <c r="E7" s="3"/>
      <c r="F7" s="3"/>
      <c r="G7" s="3"/>
      <c r="H7" s="3"/>
      <c r="I7" s="9"/>
    </row>
    <row r="8" spans="1:77" ht="29.4" customHeight="1" thickBot="1" x14ac:dyDescent="0.25">
      <c r="B8" s="73" t="s">
        <v>7</v>
      </c>
      <c r="C8" s="2" t="s">
        <v>8</v>
      </c>
      <c r="D8" s="3" t="s">
        <v>9</v>
      </c>
      <c r="E8" s="3" t="s">
        <v>10</v>
      </c>
      <c r="F8" s="3"/>
      <c r="G8" s="3"/>
      <c r="H8" s="3"/>
      <c r="I8" s="9"/>
    </row>
    <row r="9" spans="1:77" ht="28.2" customHeight="1" thickBot="1" x14ac:dyDescent="0.25">
      <c r="B9" s="72">
        <f t="array" ref="B9">CountWorksheets()-4</f>
        <v>1</v>
      </c>
      <c r="C9" s="14">
        <f>J6</f>
        <v>1.9</v>
      </c>
      <c r="D9" s="12">
        <v>168</v>
      </c>
      <c r="E9" s="12" t="s">
        <v>11</v>
      </c>
      <c r="F9" s="3"/>
      <c r="G9" s="44"/>
      <c r="H9" s="3"/>
      <c r="I9" s="9"/>
      <c r="O9" s="58"/>
    </row>
    <row r="10" spans="1:77" x14ac:dyDescent="0.2">
      <c r="B10" s="3"/>
      <c r="C10" s="11"/>
      <c r="D10" s="3"/>
      <c r="E10" s="3"/>
      <c r="F10" s="3"/>
      <c r="G10" s="3"/>
      <c r="H10" s="9"/>
    </row>
    <row r="11" spans="1:77" ht="16.8" customHeight="1" x14ac:dyDescent="0.2">
      <c r="A11" s="15"/>
      <c r="B11" s="96" t="s">
        <v>0</v>
      </c>
      <c r="C11" s="97"/>
      <c r="D11" s="16" t="s">
        <v>12</v>
      </c>
      <c r="E11" s="16" t="s">
        <v>13</v>
      </c>
      <c r="F11" s="96" t="s">
        <v>10</v>
      </c>
      <c r="G11" s="97"/>
      <c r="H11" s="16" t="s">
        <v>14</v>
      </c>
      <c r="I11" s="96" t="s">
        <v>15</v>
      </c>
      <c r="J11" s="97"/>
      <c r="K11" s="16" t="s">
        <v>16</v>
      </c>
      <c r="L11" s="3"/>
      <c r="M11" s="96" t="s">
        <v>15</v>
      </c>
      <c r="N11" s="97"/>
      <c r="O11" s="15" t="s">
        <v>13</v>
      </c>
      <c r="P11" s="20">
        <v>1</v>
      </c>
      <c r="Q11" s="20"/>
      <c r="R11" s="20">
        <v>2</v>
      </c>
      <c r="S11" s="20"/>
      <c r="T11" s="20">
        <v>3</v>
      </c>
      <c r="U11" s="20"/>
      <c r="V11" s="20">
        <v>4</v>
      </c>
      <c r="W11" s="20"/>
      <c r="X11" s="20">
        <v>5</v>
      </c>
      <c r="Y11" s="20"/>
      <c r="Z11" s="20">
        <v>6</v>
      </c>
      <c r="AA11" s="20"/>
      <c r="AB11" s="20">
        <v>7</v>
      </c>
      <c r="AC11" s="20"/>
      <c r="AD11" s="20">
        <v>8</v>
      </c>
      <c r="AE11" s="20"/>
      <c r="AF11" s="20">
        <v>9</v>
      </c>
      <c r="AG11" s="20"/>
      <c r="AH11" s="20">
        <v>10</v>
      </c>
      <c r="AI11" s="20"/>
      <c r="AJ11" s="20">
        <v>11</v>
      </c>
      <c r="AK11" s="20"/>
      <c r="AL11" s="20">
        <v>12</v>
      </c>
      <c r="AM11" s="20"/>
      <c r="AN11" s="20">
        <v>13</v>
      </c>
      <c r="AO11" s="20"/>
      <c r="AP11" s="20">
        <v>14</v>
      </c>
      <c r="AQ11" s="20"/>
      <c r="AR11" s="20">
        <v>15</v>
      </c>
      <c r="AS11" s="20"/>
      <c r="AT11" s="20">
        <v>16</v>
      </c>
      <c r="AU11" s="20"/>
      <c r="AV11" s="20">
        <v>17</v>
      </c>
      <c r="AW11" s="20"/>
      <c r="AX11" s="20">
        <v>18</v>
      </c>
      <c r="AY11" s="20"/>
      <c r="AZ11" s="20">
        <v>19</v>
      </c>
      <c r="BA11" s="20"/>
      <c r="BB11" s="20">
        <v>20</v>
      </c>
      <c r="BC11" s="20"/>
      <c r="BD11" s="20">
        <v>21</v>
      </c>
      <c r="BE11" s="20"/>
      <c r="BF11" s="20">
        <v>22</v>
      </c>
      <c r="BG11" s="20"/>
      <c r="BH11" s="20">
        <v>23</v>
      </c>
      <c r="BI11" s="20"/>
      <c r="BJ11" s="20">
        <v>24</v>
      </c>
      <c r="BK11" s="20"/>
      <c r="BL11" s="20">
        <v>25</v>
      </c>
      <c r="BM11" s="20"/>
      <c r="BN11" s="20">
        <v>26</v>
      </c>
      <c r="BO11" s="20"/>
      <c r="BP11" s="20">
        <v>27</v>
      </c>
      <c r="BQ11" s="20"/>
      <c r="BR11" s="20">
        <v>28</v>
      </c>
      <c r="BS11" s="20"/>
      <c r="BT11" s="20">
        <v>29</v>
      </c>
      <c r="BU11" s="20"/>
      <c r="BV11" s="20">
        <v>30</v>
      </c>
      <c r="BW11" s="20"/>
      <c r="BX11" s="20">
        <v>31</v>
      </c>
      <c r="BY11" s="19"/>
    </row>
    <row r="12" spans="1:77" ht="19.2" customHeight="1" x14ac:dyDescent="0.2">
      <c r="A12" s="45">
        <f>B9-(B9-1)</f>
        <v>1</v>
      </c>
      <c r="B12" s="62">
        <f t="array" aca="1" ref="B12" ca="1">IFERROR(IF(INDIRECT("'Page_" &amp; A12 &amp; "'!Q3")&lt;&gt;"",INDIRECT("'Page_" &amp; A12 &amp; "'!Q3"),INDIRECT("'Page_" &amp; A12 &amp; "'!P3")),0)</f>
        <v>0</v>
      </c>
      <c r="C12" s="41">
        <f t="shared" ref="C12:C27" ca="1" si="0">IF(COUNTIF(B12,"*調理*"),1,
IF(COUNTIF(B12,"*看護*"),1,
IF(COUNTIF(B12,"*事務*"),1,0)))</f>
        <v>0</v>
      </c>
      <c r="D12" s="30">
        <f t="shared" ref="D12:D27" ca="1" si="1">IFERROR(CONVERT(INDIRECT("'Page_" &amp; A12 &amp; "'!M"&amp;MATCH("総労働",INDIRECT("'Page_" &amp; A12 &amp; "'!M:M"),0)+2&amp;""), "day", "hr"),0)</f>
        <v>0</v>
      </c>
      <c r="E12" s="27">
        <f t="shared" ref="E12:E27" ca="1" si="2">IF(D12&gt;$D$9,$D$9,D12)</f>
        <v>0</v>
      </c>
      <c r="F12" s="68" t="str">
        <f t="array" aca="1" ref="F12" ca="1">IFERROR(INDEX('シフト一覧（転載）'!$C$8:$C$100,
MATCH(1, (ISNUMBER(SEARCH(I12,'シフト一覧（転載）'!$A$8:$A$100)))
*(ISNUMBER(SEARCH($E$9,'シフト一覧（転載）'!$B$8:$B$100))), 0)),"")</f>
        <v/>
      </c>
      <c r="G12" s="59">
        <f t="shared" ref="G12:G27" ca="1" si="3">IFERROR(VLOOKUP(I12,$M$12:$O$100,3,FALSE),0)</f>
        <v>0</v>
      </c>
      <c r="H12" s="27">
        <f t="array" aca="1" ref="H12" ca="1">IFERROR(SUM(INDIRECT("'Page_" &amp; A12 &amp; "'!K"&amp;MATCH("有休",INDIRECT("'Page_" &amp; A12 &amp; "'!K:K"),0)+2&amp;"")
+INDIRECT("'Page_" &amp; A12 &amp; "'!L"&amp;MATCH("特休",INDIRECT("'Page_" &amp; A12 &amp; "'!L:L"),0)+2&amp;""))*24,0)</f>
        <v>0</v>
      </c>
      <c r="I12" s="49">
        <f t="array" aca="1" ref="I12" ca="1">IFERROR(_xlfn.TEXTJOIN("", TRUE, IF(ISERR(MID(INDIRECT("'Page_" &amp; A12 &amp; "'!C2"), ROW(INDIRECT("1:" &amp; LEN(INDIRECT("'Page_" &amp; A12 &amp; "'!C2")))), 1)*1), MID(INDIRECT("'Page_" &amp; A12 &amp; "'!C2"), ROW(INDIRECT("1:" &amp; LEN(INDIRECT("'Page_" &amp; A12 &amp; "'!C2")))), 1), "")),0)</f>
        <v>0</v>
      </c>
      <c r="J12" s="50">
        <f t="array" aca="1" ref="J12" ca="1">IFERROR(IF(INDIRECT("'Page_" &amp; A12 &amp; "'!E2")&lt;&gt;"",INDIRECT("'Page_" &amp; A12 &amp; "'!E2"),INDIRECT("'Page_" &amp; A12 &amp; "'!D2")),0)</f>
        <v>0</v>
      </c>
      <c r="K12" s="63"/>
      <c r="M12" s="92" t="str">
        <f t="array" aca="1" ref="M12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12" s="90" t="str">
        <f ca="1">IF(M12&lt;&gt;"",VLOOKUP(M12,$I$12:$J$27,2,FALSE),"")</f>
        <v/>
      </c>
      <c r="O12" s="94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21">
        <f t="array" aca="1" ref="P12" ca="1">IFERROR(IF(M12&lt;&gt;"",INDEX('シフト一覧（転載）'!$F$8:$AK$100,
    MATCH(1,(ISNUMBER(SEARCH(M12,'シフト一覧（転載）'!$A$8:$A$100)))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MATCH(1,(ISNUMBER(SEARCH(M12,'シフト一覧（転載）'!$A$8:$A$100)))
                *(ISNUMBER(SEARCH($E$9,'シフト一覧（転載）'!$B$8:$B$100))),
                0),0),0)),0),$E$9&amp;"保育無し")</f>
        <v>0</v>
      </c>
      <c r="Q12" s="21">
        <f t="array" aca="1" ref="Q12" ca="1">IFERROR(IF(COUNTIF(P12,"*無*"),"",IF(M12&lt;&gt;"",ADDRESS(
    MATCH(1,(ISNUMBER(SEARCH(M12,'シフト一覧（転載）'!$A$8:$A$100)))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MATCH(1,(ISNUMBER(SEARCH(M12,'シフト一覧（転載）'!$A$8:$A$100)))
                *(ISNUMBER(SEARCH($E$9,'シフト一覧（転載）'!$B$8:$B$100))),0),0),0) + 6,4),0)),0)</f>
        <v>0</v>
      </c>
      <c r="R12" s="21">
        <f t="array" aca="1" ref="R12" ca="1">IFERROR(IF(Q12&lt;&gt;"",IF(Q12&lt;&gt;0,INDEX(
INDIRECT("'シフト一覧（転載）'!"&amp;Q12&amp;":AK100"),1,
MATCH(1,INDEX((LEN(INDIRECT("'シフト一覧（転載）'!"&amp;Q12&amp;":AK100"))&gt;0)
*(INDIRECT("'シフト一覧（転載）'!"&amp;Q12&amp;":AK100")&lt;&gt;"休み"),1,0),0)),0),""),$E$9&amp;"保育無し")</f>
        <v>0</v>
      </c>
      <c r="S12" s="21">
        <f t="array" aca="1" ref="S12" ca="1">IFERROR(IF(Q12&lt;&gt;0,ADDRESS(ROW(INDIRECT(Q12)),
    COLUMN(INDIRECT(Q12)) - 1 +
    MATCH(1,INDEX((LEN(INDIRECT("'シフト一覧（転載）'!"&amp;Q12&amp;":AK100"))&gt;0)
            *(INDIRECT("'シフト一覧（転載）'!"&amp;Q12&amp;":AK100")&lt;&gt;"休み"),
            1,0),0)+1,4),0),"")</f>
        <v>0</v>
      </c>
      <c r="T12" s="21">
        <f t="array" aca="1" ref="T12" ca="1">IFERROR(IF(S12&lt;&gt;"",IF(S12&lt;&gt;0,INDEX(
INDIRECT("'シフト一覧（転載）'!"&amp;S12&amp;":AK100"),1,
MATCH(1,INDEX((LEN(INDIRECT("'シフト一覧（転載）'!"&amp;S12&amp;":AK100"))&gt;0)
*(INDIRECT("'シフト一覧（転載）'!"&amp;S12&amp;":AK100")&lt;&gt;"休み"),1,0),0)),0),""),$E$9&amp;"保育無し")</f>
        <v>0</v>
      </c>
      <c r="U12" s="21">
        <f t="array" aca="1" ref="U12" ca="1">IFERROR(IF(S12&lt;&gt;0,ADDRESS(ROW(INDIRECT(S12)),
    COLUMN(INDIRECT(S12)) - 1 +
    MATCH(1,INDEX((LEN(INDIRECT("'シフト一覧（転載）'!"&amp;S12&amp;":AK100"))&gt;0)
            *(INDIRECT("'シフト一覧（転載）'!"&amp;S12&amp;":AK100")&lt;&gt;"休み"),
            1,0),0)+1,4),0),"")</f>
        <v>0</v>
      </c>
      <c r="V12" s="21">
        <f t="array" aca="1" ref="V12" ca="1">IFERROR(IF(U12&lt;&gt;"",IF(U12&lt;&gt;0,INDEX(
INDIRECT("'シフト一覧（転載）'!"&amp;U12&amp;":AK100"),1,
MATCH(1,INDEX((LEN(INDIRECT("'シフト一覧（転載）'!"&amp;U12&amp;":AK100"))&gt;0)
*(INDIRECT("'シフト一覧（転載）'!"&amp;U12&amp;":AK100")&lt;&gt;"休み"),1,0),0)),0),""),$E$9&amp;"保育無し")</f>
        <v>0</v>
      </c>
      <c r="W12" s="21">
        <f t="array" aca="1" ref="W12" ca="1">IFERROR(IF(U12&lt;&gt;0,ADDRESS(ROW(INDIRECT(U12)),
    COLUMN(INDIRECT(U12)) - 1 +
    MATCH(1,INDEX((LEN(INDIRECT("'シフト一覧（転載）'!"&amp;U12&amp;":AK100"))&gt;0)
            *(INDIRECT("'シフト一覧（転載）'!"&amp;U12&amp;":AK100")&lt;&gt;"休み"),
            1,0),0)+1,4),0),"")</f>
        <v>0</v>
      </c>
      <c r="X12" s="21">
        <f t="array" aca="1" ref="X12" ca="1">IFERROR(IF(W12&lt;&gt;"",IF(W12&lt;&gt;0,INDEX(
INDIRECT("'シフト一覧（転載）'!"&amp;W12&amp;":AK100"),1,
MATCH(1,INDEX((LEN(INDIRECT("'シフト一覧（転載）'!"&amp;W12&amp;":AK100"))&gt;0)
*(INDIRECT("'シフト一覧（転載）'!"&amp;W12&amp;":AK100")&lt;&gt;"休み"),1,0),0)),0),""),$E$9&amp;"保育無し")</f>
        <v>0</v>
      </c>
      <c r="Y12" s="21">
        <f t="array" aca="1" ref="Y12" ca="1">IFERROR(IF(W12&lt;&gt;0,ADDRESS(ROW(INDIRECT(W12)),
    COLUMN(INDIRECT(W12)) - 1 +
    MATCH(1,INDEX((LEN(INDIRECT("'シフト一覧（転載）'!"&amp;W12&amp;":AK100"))&gt;0)
            *(INDIRECT("'シフト一覧（転載）'!"&amp;W12&amp;":AK100")&lt;&gt;"休み"),
            1,0),0)+1,4),0),"")</f>
        <v>0</v>
      </c>
      <c r="Z12" s="21">
        <f t="array" aca="1" ref="Z12" ca="1">IFERROR(IF(Y12&lt;&gt;"",IF(Y12&lt;&gt;0,INDEX(
INDIRECT("'シフト一覧（転載）'!"&amp;Y12&amp;":AK100"),1,
MATCH(1,INDEX((LEN(INDIRECT("'シフト一覧（転載）'!"&amp;Y12&amp;":AK100"))&gt;0)
*(INDIRECT("'シフト一覧（転載）'!"&amp;Y12&amp;":AK100")&lt;&gt;"休み"),1,0),0)),0),""),$E$9&amp;"保育無し")</f>
        <v>0</v>
      </c>
      <c r="AA12" s="21">
        <f t="array" aca="1" ref="AA12" ca="1">IFERROR(IF(Y12&lt;&gt;0,ADDRESS(ROW(INDIRECT(Y12)),
    COLUMN(INDIRECT(Y12)) - 1 +
    MATCH(1,INDEX((LEN(INDIRECT("'シフト一覧（転載）'!"&amp;Y12&amp;":AK100"))&gt;0)
            *(INDIRECT("'シフト一覧（転載）'!"&amp;Y12&amp;":AK100")&lt;&gt;"休み"),
            1,0),0)+1,4),0),"")</f>
        <v>0</v>
      </c>
      <c r="AB12" s="21">
        <f t="array" aca="1" ref="AB12" ca="1">IFERROR(IF(AA12&lt;&gt;"",IF(AA12&lt;&gt;0,INDEX(
INDIRECT("'シフト一覧（転載）'!"&amp;AA12&amp;":AK100"),1,
MATCH(1,INDEX((LEN(INDIRECT("'シフト一覧（転載）'!"&amp;AA12&amp;":AK100"))&gt;0)
*(INDIRECT("'シフト一覧（転載）'!"&amp;AA12&amp;":AK100")&lt;&gt;"休み"),1,0),0)),0),""),$E$9&amp;"保育無し")</f>
        <v>0</v>
      </c>
      <c r="AC12" s="21">
        <f t="array" aca="1" ref="AC12" ca="1">IFERROR(IF(AA12&lt;&gt;0,ADDRESS(ROW(INDIRECT(AA12)),
    COLUMN(INDIRECT(AA12)) - 1 +
    MATCH(1,INDEX((LEN(INDIRECT("'シフト一覧（転載）'!"&amp;AA12&amp;":AK100"))&gt;0)
            *(INDIRECT("'シフト一覧（転載）'!"&amp;AA12&amp;":AK100")&lt;&gt;"休み"),
            1,0),0)+1,4),0),"")</f>
        <v>0</v>
      </c>
      <c r="AD12" s="21">
        <f t="array" aca="1" ref="AD12" ca="1">IFERROR(IF(AC12&lt;&gt;"",IF(AC12&lt;&gt;0,INDEX(
INDIRECT("'シフト一覧（転載）'!"&amp;AC12&amp;":AK100"),1,
MATCH(1,INDEX((LEN(INDIRECT("'シフト一覧（転載）'!"&amp;AC12&amp;":AK100"))&gt;0)
*(INDIRECT("'シフト一覧（転載）'!"&amp;AC12&amp;":AK100")&lt;&gt;"休み"),1,0),0)),0),""),$E$9&amp;"保育無し")</f>
        <v>0</v>
      </c>
      <c r="AE12" s="21">
        <f t="array" aca="1" ref="AE12" ca="1">IFERROR(IF(AC12&lt;&gt;0,ADDRESS(ROW(INDIRECT(AC12)),
    COLUMN(INDIRECT(AC12)) - 1 +
    MATCH(1,INDEX((LEN(INDIRECT("'シフト一覧（転載）'!"&amp;AC12&amp;":AK100"))&gt;0)
            *(INDIRECT("'シフト一覧（転載）'!"&amp;AC12&amp;":AK100")&lt;&gt;"休み"),
            1,0),0)+1,4),0),"")</f>
        <v>0</v>
      </c>
      <c r="AF12" s="21">
        <f t="array" aca="1" ref="AF12" ca="1">IFERROR(IF(AE12&lt;&gt;"",IF(AE12&lt;&gt;0,INDEX(
INDIRECT("'シフト一覧（転載）'!"&amp;AE12&amp;":AK100"),1,
MATCH(1,INDEX((LEN(INDIRECT("'シフト一覧（転載）'!"&amp;AE12&amp;":AK100"))&gt;0)
*(INDIRECT("'シフト一覧（転載）'!"&amp;AE12&amp;":AK100")&lt;&gt;"休み"),1,0),0)),0),""),$E$9&amp;"保育無し")</f>
        <v>0</v>
      </c>
      <c r="AG12" s="21">
        <f t="array" aca="1" ref="AG12" ca="1">IFERROR(IF(AE12&lt;&gt;0,ADDRESS(ROW(INDIRECT(AE12)),
    COLUMN(INDIRECT(AE12)) - 1 +
    MATCH(1,INDEX((LEN(INDIRECT("'シフト一覧（転載）'!"&amp;AE12&amp;":AK100"))&gt;0)
            *(INDIRECT("'シフト一覧（転載）'!"&amp;AE12&amp;":AK100")&lt;&gt;"休み"),
            1,0),0)+1,4),0),"")</f>
        <v>0</v>
      </c>
      <c r="AH12" s="21">
        <f t="array" aca="1" ref="AH12" ca="1">IFERROR(IF(AG12&lt;&gt;"",IF(AG12&lt;&gt;0,INDEX(
INDIRECT("'シフト一覧（転載）'!"&amp;AG12&amp;":AK100"),1,
MATCH(1,INDEX((LEN(INDIRECT("'シフト一覧（転載）'!"&amp;AG12&amp;":AK100"))&gt;0)
*(INDIRECT("'シフト一覧（転載）'!"&amp;AG12&amp;":AK100")&lt;&gt;"休み"),1,0),0)),0),""),$E$9&amp;"保育無し")</f>
        <v>0</v>
      </c>
      <c r="AI12" s="21">
        <f t="array" aca="1" ref="AI12" ca="1">IFERROR(IF(AG12&lt;&gt;0,ADDRESS(ROW(INDIRECT(AG12)),
    COLUMN(INDIRECT(AG12)) - 1 +
    MATCH(1,INDEX((LEN(INDIRECT("'シフト一覧（転載）'!"&amp;AG12&amp;":AK100"))&gt;0)
            *(INDIRECT("'シフト一覧（転載）'!"&amp;AG12&amp;":AK100")&lt;&gt;"休み"),
            1,0),0)+1,4),0),"")</f>
        <v>0</v>
      </c>
      <c r="AJ12" s="21">
        <f t="array" aca="1" ref="AJ12" ca="1">IFERROR(IF(AI12&lt;&gt;"",IF(AI12&lt;&gt;0,INDEX(
INDIRECT("'シフト一覧（転載）'!"&amp;AI12&amp;":AK100"),1,
MATCH(1,INDEX((LEN(INDIRECT("'シフト一覧（転載）'!"&amp;AI12&amp;":AK100"))&gt;0)
*(INDIRECT("'シフト一覧（転載）'!"&amp;AI12&amp;":AK100")&lt;&gt;"休み"),1,0),0)),0),""),$E$9&amp;"保育無し")</f>
        <v>0</v>
      </c>
      <c r="AK12" s="21">
        <f t="array" aca="1" ref="AK12" ca="1">IFERROR(IF(AI12&lt;&gt;0,ADDRESS(ROW(INDIRECT(AI12)),
    COLUMN(INDIRECT(AI12)) - 1 +
    MATCH(1,INDEX((LEN(INDIRECT("'シフト一覧（転載）'!"&amp;AI12&amp;":AK100"))&gt;0)
            *(INDIRECT("'シフト一覧（転載）'!"&amp;AI12&amp;":AK100")&lt;&gt;"休み"),
            1,0),0)+1,4),0),"")</f>
        <v>0</v>
      </c>
      <c r="AL12" s="21">
        <f t="array" aca="1" ref="AL12" ca="1">IFERROR(IF(AK12&lt;&gt;"",IF(AK12&lt;&gt;0,INDEX(
INDIRECT("'シフト一覧（転載）'!"&amp;AK12&amp;":AK100"),1,
MATCH(1,INDEX((LEN(INDIRECT("'シフト一覧（転載）'!"&amp;AK12&amp;":AK100"))&gt;0)
*(INDIRECT("'シフト一覧（転載）'!"&amp;AK12&amp;":AK100")&lt;&gt;"休み"),1,0),0)),0),""),$E$9&amp;"保育無し")</f>
        <v>0</v>
      </c>
      <c r="AM12" s="21">
        <f t="array" aca="1" ref="AM12" ca="1">IFERROR(IF(AK12&lt;&gt;0,ADDRESS(ROW(INDIRECT(AK12)),
    COLUMN(INDIRECT(AK12)) - 1 +
    MATCH(1,INDEX((LEN(INDIRECT("'シフト一覧（転載）'!"&amp;AK12&amp;":AK100"))&gt;0)
            *(INDIRECT("'シフト一覧（転載）'!"&amp;AK12&amp;":AK100")&lt;&gt;"休み"),
            1,0),0)+1,4),0),"")</f>
        <v>0</v>
      </c>
      <c r="AN12" s="21">
        <f t="array" aca="1" ref="AN12" ca="1">IFERROR(IF(AM12&lt;&gt;"",IF(AM12&lt;&gt;0,INDEX(
INDIRECT("'シフト一覧（転載）'!"&amp;AM12&amp;":AK100"),1,
MATCH(1,INDEX((LEN(INDIRECT("'シフト一覧（転載）'!"&amp;AM12&amp;":AK100"))&gt;0)
*(INDIRECT("'シフト一覧（転載）'!"&amp;AM12&amp;":AK100")&lt;&gt;"休み"),1,0),0)),0),""),$E$9&amp;"保育無し")</f>
        <v>0</v>
      </c>
      <c r="AO12" s="21">
        <f t="array" aca="1" ref="AO12" ca="1">IFERROR(IF(AM12&lt;&gt;0,ADDRESS(ROW(INDIRECT(AM12)),
    COLUMN(INDIRECT(AM12)) - 1 +
    MATCH(1,INDEX((LEN(INDIRECT("'シフト一覧（転載）'!"&amp;AM12&amp;":AK100"))&gt;0)
            *(INDIRECT("'シフト一覧（転載）'!"&amp;AM12&amp;":AK100")&lt;&gt;"休み"),
            1,0),0)+1,4),0),"")</f>
        <v>0</v>
      </c>
      <c r="AP12" s="21">
        <f t="array" aca="1" ref="AP12" ca="1">IFERROR(IF(AO12&lt;&gt;"",IF(AO12&lt;&gt;0,INDEX(
INDIRECT("'シフト一覧（転載）'!"&amp;AO12&amp;":AK100"),1,
MATCH(1,INDEX((LEN(INDIRECT("'シフト一覧（転載）'!"&amp;AO12&amp;":AK100"))&gt;0)
*(INDIRECT("'シフト一覧（転載）'!"&amp;AO12&amp;":AK100")&lt;&gt;"休み"),1,0),0)),0),""),$E$9&amp;"保育無し")</f>
        <v>0</v>
      </c>
      <c r="AQ12" s="21">
        <f t="array" aca="1" ref="AQ12" ca="1">IFERROR(IF(AO12&lt;&gt;0,ADDRESS(ROW(INDIRECT(AO12)),
    COLUMN(INDIRECT(AO12)) - 1 +
    MATCH(1,INDEX((LEN(INDIRECT("'シフト一覧（転載）'!"&amp;AO12&amp;":AK100"))&gt;0)
            *(INDIRECT("'シフト一覧（転載）'!"&amp;AO12&amp;":AK100")&lt;&gt;"休み"),
            1,0),0)+1,4),0),"")</f>
        <v>0</v>
      </c>
      <c r="AR12" s="21">
        <f t="array" aca="1" ref="AR12" ca="1">IFERROR(IF(AQ12&lt;&gt;"",IF(AQ12&lt;&gt;0,INDEX(
INDIRECT("'シフト一覧（転載）'!"&amp;AQ12&amp;":AK100"),1,
MATCH(1,INDEX((LEN(INDIRECT("'シフト一覧（転載）'!"&amp;AQ12&amp;":AK100"))&gt;0)
*(INDIRECT("'シフト一覧（転載）'!"&amp;AQ12&amp;":AK100")&lt;&gt;"休み"),1,0),0)),0),""),$E$9&amp;"保育無し")</f>
        <v>0</v>
      </c>
      <c r="AS12" s="21">
        <f t="array" aca="1" ref="AS12" ca="1">IFERROR(IF(AQ12&lt;&gt;0,ADDRESS(ROW(INDIRECT(AQ12)),
    COLUMN(INDIRECT(AQ12)) - 1 +
    MATCH(1,INDEX((LEN(INDIRECT("'シフト一覧（転載）'!"&amp;AQ12&amp;":AK100"))&gt;0)
            *(INDIRECT("'シフト一覧（転載）'!"&amp;AQ12&amp;":AK100")&lt;&gt;"休み"),
            1,0),0)+1,4),0),"")</f>
        <v>0</v>
      </c>
      <c r="AT12" s="21">
        <f t="array" aca="1" ref="AT12" ca="1">IFERROR(IF(AS12&lt;&gt;"",IF(AS12&lt;&gt;0,INDEX(
INDIRECT("'シフト一覧（転載）'!"&amp;AS12&amp;":AK100"),1,
MATCH(1,INDEX((LEN(INDIRECT("'シフト一覧（転載）'!"&amp;AS12&amp;":AK100"))&gt;0)
*(INDIRECT("'シフト一覧（転載）'!"&amp;AS12&amp;":AK100")&lt;&gt;"休み"),1,0),0)),0),""),$E$9&amp;"保育無し")</f>
        <v>0</v>
      </c>
      <c r="AU12" s="21">
        <f t="array" aca="1" ref="AU12" ca="1">IFERROR(IF(AS12&lt;&gt;0,ADDRESS(ROW(INDIRECT(AS12)),
    COLUMN(INDIRECT(AS12)) - 1 +
    MATCH(1,INDEX((LEN(INDIRECT("'シフト一覧（転載）'!"&amp;AS12&amp;":AK100"))&gt;0)
            *(INDIRECT("'シフト一覧（転載）'!"&amp;AS12&amp;":AK100")&lt;&gt;"休み"),
            1,0),0)+1,4),0),"")</f>
        <v>0</v>
      </c>
      <c r="AV12" s="21">
        <f t="array" aca="1" ref="AV12" ca="1">IFERROR(IF(AU12&lt;&gt;"",IF(AU12&lt;&gt;0,INDEX(
INDIRECT("'シフト一覧（転載）'!"&amp;AU12&amp;":AK100"),1,
MATCH(1,INDEX((LEN(INDIRECT("'シフト一覧（転載）'!"&amp;AU12&amp;":AK100"))&gt;0)
*(INDIRECT("'シフト一覧（転載）'!"&amp;AU12&amp;":AK100")&lt;&gt;"休み"),1,0),0)),0),""),$E$9&amp;"保育無し")</f>
        <v>0</v>
      </c>
      <c r="AW12" s="21">
        <f t="array" aca="1" ref="AW12" ca="1">IFERROR(IF(AU12&lt;&gt;0,ADDRESS(ROW(INDIRECT(AU12)),
    COLUMN(INDIRECT(AU12)) - 1 +
    MATCH(1,INDEX((LEN(INDIRECT("'シフト一覧（転載）'!"&amp;AU12&amp;":AK100"))&gt;0)
            *(INDIRECT("'シフト一覧（転載）'!"&amp;AU12&amp;":AK100")&lt;&gt;"休み"),
            1,0),0)+1,4),0),"")</f>
        <v>0</v>
      </c>
      <c r="AX12" s="21">
        <f t="array" aca="1" ref="AX12" ca="1">IFERROR(IF(AW12&lt;&gt;"",IF(AW12&lt;&gt;0,INDEX(
INDIRECT("'シフト一覧（転載）'!"&amp;AW12&amp;":AK100"),1,
MATCH(1,INDEX((LEN(INDIRECT("'シフト一覧（転載）'!"&amp;AW12&amp;":AK100"))&gt;0)
*(INDIRECT("'シフト一覧（転載）'!"&amp;AW12&amp;":AK100")&lt;&gt;"休み"),1,0),0)),0),""),$E$9&amp;"保育無し")</f>
        <v>0</v>
      </c>
      <c r="AY12" s="21">
        <f t="array" aca="1" ref="AY12" ca="1">IFERROR(IF(AW12&lt;&gt;0,ADDRESS(ROW(INDIRECT(AW12)),
    COLUMN(INDIRECT(AW12)) - 1 +
    MATCH(1,INDEX((LEN(INDIRECT("'シフト一覧（転載）'!"&amp;AW12&amp;":AK100"))&gt;0)
            *(INDIRECT("'シフト一覧（転載）'!"&amp;AW12&amp;":AK100")&lt;&gt;"休み"),
            1,0),0)+1,4),0),"")</f>
        <v>0</v>
      </c>
      <c r="AZ12" s="21">
        <f t="array" aca="1" ref="AZ12" ca="1">IFERROR(IF(AY12&lt;&gt;"",IF(AY12&lt;&gt;0,INDEX(
INDIRECT("'シフト一覧（転載）'!"&amp;AY12&amp;":AK100"),1,
MATCH(1,INDEX((LEN(INDIRECT("'シフト一覧（転載）'!"&amp;AY12&amp;":AK100"))&gt;0)
*(INDIRECT("'シフト一覧（転載）'!"&amp;AY12&amp;":AK100")&lt;&gt;"休み"),1,0),0)),0),""),$E$9&amp;"保育無し")</f>
        <v>0</v>
      </c>
      <c r="BA12" s="21">
        <f t="array" aca="1" ref="BA12" ca="1">IFERROR(IF(AY12&lt;&gt;0,ADDRESS(ROW(INDIRECT(AY12)),
    COLUMN(INDIRECT(AY12)) - 1 +
    MATCH(1,INDEX((LEN(INDIRECT("'シフト一覧（転載）'!"&amp;AY12&amp;":AK100"))&gt;0)
            *(INDIRECT("'シフト一覧（転載）'!"&amp;AY12&amp;":AK100")&lt;&gt;"休み"),
            1,0),0)+1,4),0),"")</f>
        <v>0</v>
      </c>
      <c r="BB12" s="21">
        <f t="array" aca="1" ref="BB12" ca="1">IFERROR(IF(BA12&lt;&gt;"",IF(BA12&lt;&gt;0,INDEX(
INDIRECT("'シフト一覧（転載）'!"&amp;BA12&amp;":AK100"),1,
MATCH(1,INDEX((LEN(INDIRECT("'シフト一覧（転載）'!"&amp;BA12&amp;":AK100"))&gt;0)
*(INDIRECT("'シフト一覧（転載）'!"&amp;BA12&amp;":AK100")&lt;&gt;"休み"),1,0),0)),0),""),$E$9&amp;"保育無し")</f>
        <v>0</v>
      </c>
      <c r="BC12" s="21">
        <f t="array" aca="1" ref="BC12" ca="1">IFERROR(IF(BA12&lt;&gt;0,ADDRESS(ROW(INDIRECT(BA12)),
    COLUMN(INDIRECT(BA12)) - 1 +
    MATCH(1,INDEX((LEN(INDIRECT("'シフト一覧（転載）'!"&amp;BA12&amp;":AK100"))&gt;0)
            *(INDIRECT("'シフト一覧（転載）'!"&amp;BA12&amp;":AK100")&lt;&gt;"休み"),
            1,0),0)+1,4),0),"")</f>
        <v>0</v>
      </c>
      <c r="BD12" s="21">
        <f t="array" aca="1" ref="BD12" ca="1">IFERROR(IF(BC12&lt;&gt;"",IF(BC12&lt;&gt;0,INDEX(
INDIRECT("'シフト一覧（転載）'!"&amp;BC12&amp;":AK100"),1,
MATCH(1,INDEX((LEN(INDIRECT("'シフト一覧（転載）'!"&amp;BC12&amp;":AK100"))&gt;0)
*(INDIRECT("'シフト一覧（転載）'!"&amp;BC12&amp;":AK100")&lt;&gt;"休み"),1,0),0)),0),""),$E$9&amp;"保育無し")</f>
        <v>0</v>
      </c>
      <c r="BE12" s="21">
        <f t="array" aca="1" ref="BE12" ca="1">IFERROR(IF(BC12&lt;&gt;0,ADDRESS(ROW(INDIRECT(BC12)),
    COLUMN(INDIRECT(BC12)) - 1 +
    MATCH(1,INDEX((LEN(INDIRECT("'シフト一覧（転載）'!"&amp;BC12&amp;":AK100"))&gt;0)
            *(INDIRECT("'シフト一覧（転載）'!"&amp;BC12&amp;":AK100")&lt;&gt;"休み"),
            1,0),0)+1,4),0),"")</f>
        <v>0</v>
      </c>
      <c r="BF12" s="21">
        <f t="array" aca="1" ref="BF12" ca="1">IFERROR(IF(BE12&lt;&gt;"",IF(BE12&lt;&gt;0,INDEX(
INDIRECT("'シフト一覧（転載）'!"&amp;BE12&amp;":AK100"),1,
MATCH(1,INDEX((LEN(INDIRECT("'シフト一覧（転載）'!"&amp;BE12&amp;":AK100"))&gt;0)
*(INDIRECT("'シフト一覧（転載）'!"&amp;BE12&amp;":AK100")&lt;&gt;"休み"),1,0),0)),0),""),$E$9&amp;"保育無し")</f>
        <v>0</v>
      </c>
      <c r="BG12" s="21">
        <f t="array" aca="1" ref="BG12" ca="1">IFERROR(IF(BE12&lt;&gt;0,ADDRESS(ROW(INDIRECT(BE12)),
    COLUMN(INDIRECT(BE12)) - 1 +
    MATCH(1,INDEX((LEN(INDIRECT("'シフト一覧（転載）'!"&amp;BE12&amp;":AK100"))&gt;0)
            *(INDIRECT("'シフト一覧（転載）'!"&amp;BE12&amp;":AK100")&lt;&gt;"休み"),
            1,0),0)+1,4),0),"")</f>
        <v>0</v>
      </c>
      <c r="BH12" s="21">
        <f t="array" aca="1" ref="BH12" ca="1">IFERROR(IF(BG12&lt;&gt;"",IF(BG12&lt;&gt;0,INDEX(
INDIRECT("'シフト一覧（転載）'!"&amp;BG12&amp;":AK100"),1,
MATCH(1,INDEX((LEN(INDIRECT("'シフト一覧（転載）'!"&amp;BG12&amp;":AK100"))&gt;0)
*(INDIRECT("'シフト一覧（転載）'!"&amp;BG12&amp;":AK100")&lt;&gt;"休み"),1,0),0)),0),""),$E$9&amp;"保育無し")</f>
        <v>0</v>
      </c>
      <c r="BI12" s="21">
        <f t="array" aca="1" ref="BI12" ca="1">IFERROR(IF(BG12&lt;&gt;0,ADDRESS(ROW(INDIRECT(BG12)),
    COLUMN(INDIRECT(BG12)) - 1 +
    MATCH(1,INDEX((LEN(INDIRECT("'シフト一覧（転載）'!"&amp;BG12&amp;":AK100"))&gt;0)
            *(INDIRECT("'シフト一覧（転載）'!"&amp;BG12&amp;":AK100")&lt;&gt;"休み"),
            1,0),0)+1,4),0),"")</f>
        <v>0</v>
      </c>
      <c r="BJ12" s="21">
        <f t="array" aca="1" ref="BJ12" ca="1">IFERROR(IF(BI12&lt;&gt;"",IF(BI12&lt;&gt;0,INDEX(
INDIRECT("'シフト一覧（転載）'!"&amp;BI12&amp;":AK100"),1,
MATCH(1,INDEX((LEN(INDIRECT("'シフト一覧（転載）'!"&amp;BI12&amp;":AK100"))&gt;0)
*(INDIRECT("'シフト一覧（転載）'!"&amp;BI12&amp;":AK100")&lt;&gt;"休み"),1,0),0)),0),""),$E$9&amp;"保育無し")</f>
        <v>0</v>
      </c>
      <c r="BK12" s="21">
        <f t="array" aca="1" ref="BK12" ca="1">IFERROR(IF(BI12&lt;&gt;0,ADDRESS(ROW(INDIRECT(BI12)),
    COLUMN(INDIRECT(BI12)) - 1 +
    MATCH(1,INDEX((LEN(INDIRECT("'シフト一覧（転載）'!"&amp;BI12&amp;":AK100"))&gt;0)
            *(INDIRECT("'シフト一覧（転載）'!"&amp;BI12&amp;":AK100")&lt;&gt;"休み"),
            1,0),0)+1,4),0),"")</f>
        <v>0</v>
      </c>
      <c r="BL12" s="21">
        <f t="array" aca="1" ref="BL12" ca="1">IFERROR(IF(BK12&lt;&gt;"",IF(BK12&lt;&gt;0,INDEX(
INDIRECT("'シフト一覧（転載）'!"&amp;BK12&amp;":AK100"),1,
MATCH(1,INDEX((LEN(INDIRECT("'シフト一覧（転載）'!"&amp;BK12&amp;":AK100"))&gt;0)
*(INDIRECT("'シフト一覧（転載）'!"&amp;BK12&amp;":AK100")&lt;&gt;"休み"),1,0),0)),0),""),$E$9&amp;"保育無し")</f>
        <v>0</v>
      </c>
      <c r="BM12" s="21">
        <f t="array" aca="1" ref="BM12" ca="1">IFERROR(IF(BK12&lt;&gt;0,ADDRESS(ROW(INDIRECT(BK12)),
    COLUMN(INDIRECT(BK12)) - 1 +
    MATCH(1,INDEX((LEN(INDIRECT("'シフト一覧（転載）'!"&amp;BK12&amp;":AK100"))&gt;0)
            *(INDIRECT("'シフト一覧（転載）'!"&amp;BK12&amp;":AK100")&lt;&gt;"休み"),
            1,0),0)+1,4),0),"")</f>
        <v>0</v>
      </c>
      <c r="BN12" s="21">
        <f t="array" aca="1" ref="BN12" ca="1">IFERROR(IF(BM12&lt;&gt;"",IF(BM12&lt;&gt;0,INDEX(
INDIRECT("'シフト一覧（転載）'!"&amp;BM12&amp;":AK100"),1,
MATCH(1,INDEX((LEN(INDIRECT("'シフト一覧（転載）'!"&amp;BM12&amp;":AK100"))&gt;0)
*(INDIRECT("'シフト一覧（転載）'!"&amp;BM12&amp;":AK100")&lt;&gt;"休み"),1,0),0)),0),""),$E$9&amp;"保育無し")</f>
        <v>0</v>
      </c>
      <c r="BO12" s="21">
        <f t="array" aca="1" ref="BO12" ca="1">IFERROR(IF(BM12&lt;&gt;0,ADDRESS(ROW(INDIRECT(BM12)),
    COLUMN(INDIRECT(BM12)) - 1 +
    MATCH(1,INDEX((LEN(INDIRECT("'シフト一覧（転載）'!"&amp;BM12&amp;":AK100"))&gt;0)
            *(INDIRECT("'シフト一覧（転載）'!"&amp;BM12&amp;":AK100")&lt;&gt;"休み"),
            1,0),0)+1,4),0),"")</f>
        <v>0</v>
      </c>
      <c r="BP12" s="21">
        <f t="array" aca="1" ref="BP12" ca="1">IFERROR(IF(BO12&lt;&gt;"",IF(BO12&lt;&gt;0,INDEX(
INDIRECT("'シフト一覧（転載）'!"&amp;BO12&amp;":AK100"),1,
MATCH(1,INDEX((LEN(INDIRECT("'シフト一覧（転載）'!"&amp;BO12&amp;":AK100"))&gt;0)
*(INDIRECT("'シフト一覧（転載）'!"&amp;BO12&amp;":AK100")&lt;&gt;"休み"),1,0),0)),0),""),$E$9&amp;"保育無し")</f>
        <v>0</v>
      </c>
      <c r="BQ12" s="21">
        <f t="array" aca="1" ref="BQ12" ca="1">IFERROR(IF(BO12&lt;&gt;0,ADDRESS(ROW(INDIRECT(BO12)),
    COLUMN(INDIRECT(BO12)) - 1 +
    MATCH(1,INDEX((LEN(INDIRECT("'シフト一覧（転載）'!"&amp;BO12&amp;":AK100"))&gt;0)
            *(INDIRECT("'シフト一覧（転載）'!"&amp;BO12&amp;":AK100")&lt;&gt;"休み"),
            1,0),0)+1,4),0),"")</f>
        <v>0</v>
      </c>
      <c r="BR12" s="21">
        <f t="array" aca="1" ref="BR12" ca="1">IFERROR(IF(BQ12&lt;&gt;"",IF(BQ12&lt;&gt;0,INDEX(
INDIRECT("'シフト一覧（転載）'!"&amp;BQ12&amp;":AK100"),1,
MATCH(1,INDEX((LEN(INDIRECT("'シフト一覧（転載）'!"&amp;BQ12&amp;":AK100"))&gt;0)
*(INDIRECT("'シフト一覧（転載）'!"&amp;BQ12&amp;":AK100")&lt;&gt;"休み"),1,0),0)),0),""),$E$9&amp;"保育無し")</f>
        <v>0</v>
      </c>
      <c r="BS12" s="21">
        <f t="array" aca="1" ref="BS12" ca="1">IFERROR(IF(BQ12&lt;&gt;0,ADDRESS(ROW(INDIRECT(BQ12)),
    COLUMN(INDIRECT(BQ12)) - 1 +
    MATCH(1,INDEX((LEN(INDIRECT("'シフト一覧（転載）'!"&amp;BQ12&amp;":AK100"))&gt;0)
            *(INDIRECT("'シフト一覧（転載）'!"&amp;BQ12&amp;":AK100")&lt;&gt;"休み"),
            1,0),0)+1,4),0),"")</f>
        <v>0</v>
      </c>
      <c r="BT12" s="21">
        <f t="array" aca="1" ref="BT12" ca="1">IFERROR(IF(BS12&lt;&gt;"",IF(BS12&lt;&gt;0,INDEX(
INDIRECT("'シフト一覧（転載）'!"&amp;BS12&amp;":AK100"),1,
MATCH(1,INDEX((LEN(INDIRECT("'シフト一覧（転載）'!"&amp;BS12&amp;":AK100"))&gt;0)
*(INDIRECT("'シフト一覧（転載）'!"&amp;BS12&amp;":AK100")&lt;&gt;"休み"),1,0),0)),0),""),$E$9&amp;"保育無し")</f>
        <v>0</v>
      </c>
      <c r="BU12" s="21">
        <f t="array" aca="1" ref="BU12" ca="1">IFERROR(IF(BS12&lt;&gt;0,ADDRESS(ROW(INDIRECT(BS12)),
    COLUMN(INDIRECT(BS12)) - 1 +
    MATCH(1,INDEX((LEN(INDIRECT("'シフト一覧（転載）'!"&amp;BS12&amp;":AK100"))&gt;0)
            *(INDIRECT("'シフト一覧（転載）'!"&amp;BS12&amp;":AK100")&lt;&gt;"休み"),
            1,0),0)+1,4),0),"")</f>
        <v>0</v>
      </c>
      <c r="BV12" s="21">
        <f t="array" aca="1" ref="BV12" ca="1">IFERROR(IF(BU12&lt;&gt;"",IF(BU12&lt;&gt;0,INDEX(
INDIRECT("'シフト一覧（転載）'!"&amp;BU12&amp;":AK100"),1,
MATCH(1,INDEX((LEN(INDIRECT("'シフト一覧（転載）'!"&amp;BU12&amp;":AK100"))&gt;0)
*(INDIRECT("'シフト一覧（転載）'!"&amp;BU12&amp;":AK100")&lt;&gt;"休み"),1,0),0)),0),""),$E$9&amp;"保育無し")</f>
        <v>0</v>
      </c>
      <c r="BW12" s="21">
        <f t="array" aca="1" ref="BW12" ca="1">IFERROR(IF(BU12&lt;&gt;0,ADDRESS(ROW(INDIRECT(BU12)),
    COLUMN(INDIRECT(BU12)) - 1 +
    MATCH(1,INDEX((LEN(INDIRECT("'シフト一覧（転載）'!"&amp;BU12&amp;":AK100"))&gt;0)
            *(INDIRECT("'シフト一覧（転載）'!"&amp;BU12&amp;":AK100")&lt;&gt;"休み"),
            1,0),0)+1,4),0),"")</f>
        <v>0</v>
      </c>
      <c r="BX12" s="21">
        <f t="array" aca="1" ref="BX12" ca="1">IFERROR(IF(BW12&lt;&gt;"",IF(BW12&lt;&gt;0,INDEX(
INDIRECT("'シフト一覧（転載）'!"&amp;BW12&amp;":AK100"),1,
MATCH(1,INDEX((LEN(INDIRECT("'シフト一覧（転載）'!"&amp;BW12&amp;":AK100"))&gt;0)
*(INDIRECT("'シフト一覧（転載）'!"&amp;BW12&amp;":AK100")&lt;&gt;"休み"),1,0),0)),0),""),$E$9&amp;"保育無し")</f>
        <v>0</v>
      </c>
      <c r="BY12" s="21">
        <f t="array" aca="1" ref="BY12" ca="1">IFERROR(IF(BW12&lt;&gt;0,ADDRESS(ROW(INDIRECT(BW12)),
    COLUMN(INDIRECT(BW12)) - 1 +
    MATCH(1,INDEX((LEN(INDIRECT("'シフト一覧（転載）'!"&amp;BW12&amp;":AK100"))&gt;0)
            *(INDIRECT("'シフト一覧（転載）'!"&amp;BW12&amp;":AK100")&lt;&gt;"休み"),
            1,0),0)+1,4),0),"")</f>
        <v>0</v>
      </c>
    </row>
    <row r="13" spans="1:77" ht="19.2" customHeight="1" x14ac:dyDescent="0.2">
      <c r="A13" s="46">
        <f t="shared" ref="A13:A27" si="4">IF(A12&lt;&gt;0,IF($B$9&gt;A12,A12+1,0),0)</f>
        <v>0</v>
      </c>
      <c r="B13" s="64">
        <f t="array" aca="1" ref="B13" ca="1">IFERROR(IF(INDIRECT("'Page_" &amp; A13 &amp; "'!Q3")&lt;&gt;"",INDIRECT("'Page_" &amp; A13 &amp; "'!Q3"),INDIRECT("'Page_" &amp; A13 &amp; "'!P3")),0)</f>
        <v>0</v>
      </c>
      <c r="C13" s="42">
        <f t="shared" ca="1" si="0"/>
        <v>0</v>
      </c>
      <c r="D13" s="31">
        <f t="shared" ca="1" si="1"/>
        <v>0</v>
      </c>
      <c r="E13" s="28">
        <f t="shared" ca="1" si="2"/>
        <v>0</v>
      </c>
      <c r="F13" s="69" t="str">
        <f t="array" aca="1" ref="F13" ca="1">IFERROR(INDEX('シフト一覧（転載）'!$C$8:$C$100,
MATCH(1, (ISNUMBER(SEARCH(I13,'シフト一覧（転載）'!$A$8:$A$100)))
*(ISNUMBER(SEARCH($E$9,'シフト一覧（転載）'!$B$8:$B$100))), 0)),"")</f>
        <v/>
      </c>
      <c r="G13" s="60">
        <f t="shared" ca="1" si="3"/>
        <v>0</v>
      </c>
      <c r="H13" s="28">
        <f t="array" aca="1" ref="H13" ca="1">IFERROR(SUM(INDIRECT("'Page_" &amp; A13 &amp; "'!K"&amp;MATCH("有休",INDIRECT("'Page_" &amp; A13 &amp; "'!K:K"),0)+2&amp;"")
+INDIRECT("'Page_" &amp; A13 &amp; "'!L"&amp;MATCH("特休",INDIRECT("'Page_" &amp; A13 &amp; "'!L:L"),0)+2&amp;""))*24,0)</f>
        <v>0</v>
      </c>
      <c r="I13" s="51">
        <f t="array" aca="1" ref="I13" ca="1">IFERROR(_xlfn.TEXTJOIN("", TRUE, IF(ISERR(MID(INDIRECT("'Page_" &amp; A13 &amp; "'!C2"), ROW(INDIRECT("1:" &amp; LEN(INDIRECT("'Page_" &amp; A13 &amp; "'!C2")))), 1)*1), MID(INDIRECT("'Page_" &amp; A13 &amp; "'!C2"), ROW(INDIRECT("1:" &amp; LEN(INDIRECT("'Page_" &amp; A13 &amp; "'!C2")))), 1), "")),0)</f>
        <v>0</v>
      </c>
      <c r="J13" s="52">
        <f t="array" aca="1" ref="J13" ca="1">IFERROR(IF(INDIRECT("'Page_" &amp; A13 &amp; "'!E2")&lt;&gt;"",INDIRECT("'Page_" &amp; A13 &amp; "'!E2"),INDIRECT("'Page_" &amp; A13 &amp; "'!D2")),0)</f>
        <v>0</v>
      </c>
      <c r="K13" s="65"/>
      <c r="M13" s="93"/>
      <c r="N13" s="91"/>
      <c r="O13" s="95"/>
      <c r="P13" s="22">
        <f t="array" aca="1" ref="P13" ca="1">IFERROR(IF(M12&lt;&gt;"",INDEX('シフト一覧（転載）'!$F$8:$AK$100,
    MATCH(1,(ISNUMBER(SEARCH(M12,'シフト一覧（転載）'!$A$8:$A$100)))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MATCH(1,(ISNUMBER(SEARCH(M12,'シフト一覧（転載）'!$A$8:$A$100)))
                *(ISNUMBER(SEARCH($E$9,'シフト一覧（転載）'!$B$8:$B$100))),
                0),0),0)),0),"")</f>
        <v>0</v>
      </c>
      <c r="Q13" s="22">
        <f ca="1">IF(P12=0,0,
IF(OR(P12="",COUNTIF(P12,"*保育無し*")),"",
IF(MOD(P13-P12,1)*24&gt;=8,1,
IF(MOD(P13-P12,1)*24&gt;=6,0.75,0))))</f>
        <v>0</v>
      </c>
      <c r="R13" s="22">
        <f t="array" aca="1" ref="R13" ca="1">IFERROR(IF(Q12&lt;&gt;0,INDEX(
INDIRECT("'シフト一覧（転載）'!"&amp;Q12&amp;":AK100"),1+1,
MATCH(1,INDEX((LEN(INDIRECT("'シフト一覧（転載）'!"&amp;Q12&amp;":AK100"))&gt;0)
*(INDIRECT("'シフト一覧（転載）'!"&amp;Q12&amp;":AK100")&lt;&gt;"休み"),1,0),0)),0),"")</f>
        <v>0</v>
      </c>
      <c r="S13" s="22">
        <f ca="1">IF(R12=0,0,
IF(OR(R12="",COUNTIF(R12,"*保育無し*")),"",
IF(MOD(R13-R12,1)*24&gt;=8,1,
IF(MOD(R13-R12,1)*24&gt;=6,0.75,0))))</f>
        <v>0</v>
      </c>
      <c r="T13" s="22">
        <f t="array" aca="1" ref="T13" ca="1">IFERROR(IF(S12&lt;&gt;0,INDEX(
INDIRECT("'シフト一覧（転載）'!"&amp;S12&amp;":AK100"),1+1,
MATCH(1,INDEX((LEN(INDIRECT("'シフト一覧（転載）'!"&amp;S12&amp;":AK100"))&gt;0)
*(INDIRECT("'シフト一覧（転載）'!"&amp;S12&amp;":AK100")&lt;&gt;"休み"),1,0),0)),0),"")</f>
        <v>0</v>
      </c>
      <c r="U13" s="22">
        <f ca="1">IF(T12=0,0,
IF(OR(T12="",COUNTIF(T12,"*保育無し*")),"",
IF(MOD(T13-T12,1)*24&gt;=8,1,
IF(MOD(T13-T12,1)*24&gt;=6,0.75,0))))</f>
        <v>0</v>
      </c>
      <c r="V13" s="22">
        <f t="array" aca="1" ref="V13" ca="1">IFERROR(IF(U12&lt;&gt;0,INDEX(
INDIRECT("'シフト一覧（転載）'!"&amp;U12&amp;":AK100"),1+1,
MATCH(1,INDEX((LEN(INDIRECT("'シフト一覧（転載）'!"&amp;U12&amp;":AK100"))&gt;0)
*(INDIRECT("'シフト一覧（転載）'!"&amp;U12&amp;":AK100")&lt;&gt;"休み"),1,0),0)),0),"")</f>
        <v>0</v>
      </c>
      <c r="W13" s="22">
        <f ca="1">IF(V12=0,0,
IF(OR(V12="",COUNTIF(V12,"*保育無し*")),"",
IF(MOD(V13-V12,1)*24&gt;=8,1,
IF(MOD(V13-V12,1)*24&gt;=6,0.75,0))))</f>
        <v>0</v>
      </c>
      <c r="X13" s="22">
        <f t="array" aca="1" ref="X13" ca="1">IFERROR(IF(W12&lt;&gt;0,INDEX(
INDIRECT("'シフト一覧（転載）'!"&amp;W12&amp;":AK100"),1+1,
MATCH(1,INDEX((LEN(INDIRECT("'シフト一覧（転載）'!"&amp;W12&amp;":AK100"))&gt;0)
*(INDIRECT("'シフト一覧（転載）'!"&amp;W12&amp;":AK100")&lt;&gt;"休み"),1,0),0)),0),"")</f>
        <v>0</v>
      </c>
      <c r="Y13" s="22">
        <f ca="1">IF(X12=0,0,
IF(OR(X12="",COUNTIF(X12,"*保育無し*")),"",
IF(MOD(X13-X12,1)*24&gt;=8,1,
IF(MOD(X13-X12,1)*24&gt;=6,0.75,0))))</f>
        <v>0</v>
      </c>
      <c r="Z13" s="22">
        <f t="array" aca="1" ref="Z13" ca="1">IFERROR(IF(Y12&lt;&gt;0,INDEX(
INDIRECT("'シフト一覧（転載）'!"&amp;Y12&amp;":AK100"),1+1,
MATCH(1,INDEX((LEN(INDIRECT("'シフト一覧（転載）'!"&amp;Y12&amp;":AK100"))&gt;0)
*(INDIRECT("'シフト一覧（転載）'!"&amp;Y12&amp;":AK100")&lt;&gt;"休み"),1,0),0)),0),"")</f>
        <v>0</v>
      </c>
      <c r="AA13" s="22">
        <f ca="1">IF(Z12=0,0,
IF(OR(Z12="",COUNTIF(Z12,"*保育無し*")),"",
IF(MOD(Z13-Z12,1)*24&gt;=8,1,
IF(MOD(Z13-Z12,1)*24&gt;=6,0.75,0))))</f>
        <v>0</v>
      </c>
      <c r="AB13" s="22">
        <f t="array" aca="1" ref="AB13" ca="1">IFERROR(IF(AA12&lt;&gt;0,INDEX(
INDIRECT("'シフト一覧（転載）'!"&amp;AA12&amp;":AK100"),1+1,
MATCH(1,INDEX((LEN(INDIRECT("'シフト一覧（転載）'!"&amp;AA12&amp;":AK100"))&gt;0)
*(INDIRECT("'シフト一覧（転載）'!"&amp;AA12&amp;":AK100")&lt;&gt;"休み"),1,0),0)),0),"")</f>
        <v>0</v>
      </c>
      <c r="AC13" s="22">
        <f ca="1">IF(AB12=0,0,
IF(OR(AB12="",COUNTIF(AB12,"*保育無し*")),"",
IF(MOD(AB13-AB12,1)*24&gt;=8,1,
IF(MOD(AB13-AB12,1)*24&gt;=6,0.75,0))))</f>
        <v>0</v>
      </c>
      <c r="AD13" s="22">
        <f t="array" aca="1" ref="AD13" ca="1">IFERROR(IF(AC12&lt;&gt;0,INDEX(
INDIRECT("'シフト一覧（転載）'!"&amp;AC12&amp;":AK100"),1+1,
MATCH(1,INDEX((LEN(INDIRECT("'シフト一覧（転載）'!"&amp;AC12&amp;":AK100"))&gt;0)
*(INDIRECT("'シフト一覧（転載）'!"&amp;AC12&amp;":AK100")&lt;&gt;"休み"),1,0),0)),0),"")</f>
        <v>0</v>
      </c>
      <c r="AE13" s="22">
        <f ca="1">IF(AD12=0,0,
IF(OR(AD12="",COUNTIF(AD12,"*保育無し*")),"",
IF(MOD(AD13-AD12,1)*24&gt;=8,1,
IF(MOD(AD13-AD12,1)*24&gt;=6,0.75,0))))</f>
        <v>0</v>
      </c>
      <c r="AF13" s="22">
        <f t="array" aca="1" ref="AF13" ca="1">IFERROR(IF(AE12&lt;&gt;0,INDEX(
INDIRECT("'シフト一覧（転載）'!"&amp;AE12&amp;":AK100"),1+1,
MATCH(1,INDEX((LEN(INDIRECT("'シフト一覧（転載）'!"&amp;AE12&amp;":AK100"))&gt;0)
*(INDIRECT("'シフト一覧（転載）'!"&amp;AE12&amp;":AK100")&lt;&gt;"休み"),1,0),0)),0),"")</f>
        <v>0</v>
      </c>
      <c r="AG13" s="22">
        <f ca="1">IF(AF12=0,0,
IF(OR(AF12="",COUNTIF(AF12,"*保育無し*")),"",
IF(MOD(AF13-AF12,1)*24&gt;=8,1,
IF(MOD(AF13-AF12,1)*24&gt;=6,0.75,0))))</f>
        <v>0</v>
      </c>
      <c r="AH13" s="22">
        <f t="array" aca="1" ref="AH13" ca="1">IFERROR(IF(AG12&lt;&gt;0,INDEX(
INDIRECT("'シフト一覧（転載）'!"&amp;AG12&amp;":AK100"),1+1,
MATCH(1,INDEX((LEN(INDIRECT("'シフト一覧（転載）'!"&amp;AG12&amp;":AK100"))&gt;0)
*(INDIRECT("'シフト一覧（転載）'!"&amp;AG12&amp;":AK100")&lt;&gt;"休み"),1,0),0)),0),"")</f>
        <v>0</v>
      </c>
      <c r="AI13" s="22">
        <f ca="1">IF(AH12=0,0,
IF(OR(AH12="",COUNTIF(AH12,"*保育無し*")),"",
IF(MOD(AH13-AH12,1)*24&gt;=8,1,
IF(MOD(AH13-AH12,1)*24&gt;=6,0.75,0))))</f>
        <v>0</v>
      </c>
      <c r="AJ13" s="22">
        <f t="array" aca="1" ref="AJ13" ca="1">IFERROR(IF(AI12&lt;&gt;0,INDEX(
INDIRECT("'シフト一覧（転載）'!"&amp;AI12&amp;":AK100"),1+1,
MATCH(1,INDEX((LEN(INDIRECT("'シフト一覧（転載）'!"&amp;AI12&amp;":AK100"))&gt;0)
*(INDIRECT("'シフト一覧（転載）'!"&amp;AI12&amp;":AK100")&lt;&gt;"休み"),1,0),0)),0),"")</f>
        <v>0</v>
      </c>
      <c r="AK13" s="22">
        <f ca="1">IF(AJ12=0,0,
IF(OR(AJ12="",COUNTIF(AJ12,"*保育無し*")),"",
IF(MOD(AJ13-AJ12,1)*24&gt;=8,1,
IF(MOD(AJ13-AJ12,1)*24&gt;=6,0.75,0))))</f>
        <v>0</v>
      </c>
      <c r="AL13" s="22">
        <f t="array" aca="1" ref="AL13" ca="1">IFERROR(IF(AK12&lt;&gt;0,INDEX(
INDIRECT("'シフト一覧（転載）'!"&amp;AK12&amp;":AK100"),1+1,
MATCH(1,INDEX((LEN(INDIRECT("'シフト一覧（転載）'!"&amp;AK12&amp;":AK100"))&gt;0)
*(INDIRECT("'シフト一覧（転載）'!"&amp;AK12&amp;":AK100")&lt;&gt;"休み"),1,0),0)),0),"")</f>
        <v>0</v>
      </c>
      <c r="AM13" s="22">
        <f ca="1">IF(AL12=0,0,
IF(OR(AL12="",COUNTIF(AL12,"*保育無し*")),"",
IF(MOD(AL13-AL12,1)*24&gt;=8,1,
IF(MOD(AL13-AL12,1)*24&gt;=6,0.75,0))))</f>
        <v>0</v>
      </c>
      <c r="AN13" s="22">
        <f t="array" aca="1" ref="AN13" ca="1">IFERROR(IF(AM12&lt;&gt;0,INDEX(
INDIRECT("'シフト一覧（転載）'!"&amp;AM12&amp;":AK100"),1+1,
MATCH(1,INDEX((LEN(INDIRECT("'シフト一覧（転載）'!"&amp;AM12&amp;":AK100"))&gt;0)
*(INDIRECT("'シフト一覧（転載）'!"&amp;AM12&amp;":AK100")&lt;&gt;"休み"),1,0),0)),0),"")</f>
        <v>0</v>
      </c>
      <c r="AO13" s="22">
        <f ca="1">IF(AN12=0,0,
IF(OR(AN12="",COUNTIF(AN12,"*保育無し*")),"",
IF(MOD(AN13-AN12,1)*24&gt;=8,1,
IF(MOD(AN13-AN12,1)*24&gt;=6,0.75,0))))</f>
        <v>0</v>
      </c>
      <c r="AP13" s="22">
        <f t="array" aca="1" ref="AP13" ca="1">IFERROR(IF(AO12&lt;&gt;0,INDEX(
INDIRECT("'シフト一覧（転載）'!"&amp;AO12&amp;":AK100"),1+1,
MATCH(1,INDEX((LEN(INDIRECT("'シフト一覧（転載）'!"&amp;AO12&amp;":AK100"))&gt;0)
*(INDIRECT("'シフト一覧（転載）'!"&amp;AO12&amp;":AK100")&lt;&gt;"休み"),1,0),0)),0),"")</f>
        <v>0</v>
      </c>
      <c r="AQ13" s="22">
        <f ca="1">IF(AP12=0,0,
IF(OR(AP12="",COUNTIF(AP12,"*保育無し*")),"",
IF(MOD(AP13-AP12,1)*24&gt;=8,1,
IF(MOD(AP13-AP12,1)*24&gt;=6,0.75,0))))</f>
        <v>0</v>
      </c>
      <c r="AR13" s="22">
        <f t="array" aca="1" ref="AR13" ca="1">IFERROR(IF(AQ12&lt;&gt;0,INDEX(
INDIRECT("'シフト一覧（転載）'!"&amp;AQ12&amp;":AK100"),1+1,
MATCH(1,INDEX((LEN(INDIRECT("'シフト一覧（転載）'!"&amp;AQ12&amp;":AK100"))&gt;0)
*(INDIRECT("'シフト一覧（転載）'!"&amp;AQ12&amp;":AK100")&lt;&gt;"休み"),1,0),0)),0),"")</f>
        <v>0</v>
      </c>
      <c r="AS13" s="22">
        <f ca="1">IF(AR12=0,0,
IF(OR(AR12="",COUNTIF(AR12,"*保育無し*")),"",
IF(MOD(AR13-AR12,1)*24&gt;=8,1,
IF(MOD(AR13-AR12,1)*24&gt;=6,0.75,0))))</f>
        <v>0</v>
      </c>
      <c r="AT13" s="22">
        <f t="array" aca="1" ref="AT13" ca="1">IFERROR(IF(AS12&lt;&gt;0,INDEX(
INDIRECT("'シフト一覧（転載）'!"&amp;AS12&amp;":AK100"),1+1,
MATCH(1,INDEX((LEN(INDIRECT("'シフト一覧（転載）'!"&amp;AS12&amp;":AK100"))&gt;0)
*(INDIRECT("'シフト一覧（転載）'!"&amp;AS12&amp;":AK100")&lt;&gt;"休み"),1,0),0)),0),"")</f>
        <v>0</v>
      </c>
      <c r="AU13" s="22">
        <f ca="1">IF(AT12=0,0,
IF(OR(AT12="",COUNTIF(AT12,"*保育無し*")),"",
IF(MOD(AT13-AT12,1)*24&gt;=8,1,
IF(MOD(AT13-AT12,1)*24&gt;=6,0.75,0))))</f>
        <v>0</v>
      </c>
      <c r="AV13" s="22">
        <f t="array" aca="1" ref="AV13" ca="1">IFERROR(IF(AU12&lt;&gt;0,INDEX(
INDIRECT("'シフト一覧（転載）'!"&amp;AU12&amp;":AK100"),1+1,
MATCH(1,INDEX((LEN(INDIRECT("'シフト一覧（転載）'!"&amp;AU12&amp;":AK100"))&gt;0)
*(INDIRECT("'シフト一覧（転載）'!"&amp;AU12&amp;":AK100")&lt;&gt;"休み"),1,0),0)),0),"")</f>
        <v>0</v>
      </c>
      <c r="AW13" s="22">
        <f ca="1">IF(AV12=0,0,
IF(OR(AV12="",COUNTIF(AV12,"*保育無し*")),"",
IF(MOD(AV13-AV12,1)*24&gt;=8,1,
IF(MOD(AV13-AV12,1)*24&gt;=6,0.75,0))))</f>
        <v>0</v>
      </c>
      <c r="AX13" s="22">
        <f t="array" aca="1" ref="AX13" ca="1">IFERROR(IF(AW12&lt;&gt;0,INDEX(
INDIRECT("'シフト一覧（転載）'!"&amp;AW12&amp;":AK100"),1+1,
MATCH(1,INDEX((LEN(INDIRECT("'シフト一覧（転載）'!"&amp;AW12&amp;":AK100"))&gt;0)
*(INDIRECT("'シフト一覧（転載）'!"&amp;AW12&amp;":AK100")&lt;&gt;"休み"),1,0),0)),0),"")</f>
        <v>0</v>
      </c>
      <c r="AY13" s="22">
        <f ca="1">IF(AX12=0,0,
IF(OR(AX12="",COUNTIF(AX12,"*保育無し*")),"",
IF(MOD(AX13-AX12,1)*24&gt;=8,1,
IF(MOD(AX13-AX12,1)*24&gt;=6,0.75,0))))</f>
        <v>0</v>
      </c>
      <c r="AZ13" s="22">
        <f t="array" aca="1" ref="AZ13" ca="1">IFERROR(IF(AY12&lt;&gt;0,INDEX(
INDIRECT("'シフト一覧（転載）'!"&amp;AY12&amp;":AK100"),1+1,
MATCH(1,INDEX((LEN(INDIRECT("'シフト一覧（転載）'!"&amp;AY12&amp;":AK100"))&gt;0)
*(INDIRECT("'シフト一覧（転載）'!"&amp;AY12&amp;":AK100")&lt;&gt;"休み"),1,0),0)),0),"")</f>
        <v>0</v>
      </c>
      <c r="BA13" s="22">
        <f ca="1">IF(AZ12=0,0,
IF(OR(AZ12="",COUNTIF(AZ12,"*保育無し*")),"",
IF(MOD(AZ13-AZ12,1)*24&gt;=8,1,
IF(MOD(AZ13-AZ12,1)*24&gt;=6,0.75,0))))</f>
        <v>0</v>
      </c>
      <c r="BB13" s="22">
        <f t="array" aca="1" ref="BB13" ca="1">IFERROR(IF(BA12&lt;&gt;0,INDEX(
INDIRECT("'シフト一覧（転載）'!"&amp;BA12&amp;":AK100"),1+1,
MATCH(1,INDEX((LEN(INDIRECT("'シフト一覧（転載）'!"&amp;BA12&amp;":AK100"))&gt;0)
*(INDIRECT("'シフト一覧（転載）'!"&amp;BA12&amp;":AK100")&lt;&gt;"休み"),1,0),0)),0),"")</f>
        <v>0</v>
      </c>
      <c r="BC13" s="22">
        <f ca="1">IF(BB12=0,0,
IF(OR(BB12="",COUNTIF(BB12,"*保育無し*")),"",
IF(MOD(BB13-BB12,1)*24&gt;=8,1,
IF(MOD(BB13-BB12,1)*24&gt;=6,0.75,0))))</f>
        <v>0</v>
      </c>
      <c r="BD13" s="22">
        <f t="array" aca="1" ref="BD13" ca="1">IFERROR(IF(BC12&lt;&gt;0,INDEX(
INDIRECT("'シフト一覧（転載）'!"&amp;BC12&amp;":AK100"),1+1,
MATCH(1,INDEX((LEN(INDIRECT("'シフト一覧（転載）'!"&amp;BC12&amp;":AK100"))&gt;0)
*(INDIRECT("'シフト一覧（転載）'!"&amp;BC12&amp;":AK100")&lt;&gt;"休み"),1,0),0)),0),"")</f>
        <v>0</v>
      </c>
      <c r="BE13" s="22">
        <f ca="1">IF(BD12=0,0,
IF(OR(BD12="",COUNTIF(BD12,"*保育無し*")),"",
IF(MOD(BD13-BD12,1)*24&gt;=8,1,
IF(MOD(BD13-BD12,1)*24&gt;=6,0.75,0))))</f>
        <v>0</v>
      </c>
      <c r="BF13" s="22">
        <f t="array" aca="1" ref="BF13" ca="1">IFERROR(IF(BE12&lt;&gt;0,INDEX(
INDIRECT("'シフト一覧（転載）'!"&amp;BE12&amp;":AK100"),1+1,
MATCH(1,INDEX((LEN(INDIRECT("'シフト一覧（転載）'!"&amp;BE12&amp;":AK100"))&gt;0)
*(INDIRECT("'シフト一覧（転載）'!"&amp;BE12&amp;":AK100")&lt;&gt;"休み"),1,0),0)),0),"")</f>
        <v>0</v>
      </c>
      <c r="BG13" s="22">
        <f ca="1">IF(BF12=0,0,
IF(OR(BF12="",COUNTIF(BF12,"*保育無し*")),"",
IF(MOD(BF13-BF12,1)*24&gt;=8,1,
IF(MOD(BF13-BF12,1)*24&gt;=6,0.75,0))))</f>
        <v>0</v>
      </c>
      <c r="BH13" s="22">
        <f t="array" aca="1" ref="BH13" ca="1">IFERROR(IF(BG12&lt;&gt;0,INDEX(
INDIRECT("'シフト一覧（転載）'!"&amp;BG12&amp;":AK100"),1+1,
MATCH(1,INDEX((LEN(INDIRECT("'シフト一覧（転載）'!"&amp;BG12&amp;":AK100"))&gt;0)
*(INDIRECT("'シフト一覧（転載）'!"&amp;BG12&amp;":AK100")&lt;&gt;"休み"),1,0),0)),0),"")</f>
        <v>0</v>
      </c>
      <c r="BI13" s="22">
        <f ca="1">IF(BH12=0,0,
IF(OR(BH12="",COUNTIF(BH12,"*保育無し*")),"",
IF(MOD(BH13-BH12,1)*24&gt;=8,1,
IF(MOD(BH13-BH12,1)*24&gt;=6,0.75,0))))</f>
        <v>0</v>
      </c>
      <c r="BJ13" s="22">
        <f t="array" aca="1" ref="BJ13" ca="1">IFERROR(IF(BI12&lt;&gt;0,INDEX(
INDIRECT("'シフト一覧（転載）'!"&amp;BI12&amp;":AK100"),1+1,
MATCH(1,INDEX((LEN(INDIRECT("'シフト一覧（転載）'!"&amp;BI12&amp;":AK100"))&gt;0)
*(INDIRECT("'シフト一覧（転載）'!"&amp;BI12&amp;":AK100")&lt;&gt;"休み"),1,0),0)),0),"")</f>
        <v>0</v>
      </c>
      <c r="BK13" s="22">
        <f ca="1">IF(BJ12=0,0,
IF(OR(BJ12="",COUNTIF(BJ12,"*保育無し*")),"",
IF(MOD(BJ13-BJ12,1)*24&gt;=8,1,
IF(MOD(BJ13-BJ12,1)*24&gt;=6,0.75,0))))</f>
        <v>0</v>
      </c>
      <c r="BL13" s="22">
        <f t="array" aca="1" ref="BL13" ca="1">IFERROR(IF(BK12&lt;&gt;0,INDEX(
INDIRECT("'シフト一覧（転載）'!"&amp;BK12&amp;":AK100"),1+1,
MATCH(1,INDEX((LEN(INDIRECT("'シフト一覧（転載）'!"&amp;BK12&amp;":AK100"))&gt;0)
*(INDIRECT("'シフト一覧（転載）'!"&amp;BK12&amp;":AK100")&lt;&gt;"休み"),1,0),0)),0),"")</f>
        <v>0</v>
      </c>
      <c r="BM13" s="22">
        <f ca="1">IF(BL12=0,0,
IF(OR(BL12="",COUNTIF(BL12,"*保育無し*")),"",
IF(MOD(BL13-BL12,1)*24&gt;=8,1,
IF(MOD(BL13-BL12,1)*24&gt;=6,0.75,0))))</f>
        <v>0</v>
      </c>
      <c r="BN13" s="22">
        <f t="array" aca="1" ref="BN13" ca="1">IFERROR(IF(BM12&lt;&gt;0,INDEX(
INDIRECT("'シフト一覧（転載）'!"&amp;BM12&amp;":AK100"),1+1,
MATCH(1,INDEX((LEN(INDIRECT("'シフト一覧（転載）'!"&amp;BM12&amp;":AK100"))&gt;0)
*(INDIRECT("'シフト一覧（転載）'!"&amp;BM12&amp;":AK100")&lt;&gt;"休み"),1,0),0)),0),"")</f>
        <v>0</v>
      </c>
      <c r="BO13" s="22">
        <f ca="1">IF(BN12=0,0,
IF(OR(BN12="",COUNTIF(BN12,"*保育無し*")),"",
IF(MOD(BN13-BN12,1)*24&gt;=8,1,
IF(MOD(BN13-BN12,1)*24&gt;=6,0.75,0))))</f>
        <v>0</v>
      </c>
      <c r="BP13" s="22">
        <f t="array" aca="1" ref="BP13" ca="1">IFERROR(IF(BO12&lt;&gt;0,INDEX(
INDIRECT("'シフト一覧（転載）'!"&amp;BO12&amp;":AK100"),1+1,
MATCH(1,INDEX((LEN(INDIRECT("'シフト一覧（転載）'!"&amp;BO12&amp;":AK100"))&gt;0)
*(INDIRECT("'シフト一覧（転載）'!"&amp;BO12&amp;":AK100")&lt;&gt;"休み"),1,0),0)),0),"")</f>
        <v>0</v>
      </c>
      <c r="BQ13" s="22">
        <f ca="1">IF(BP12=0,0,
IF(OR(BP12="",COUNTIF(BP12,"*保育無し*")),"",
IF(MOD(BP13-BP12,1)*24&gt;=8,1,
IF(MOD(BP13-BP12,1)*24&gt;=6,0.75,0))))</f>
        <v>0</v>
      </c>
      <c r="BR13" s="22">
        <f t="array" aca="1" ref="BR13" ca="1">IFERROR(IF(BQ12&lt;&gt;0,INDEX(
INDIRECT("'シフト一覧（転載）'!"&amp;BQ12&amp;":AK100"),1+1,
MATCH(1,INDEX((LEN(INDIRECT("'シフト一覧（転載）'!"&amp;BQ12&amp;":AK100"))&gt;0)
*(INDIRECT("'シフト一覧（転載）'!"&amp;BQ12&amp;":AK100")&lt;&gt;"休み"),1,0),0)),0),"")</f>
        <v>0</v>
      </c>
      <c r="BS13" s="22">
        <f ca="1">IF(BR12=0,0,
IF(OR(BR12="",COUNTIF(BR12,"*保育無し*")),"",
IF(MOD(BR13-BR12,1)*24&gt;=8,1,
IF(MOD(BR13-BR12,1)*24&gt;=6,0.75,0))))</f>
        <v>0</v>
      </c>
      <c r="BT13" s="22">
        <f t="array" aca="1" ref="BT13" ca="1">IFERROR(IF(BS12&lt;&gt;0,INDEX(
INDIRECT("'シフト一覧（転載）'!"&amp;BS12&amp;":AK100"),1+1,
MATCH(1,INDEX((LEN(INDIRECT("'シフト一覧（転載）'!"&amp;BS12&amp;":AK100"))&gt;0)
*(INDIRECT("'シフト一覧（転載）'!"&amp;BS12&amp;":AK100")&lt;&gt;"休み"),1,0),0)),0),"")</f>
        <v>0</v>
      </c>
      <c r="BU13" s="22">
        <f ca="1">IF(BT12=0,0,
IF(OR(BT12="",COUNTIF(BT12,"*保育無し*")),"",
IF(MOD(BT13-BT12,1)*24&gt;=8,1,
IF(MOD(BT13-BT12,1)*24&gt;=6,0.75,0))))</f>
        <v>0</v>
      </c>
      <c r="BV13" s="22">
        <f t="array" aca="1" ref="BV13" ca="1">IFERROR(IF(BU12&lt;&gt;0,INDEX(
INDIRECT("'シフト一覧（転載）'!"&amp;BU12&amp;":AK100"),1+1,
MATCH(1,INDEX((LEN(INDIRECT("'シフト一覧（転載）'!"&amp;BU12&amp;":AK100"))&gt;0)
*(INDIRECT("'シフト一覧（転載）'!"&amp;BU12&amp;":AK100")&lt;&gt;"休み"),1,0),0)),0),"")</f>
        <v>0</v>
      </c>
      <c r="BW13" s="22">
        <f ca="1">IF(BV12=0,0,
IF(OR(BV12="",COUNTIF(BV12,"*保育無し*")),"",
IF(MOD(BV13-BV12,1)*24&gt;=8,1,
IF(MOD(BV13-BV12,1)*24&gt;=6,0.75,0))))</f>
        <v>0</v>
      </c>
      <c r="BX13" s="22">
        <f t="array" aca="1" ref="BX13" ca="1">IFERROR(IF(BW12&lt;&gt;0,INDEX(
INDIRECT("'シフト一覧（転載）'!"&amp;BW12&amp;":AK100"),1+1,
MATCH(1,INDEX((LEN(INDIRECT("'シフト一覧（転載）'!"&amp;BW12&amp;":AK100"))&gt;0)
*(INDIRECT("'シフト一覧（転載）'!"&amp;BW12&amp;":AK100")&lt;&gt;"休み"),1,0),0)),0),"")</f>
        <v>0</v>
      </c>
      <c r="BY13" s="22">
        <f ca="1">IF(BX12=0,0,
IF(OR(BX12="",COUNTIF(BX12,"*保育無し*")),"",
IF(MOD(BX13-BX12,1)*24&gt;=8,1,
IF(MOD(BX13-BX12,1)*24&gt;=6,0.75,0))))</f>
        <v>0</v>
      </c>
    </row>
    <row r="14" spans="1:77" ht="19.2" customHeight="1" x14ac:dyDescent="0.2">
      <c r="A14" s="46">
        <f t="shared" si="4"/>
        <v>0</v>
      </c>
      <c r="B14" s="64">
        <f t="array" aca="1" ref="B14" ca="1">IFERROR(IF(INDIRECT("'Page_" &amp; A14 &amp; "'!Q3")&lt;&gt;"",INDIRECT("'Page_" &amp; A14 &amp; "'!Q3"),INDIRECT("'Page_" &amp; A14 &amp; "'!P3")),0)</f>
        <v>0</v>
      </c>
      <c r="C14" s="42">
        <f t="shared" ca="1" si="0"/>
        <v>0</v>
      </c>
      <c r="D14" s="31">
        <f t="shared" ca="1" si="1"/>
        <v>0</v>
      </c>
      <c r="E14" s="28">
        <f t="shared" ca="1" si="2"/>
        <v>0</v>
      </c>
      <c r="F14" s="69" t="str">
        <f t="array" aca="1" ref="F14" ca="1">IFERROR(INDEX('シフト一覧（転載）'!$C$8:$C$100,
MATCH(1, (ISNUMBER(SEARCH(I14,'シフト一覧（転載）'!$A$8:$A$100)))
*(ISNUMBER(SEARCH($E$9,'シフト一覧（転載）'!$B$8:$B$100))), 0)),"")</f>
        <v/>
      </c>
      <c r="G14" s="60">
        <f t="shared" ca="1" si="3"/>
        <v>0</v>
      </c>
      <c r="H14" s="28">
        <f t="array" aca="1" ref="H14" ca="1">IFERROR(SUM(INDIRECT("'Page_" &amp; A14 &amp; "'!K"&amp;MATCH("有休",INDIRECT("'Page_" &amp; A14 &amp; "'!K:K"),0)+2&amp;"")
+INDIRECT("'Page_" &amp; A14 &amp; "'!L"&amp;MATCH("特休",INDIRECT("'Page_" &amp; A14 &amp; "'!L:L"),0)+2&amp;""))*24,0)</f>
        <v>0</v>
      </c>
      <c r="I14" s="51">
        <f t="array" aca="1" ref="I14" ca="1">IFERROR(_xlfn.TEXTJOIN("", TRUE, IF(ISERR(MID(INDIRECT("'Page_" &amp; A14 &amp; "'!C2"), ROW(INDIRECT("1:" &amp; LEN(INDIRECT("'Page_" &amp; A14 &amp; "'!C2")))), 1)*1), MID(INDIRECT("'Page_" &amp; A14 &amp; "'!C2"), ROW(INDIRECT("1:" &amp; LEN(INDIRECT("'Page_" &amp; A14 &amp; "'!C2")))), 1), "")),0)</f>
        <v>0</v>
      </c>
      <c r="J14" s="52">
        <f t="array" aca="1" ref="J14" ca="1">IFERROR(IF(INDIRECT("'Page_" &amp; A14 &amp; "'!E2")&lt;&gt;"",INDIRECT("'Page_" &amp; A14 &amp; "'!E2"),INDIRECT("'Page_" &amp; A14 &amp; "'!D2")),0)</f>
        <v>0</v>
      </c>
      <c r="K14" s="65"/>
      <c r="M14" s="92" t="str">
        <f t="array" aca="1" ref="M14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14" s="90" t="str">
        <f ca="1">IF(M14&lt;&gt;"",VLOOKUP(M14,$I$12:$J$27,2,FALSE),"")</f>
        <v/>
      </c>
      <c r="O14" s="94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21">
        <f t="array" aca="1" ref="P14" ca="1">IFERROR(IF(M14&lt;&gt;"",INDEX('シフト一覧（転載）'!$F$8:$AK$100,
    MATCH(1,(ISNUMBER(SEARCH(M14,'シフト一覧（転載）'!$A$8:$A$100)))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MATCH(1,(ISNUMBER(SEARCH(M14,'シフト一覧（転載）'!$A$8:$A$100)))
                *(ISNUMBER(SEARCH($E$9,'シフト一覧（転載）'!$B$8:$B$100))),
                0),0),0)),0),$E$9&amp;"保育無し")</f>
        <v>0</v>
      </c>
      <c r="Q14" s="21">
        <f t="array" aca="1" ref="Q14" ca="1">IFERROR(IF(COUNTIF(P14,"*無*"),"",IF(M14&lt;&gt;"",ADDRESS(
    MATCH(1,(ISNUMBER(SEARCH(M14,'シフト一覧（転載）'!$A$8:$A$100)))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MATCH(1,(ISNUMBER(SEARCH(M14,'シフト一覧（転載）'!$A$8:$A$100)))
                *(ISNUMBER(SEARCH($E$9,'シフト一覧（転載）'!$B$8:$B$100))),0),0),0) + 6,4),0)),0)</f>
        <v>0</v>
      </c>
      <c r="R14" s="21">
        <f t="array" aca="1" ref="R14" ca="1">IFERROR(IF(Q14&lt;&gt;"",IF(Q14&lt;&gt;0,INDEX(
INDIRECT("'シフト一覧（転載）'!"&amp;Q14&amp;":AK100"),1,
MATCH(1,INDEX((LEN(INDIRECT("'シフト一覧（転載）'!"&amp;Q14&amp;":AK100"))&gt;0)
*(INDIRECT("'シフト一覧（転載）'!"&amp;Q14&amp;":AK100")&lt;&gt;"休み"),1,0),0)),0),""),$E$9&amp;"保育無し")</f>
        <v>0</v>
      </c>
      <c r="S14" s="21">
        <f t="array" aca="1" ref="S14" ca="1">IFERROR(IF(Q14&lt;&gt;0,ADDRESS(ROW(INDIRECT(Q14)),
    COLUMN(INDIRECT(Q14)) - 1 +
    MATCH(1,INDEX((LEN(INDIRECT("'シフト一覧（転載）'!"&amp;Q14&amp;":AK100"))&gt;0)
            *(INDIRECT("'シフト一覧（転載）'!"&amp;Q14&amp;":AK100")&lt;&gt;"休み"),
            1,0),0)+1,4),0),"")</f>
        <v>0</v>
      </c>
      <c r="T14" s="21">
        <f t="array" aca="1" ref="T14" ca="1">IFERROR(IF(S14&lt;&gt;"",IF(S14&lt;&gt;0,INDEX(
INDIRECT("'シフト一覧（転載）'!"&amp;S14&amp;":AK100"),1,
MATCH(1,INDEX((LEN(INDIRECT("'シフト一覧（転載）'!"&amp;S14&amp;":AK100"))&gt;0)
*(INDIRECT("'シフト一覧（転載）'!"&amp;S14&amp;":AK100")&lt;&gt;"休み"),1,0),0)),0),""),$E$9&amp;"保育無し")</f>
        <v>0</v>
      </c>
      <c r="U14" s="21">
        <f t="array" aca="1" ref="U14" ca="1">IFERROR(IF(S14&lt;&gt;0,ADDRESS(ROW(INDIRECT(S14)),
    COLUMN(INDIRECT(S14)) - 1 +
    MATCH(1,INDEX((LEN(INDIRECT("'シフト一覧（転載）'!"&amp;S14&amp;":AK100"))&gt;0)
            *(INDIRECT("'シフト一覧（転載）'!"&amp;S14&amp;":AK100")&lt;&gt;"休み"),
            1,0),0)+1,4),0),"")</f>
        <v>0</v>
      </c>
      <c r="V14" s="21">
        <f t="array" aca="1" ref="V14" ca="1">IFERROR(IF(U14&lt;&gt;"",IF(U14&lt;&gt;0,INDEX(
INDIRECT("'シフト一覧（転載）'!"&amp;U14&amp;":AK100"),1,
MATCH(1,INDEX((LEN(INDIRECT("'シフト一覧（転載）'!"&amp;U14&amp;":AK100"))&gt;0)
*(INDIRECT("'シフト一覧（転載）'!"&amp;U14&amp;":AK100")&lt;&gt;"休み"),1,0),0)),0),""),$E$9&amp;"保育無し")</f>
        <v>0</v>
      </c>
      <c r="W14" s="21">
        <f t="array" aca="1" ref="W14" ca="1">IFERROR(IF(U14&lt;&gt;0,ADDRESS(ROW(INDIRECT(U14)),
    COLUMN(INDIRECT(U14)) - 1 +
    MATCH(1,INDEX((LEN(INDIRECT("'シフト一覧（転載）'!"&amp;U14&amp;":AK100"))&gt;0)
            *(INDIRECT("'シフト一覧（転載）'!"&amp;U14&amp;":AK100")&lt;&gt;"休み"),
            1,0),0)+1,4),0),"")</f>
        <v>0</v>
      </c>
      <c r="X14" s="21">
        <f t="array" aca="1" ref="X14" ca="1">IFERROR(IF(W14&lt;&gt;"",IF(W14&lt;&gt;0,INDEX(
INDIRECT("'シフト一覧（転載）'!"&amp;W14&amp;":AK100"),1,
MATCH(1,INDEX((LEN(INDIRECT("'シフト一覧（転載）'!"&amp;W14&amp;":AK100"))&gt;0)
*(INDIRECT("'シフト一覧（転載）'!"&amp;W14&amp;":AK100")&lt;&gt;"休み"),1,0),0)),0),""),$E$9&amp;"保育無し")</f>
        <v>0</v>
      </c>
      <c r="Y14" s="21">
        <f t="array" aca="1" ref="Y14" ca="1">IFERROR(IF(W14&lt;&gt;0,ADDRESS(ROW(INDIRECT(W14)),
    COLUMN(INDIRECT(W14)) - 1 +
    MATCH(1,INDEX((LEN(INDIRECT("'シフト一覧（転載）'!"&amp;W14&amp;":AK100"))&gt;0)
            *(INDIRECT("'シフト一覧（転載）'!"&amp;W14&amp;":AK100")&lt;&gt;"休み"),
            1,0),0)+1,4),0),"")</f>
        <v>0</v>
      </c>
      <c r="Z14" s="21">
        <f t="array" aca="1" ref="Z14" ca="1">IFERROR(IF(Y14&lt;&gt;"",IF(Y14&lt;&gt;0,INDEX(
INDIRECT("'シフト一覧（転載）'!"&amp;Y14&amp;":AK100"),1,
MATCH(1,INDEX((LEN(INDIRECT("'シフト一覧（転載）'!"&amp;Y14&amp;":AK100"))&gt;0)
*(INDIRECT("'シフト一覧（転載）'!"&amp;Y14&amp;":AK100")&lt;&gt;"休み"),1,0),0)),0),""),$E$9&amp;"保育無し")</f>
        <v>0</v>
      </c>
      <c r="AA14" s="21">
        <f t="array" aca="1" ref="AA14" ca="1">IFERROR(IF(Y14&lt;&gt;0,ADDRESS(ROW(INDIRECT(Y14)),
    COLUMN(INDIRECT(Y14)) - 1 +
    MATCH(1,INDEX((LEN(INDIRECT("'シフト一覧（転載）'!"&amp;Y14&amp;":AK100"))&gt;0)
            *(INDIRECT("'シフト一覧（転載）'!"&amp;Y14&amp;":AK100")&lt;&gt;"休み"),
            1,0),0)+1,4),0),"")</f>
        <v>0</v>
      </c>
      <c r="AB14" s="21">
        <f t="array" aca="1" ref="AB14" ca="1">IFERROR(IF(AA14&lt;&gt;"",IF(AA14&lt;&gt;0,INDEX(
INDIRECT("'シフト一覧（転載）'!"&amp;AA14&amp;":AK100"),1,
MATCH(1,INDEX((LEN(INDIRECT("'シフト一覧（転載）'!"&amp;AA14&amp;":AK100"))&gt;0)
*(INDIRECT("'シフト一覧（転載）'!"&amp;AA14&amp;":AK100")&lt;&gt;"休み"),1,0),0)),0),""),$E$9&amp;"保育無し")</f>
        <v>0</v>
      </c>
      <c r="AC14" s="21">
        <f t="array" aca="1" ref="AC14" ca="1">IFERROR(IF(AA14&lt;&gt;0,ADDRESS(ROW(INDIRECT(AA14)),
    COLUMN(INDIRECT(AA14)) - 1 +
    MATCH(1,INDEX((LEN(INDIRECT("'シフト一覧（転載）'!"&amp;AA14&amp;":AK100"))&gt;0)
            *(INDIRECT("'シフト一覧（転載）'!"&amp;AA14&amp;":AK100")&lt;&gt;"休み"),
            1,0),0)+1,4),0),"")</f>
        <v>0</v>
      </c>
      <c r="AD14" s="21">
        <f t="array" aca="1" ref="AD14" ca="1">IFERROR(IF(AC14&lt;&gt;"",IF(AC14&lt;&gt;0,INDEX(
INDIRECT("'シフト一覧（転載）'!"&amp;AC14&amp;":AK100"),1,
MATCH(1,INDEX((LEN(INDIRECT("'シフト一覧（転載）'!"&amp;AC14&amp;":AK100"))&gt;0)
*(INDIRECT("'シフト一覧（転載）'!"&amp;AC14&amp;":AK100")&lt;&gt;"休み"),1,0),0)),0),""),$E$9&amp;"保育無し")</f>
        <v>0</v>
      </c>
      <c r="AE14" s="21">
        <f t="array" aca="1" ref="AE14" ca="1">IFERROR(IF(AC14&lt;&gt;0,ADDRESS(ROW(INDIRECT(AC14)),
    COLUMN(INDIRECT(AC14)) - 1 +
    MATCH(1,INDEX((LEN(INDIRECT("'シフト一覧（転載）'!"&amp;AC14&amp;":AK100"))&gt;0)
            *(INDIRECT("'シフト一覧（転載）'!"&amp;AC14&amp;":AK100")&lt;&gt;"休み"),
            1,0),0)+1,4),0),"")</f>
        <v>0</v>
      </c>
      <c r="AF14" s="21">
        <f t="array" aca="1" ref="AF14" ca="1">IFERROR(IF(AE14&lt;&gt;"",IF(AE14&lt;&gt;0,INDEX(
INDIRECT("'シフト一覧（転載）'!"&amp;AE14&amp;":AK100"),1,
MATCH(1,INDEX((LEN(INDIRECT("'シフト一覧（転載）'!"&amp;AE14&amp;":AK100"))&gt;0)
*(INDIRECT("'シフト一覧（転載）'!"&amp;AE14&amp;":AK100")&lt;&gt;"休み"),1,0),0)),0),""),$E$9&amp;"保育無し")</f>
        <v>0</v>
      </c>
      <c r="AG14" s="21">
        <f t="array" aca="1" ref="AG14" ca="1">IFERROR(IF(AE14&lt;&gt;0,ADDRESS(ROW(INDIRECT(AE14)),
    COLUMN(INDIRECT(AE14)) - 1 +
    MATCH(1,INDEX((LEN(INDIRECT("'シフト一覧（転載）'!"&amp;AE14&amp;":AK100"))&gt;0)
            *(INDIRECT("'シフト一覧（転載）'!"&amp;AE14&amp;":AK100")&lt;&gt;"休み"),
            1,0),0)+1,4),0),"")</f>
        <v>0</v>
      </c>
      <c r="AH14" s="21">
        <f t="array" aca="1" ref="AH14" ca="1">IFERROR(IF(AG14&lt;&gt;"",IF(AG14&lt;&gt;0,INDEX(
INDIRECT("'シフト一覧（転載）'!"&amp;AG14&amp;":AK100"),1,
MATCH(1,INDEX((LEN(INDIRECT("'シフト一覧（転載）'!"&amp;AG14&amp;":AK100"))&gt;0)
*(INDIRECT("'シフト一覧（転載）'!"&amp;AG14&amp;":AK100")&lt;&gt;"休み"),1,0),0)),0),""),$E$9&amp;"保育無し")</f>
        <v>0</v>
      </c>
      <c r="AI14" s="21">
        <f t="array" aca="1" ref="AI14" ca="1">IFERROR(IF(AG14&lt;&gt;0,ADDRESS(ROW(INDIRECT(AG14)),
    COLUMN(INDIRECT(AG14)) - 1 +
    MATCH(1,INDEX((LEN(INDIRECT("'シフト一覧（転載）'!"&amp;AG14&amp;":AK100"))&gt;0)
            *(INDIRECT("'シフト一覧（転載）'!"&amp;AG14&amp;":AK100")&lt;&gt;"休み"),
            1,0),0)+1,4),0),"")</f>
        <v>0</v>
      </c>
      <c r="AJ14" s="21">
        <f t="array" aca="1" ref="AJ14" ca="1">IFERROR(IF(AI14&lt;&gt;"",IF(AI14&lt;&gt;0,INDEX(
INDIRECT("'シフト一覧（転載）'!"&amp;AI14&amp;":AK100"),1,
MATCH(1,INDEX((LEN(INDIRECT("'シフト一覧（転載）'!"&amp;AI14&amp;":AK100"))&gt;0)
*(INDIRECT("'シフト一覧（転載）'!"&amp;AI14&amp;":AK100")&lt;&gt;"休み"),1,0),0)),0),""),$E$9&amp;"保育無し")</f>
        <v>0</v>
      </c>
      <c r="AK14" s="21">
        <f t="array" aca="1" ref="AK14" ca="1">IFERROR(IF(AI14&lt;&gt;0,ADDRESS(ROW(INDIRECT(AI14)),
    COLUMN(INDIRECT(AI14)) - 1 +
    MATCH(1,INDEX((LEN(INDIRECT("'シフト一覧（転載）'!"&amp;AI14&amp;":AK100"))&gt;0)
            *(INDIRECT("'シフト一覧（転載）'!"&amp;AI14&amp;":AK100")&lt;&gt;"休み"),
            1,0),0)+1,4),0),"")</f>
        <v>0</v>
      </c>
      <c r="AL14" s="21">
        <f t="array" aca="1" ref="AL14" ca="1">IFERROR(IF(AK14&lt;&gt;"",IF(AK14&lt;&gt;0,INDEX(
INDIRECT("'シフト一覧（転載）'!"&amp;AK14&amp;":AK100"),1,
MATCH(1,INDEX((LEN(INDIRECT("'シフト一覧（転載）'!"&amp;AK14&amp;":AK100"))&gt;0)
*(INDIRECT("'シフト一覧（転載）'!"&amp;AK14&amp;":AK100")&lt;&gt;"休み"),1,0),0)),0),""),$E$9&amp;"保育無し")</f>
        <v>0</v>
      </c>
      <c r="AM14" s="21">
        <f t="array" aca="1" ref="AM14" ca="1">IFERROR(IF(AK14&lt;&gt;0,ADDRESS(ROW(INDIRECT(AK14)),
    COLUMN(INDIRECT(AK14)) - 1 +
    MATCH(1,INDEX((LEN(INDIRECT("'シフト一覧（転載）'!"&amp;AK14&amp;":AK100"))&gt;0)
            *(INDIRECT("'シフト一覧（転載）'!"&amp;AK14&amp;":AK100")&lt;&gt;"休み"),
            1,0),0)+1,4),0),"")</f>
        <v>0</v>
      </c>
      <c r="AN14" s="21">
        <f t="array" aca="1" ref="AN14" ca="1">IFERROR(IF(AM14&lt;&gt;"",IF(AM14&lt;&gt;0,INDEX(
INDIRECT("'シフト一覧（転載）'!"&amp;AM14&amp;":AK100"),1,
MATCH(1,INDEX((LEN(INDIRECT("'シフト一覧（転載）'!"&amp;AM14&amp;":AK100"))&gt;0)
*(INDIRECT("'シフト一覧（転載）'!"&amp;AM14&amp;":AK100")&lt;&gt;"休み"),1,0),0)),0),""),$E$9&amp;"保育無し")</f>
        <v>0</v>
      </c>
      <c r="AO14" s="21">
        <f t="array" aca="1" ref="AO14" ca="1">IFERROR(IF(AM14&lt;&gt;0,ADDRESS(ROW(INDIRECT(AM14)),
    COLUMN(INDIRECT(AM14)) - 1 +
    MATCH(1,INDEX((LEN(INDIRECT("'シフト一覧（転載）'!"&amp;AM14&amp;":AK100"))&gt;0)
            *(INDIRECT("'シフト一覧（転載）'!"&amp;AM14&amp;":AK100")&lt;&gt;"休み"),
            1,0),0)+1,4),0),"")</f>
        <v>0</v>
      </c>
      <c r="AP14" s="21">
        <f t="array" aca="1" ref="AP14" ca="1">IFERROR(IF(AO14&lt;&gt;"",IF(AO14&lt;&gt;0,INDEX(
INDIRECT("'シフト一覧（転載）'!"&amp;AO14&amp;":AK100"),1,
MATCH(1,INDEX((LEN(INDIRECT("'シフト一覧（転載）'!"&amp;AO14&amp;":AK100"))&gt;0)
*(INDIRECT("'シフト一覧（転載）'!"&amp;AO14&amp;":AK100")&lt;&gt;"休み"),1,0),0)),0),""),$E$9&amp;"保育無し")</f>
        <v>0</v>
      </c>
      <c r="AQ14" s="21">
        <f t="array" aca="1" ref="AQ14" ca="1">IFERROR(IF(AO14&lt;&gt;0,ADDRESS(ROW(INDIRECT(AO14)),
    COLUMN(INDIRECT(AO14)) - 1 +
    MATCH(1,INDEX((LEN(INDIRECT("'シフト一覧（転載）'!"&amp;AO14&amp;":AK100"))&gt;0)
            *(INDIRECT("'シフト一覧（転載）'!"&amp;AO14&amp;":AK100")&lt;&gt;"休み"),
            1,0),0)+1,4),0),"")</f>
        <v>0</v>
      </c>
      <c r="AR14" s="21">
        <f t="array" aca="1" ref="AR14" ca="1">IFERROR(IF(AQ14&lt;&gt;"",IF(AQ14&lt;&gt;0,INDEX(
INDIRECT("'シフト一覧（転載）'!"&amp;AQ14&amp;":AK100"),1,
MATCH(1,INDEX((LEN(INDIRECT("'シフト一覧（転載）'!"&amp;AQ14&amp;":AK100"))&gt;0)
*(INDIRECT("'シフト一覧（転載）'!"&amp;AQ14&amp;":AK100")&lt;&gt;"休み"),1,0),0)),0),""),$E$9&amp;"保育無し")</f>
        <v>0</v>
      </c>
      <c r="AS14" s="21">
        <f t="array" aca="1" ref="AS14" ca="1">IFERROR(IF(AQ14&lt;&gt;0,ADDRESS(ROW(INDIRECT(AQ14)),
    COLUMN(INDIRECT(AQ14)) - 1 +
    MATCH(1,INDEX((LEN(INDIRECT("'シフト一覧（転載）'!"&amp;AQ14&amp;":AK100"))&gt;0)
            *(INDIRECT("'シフト一覧（転載）'!"&amp;AQ14&amp;":AK100")&lt;&gt;"休み"),
            1,0),0)+1,4),0),"")</f>
        <v>0</v>
      </c>
      <c r="AT14" s="21">
        <f t="array" aca="1" ref="AT14" ca="1">IFERROR(IF(AS14&lt;&gt;"",IF(AS14&lt;&gt;0,INDEX(
INDIRECT("'シフト一覧（転載）'!"&amp;AS14&amp;":AK100"),1,
MATCH(1,INDEX((LEN(INDIRECT("'シフト一覧（転載）'!"&amp;AS14&amp;":AK100"))&gt;0)
*(INDIRECT("'シフト一覧（転載）'!"&amp;AS14&amp;":AK100")&lt;&gt;"休み"),1,0),0)),0),""),$E$9&amp;"保育無し")</f>
        <v>0</v>
      </c>
      <c r="AU14" s="21">
        <f t="array" aca="1" ref="AU14" ca="1">IFERROR(IF(AS14&lt;&gt;0,ADDRESS(ROW(INDIRECT(AS14)),
    COLUMN(INDIRECT(AS14)) - 1 +
    MATCH(1,INDEX((LEN(INDIRECT("'シフト一覧（転載）'!"&amp;AS14&amp;":AK100"))&gt;0)
            *(INDIRECT("'シフト一覧（転載）'!"&amp;AS14&amp;":AK100")&lt;&gt;"休み"),
            1,0),0)+1,4),0),"")</f>
        <v>0</v>
      </c>
      <c r="AV14" s="21">
        <f t="array" aca="1" ref="AV14" ca="1">IFERROR(IF(AU14&lt;&gt;"",IF(AU14&lt;&gt;0,INDEX(
INDIRECT("'シフト一覧（転載）'!"&amp;AU14&amp;":AK100"),1,
MATCH(1,INDEX((LEN(INDIRECT("'シフト一覧（転載）'!"&amp;AU14&amp;":AK100"))&gt;0)
*(INDIRECT("'シフト一覧（転載）'!"&amp;AU14&amp;":AK100")&lt;&gt;"休み"),1,0),0)),0),""),$E$9&amp;"保育無し")</f>
        <v>0</v>
      </c>
      <c r="AW14" s="21">
        <f t="array" aca="1" ref="AW14" ca="1">IFERROR(IF(AU14&lt;&gt;0,ADDRESS(ROW(INDIRECT(AU14)),
    COLUMN(INDIRECT(AU14)) - 1 +
    MATCH(1,INDEX((LEN(INDIRECT("'シフト一覧（転載）'!"&amp;AU14&amp;":AK100"))&gt;0)
            *(INDIRECT("'シフト一覧（転載）'!"&amp;AU14&amp;":AK100")&lt;&gt;"休み"),
            1,0),0)+1,4),0),"")</f>
        <v>0</v>
      </c>
      <c r="AX14" s="21">
        <f t="array" aca="1" ref="AX14" ca="1">IFERROR(IF(AW14&lt;&gt;"",IF(AW14&lt;&gt;0,INDEX(
INDIRECT("'シフト一覧（転載）'!"&amp;AW14&amp;":AK100"),1,
MATCH(1,INDEX((LEN(INDIRECT("'シフト一覧（転載）'!"&amp;AW14&amp;":AK100"))&gt;0)
*(INDIRECT("'シフト一覧（転載）'!"&amp;AW14&amp;":AK100")&lt;&gt;"休み"),1,0),0)),0),""),$E$9&amp;"保育無し")</f>
        <v>0</v>
      </c>
      <c r="AY14" s="21">
        <f t="array" aca="1" ref="AY14" ca="1">IFERROR(IF(AW14&lt;&gt;0,ADDRESS(ROW(INDIRECT(AW14)),
    COLUMN(INDIRECT(AW14)) - 1 +
    MATCH(1,INDEX((LEN(INDIRECT("'シフト一覧（転載）'!"&amp;AW14&amp;":AK100"))&gt;0)
            *(INDIRECT("'シフト一覧（転載）'!"&amp;AW14&amp;":AK100")&lt;&gt;"休み"),
            1,0),0)+1,4),0),"")</f>
        <v>0</v>
      </c>
      <c r="AZ14" s="21">
        <f t="array" aca="1" ref="AZ14" ca="1">IFERROR(IF(AY14&lt;&gt;"",IF(AY14&lt;&gt;0,INDEX(
INDIRECT("'シフト一覧（転載）'!"&amp;AY14&amp;":AK100"),1,
MATCH(1,INDEX((LEN(INDIRECT("'シフト一覧（転載）'!"&amp;AY14&amp;":AK100"))&gt;0)
*(INDIRECT("'シフト一覧（転載）'!"&amp;AY14&amp;":AK100")&lt;&gt;"休み"),1,0),0)),0),""),$E$9&amp;"保育無し")</f>
        <v>0</v>
      </c>
      <c r="BA14" s="21">
        <f t="array" aca="1" ref="BA14" ca="1">IFERROR(IF(AY14&lt;&gt;0,ADDRESS(ROW(INDIRECT(AY14)),
    COLUMN(INDIRECT(AY14)) - 1 +
    MATCH(1,INDEX((LEN(INDIRECT("'シフト一覧（転載）'!"&amp;AY14&amp;":AK100"))&gt;0)
            *(INDIRECT("'シフト一覧（転載）'!"&amp;AY14&amp;":AK100")&lt;&gt;"休み"),
            1,0),0)+1,4),0),"")</f>
        <v>0</v>
      </c>
      <c r="BB14" s="21">
        <f t="array" aca="1" ref="BB14" ca="1">IFERROR(IF(BA14&lt;&gt;"",IF(BA14&lt;&gt;0,INDEX(
INDIRECT("'シフト一覧（転載）'!"&amp;BA14&amp;":AK100"),1,
MATCH(1,INDEX((LEN(INDIRECT("'シフト一覧（転載）'!"&amp;BA14&amp;":AK100"))&gt;0)
*(INDIRECT("'シフト一覧（転載）'!"&amp;BA14&amp;":AK100")&lt;&gt;"休み"),1,0),0)),0),""),$E$9&amp;"保育無し")</f>
        <v>0</v>
      </c>
      <c r="BC14" s="21">
        <f t="array" aca="1" ref="BC14" ca="1">IFERROR(IF(BA14&lt;&gt;0,ADDRESS(ROW(INDIRECT(BA14)),
    COLUMN(INDIRECT(BA14)) - 1 +
    MATCH(1,INDEX((LEN(INDIRECT("'シフト一覧（転載）'!"&amp;BA14&amp;":AK100"))&gt;0)
            *(INDIRECT("'シフト一覧（転載）'!"&amp;BA14&amp;":AK100")&lt;&gt;"休み"),
            1,0),0)+1,4),0),"")</f>
        <v>0</v>
      </c>
      <c r="BD14" s="21">
        <f t="array" aca="1" ref="BD14" ca="1">IFERROR(IF(BC14&lt;&gt;"",IF(BC14&lt;&gt;0,INDEX(
INDIRECT("'シフト一覧（転載）'!"&amp;BC14&amp;":AK100"),1,
MATCH(1,INDEX((LEN(INDIRECT("'シフト一覧（転載）'!"&amp;BC14&amp;":AK100"))&gt;0)
*(INDIRECT("'シフト一覧（転載）'!"&amp;BC14&amp;":AK100")&lt;&gt;"休み"),1,0),0)),0),""),$E$9&amp;"保育無し")</f>
        <v>0</v>
      </c>
      <c r="BE14" s="21">
        <f t="array" aca="1" ref="BE14" ca="1">IFERROR(IF(BC14&lt;&gt;0,ADDRESS(ROW(INDIRECT(BC14)),
    COLUMN(INDIRECT(BC14)) - 1 +
    MATCH(1,INDEX((LEN(INDIRECT("'シフト一覧（転載）'!"&amp;BC14&amp;":AK100"))&gt;0)
            *(INDIRECT("'シフト一覧（転載）'!"&amp;BC14&amp;":AK100")&lt;&gt;"休み"),
            1,0),0)+1,4),0),"")</f>
        <v>0</v>
      </c>
      <c r="BF14" s="21">
        <f t="array" aca="1" ref="BF14" ca="1">IFERROR(IF(BE14&lt;&gt;"",IF(BE14&lt;&gt;0,INDEX(
INDIRECT("'シフト一覧（転載）'!"&amp;BE14&amp;":AK100"),1,
MATCH(1,INDEX((LEN(INDIRECT("'シフト一覧（転載）'!"&amp;BE14&amp;":AK100"))&gt;0)
*(INDIRECT("'シフト一覧（転載）'!"&amp;BE14&amp;":AK100")&lt;&gt;"休み"),1,0),0)),0),""),$E$9&amp;"保育無し")</f>
        <v>0</v>
      </c>
      <c r="BG14" s="21">
        <f t="array" aca="1" ref="BG14" ca="1">IFERROR(IF(BE14&lt;&gt;0,ADDRESS(ROW(INDIRECT(BE14)),
    COLUMN(INDIRECT(BE14)) - 1 +
    MATCH(1,INDEX((LEN(INDIRECT("'シフト一覧（転載）'!"&amp;BE14&amp;":AK100"))&gt;0)
            *(INDIRECT("'シフト一覧（転載）'!"&amp;BE14&amp;":AK100")&lt;&gt;"休み"),
            1,0),0)+1,4),0),"")</f>
        <v>0</v>
      </c>
      <c r="BH14" s="21">
        <f t="array" aca="1" ref="BH14" ca="1">IFERROR(IF(BG14&lt;&gt;"",IF(BG14&lt;&gt;0,INDEX(
INDIRECT("'シフト一覧（転載）'!"&amp;BG14&amp;":AK100"),1,
MATCH(1,INDEX((LEN(INDIRECT("'シフト一覧（転載）'!"&amp;BG14&amp;":AK100"))&gt;0)
*(INDIRECT("'シフト一覧（転載）'!"&amp;BG14&amp;":AK100")&lt;&gt;"休み"),1,0),0)),0),""),$E$9&amp;"保育無し")</f>
        <v>0</v>
      </c>
      <c r="BI14" s="21">
        <f t="array" aca="1" ref="BI14" ca="1">IFERROR(IF(BG14&lt;&gt;0,ADDRESS(ROW(INDIRECT(BG14)),
    COLUMN(INDIRECT(BG14)) - 1 +
    MATCH(1,INDEX((LEN(INDIRECT("'シフト一覧（転載）'!"&amp;BG14&amp;":AK100"))&gt;0)
            *(INDIRECT("'シフト一覧（転載）'!"&amp;BG14&amp;":AK100")&lt;&gt;"休み"),
            1,0),0)+1,4),0),"")</f>
        <v>0</v>
      </c>
      <c r="BJ14" s="21">
        <f t="array" aca="1" ref="BJ14" ca="1">IFERROR(IF(BI14&lt;&gt;"",IF(BI14&lt;&gt;0,INDEX(
INDIRECT("'シフト一覧（転載）'!"&amp;BI14&amp;":AK100"),1,
MATCH(1,INDEX((LEN(INDIRECT("'シフト一覧（転載）'!"&amp;BI14&amp;":AK100"))&gt;0)
*(INDIRECT("'シフト一覧（転載）'!"&amp;BI14&amp;":AK100")&lt;&gt;"休み"),1,0),0)),0),""),$E$9&amp;"保育無し")</f>
        <v>0</v>
      </c>
      <c r="BK14" s="21">
        <f t="array" aca="1" ref="BK14" ca="1">IFERROR(IF(BI14&lt;&gt;0,ADDRESS(ROW(INDIRECT(BI14)),
    COLUMN(INDIRECT(BI14)) - 1 +
    MATCH(1,INDEX((LEN(INDIRECT("'シフト一覧（転載）'!"&amp;BI14&amp;":AK100"))&gt;0)
            *(INDIRECT("'シフト一覧（転載）'!"&amp;BI14&amp;":AK100")&lt;&gt;"休み"),
            1,0),0)+1,4),0),"")</f>
        <v>0</v>
      </c>
      <c r="BL14" s="21">
        <f t="array" aca="1" ref="BL14" ca="1">IFERROR(IF(BK14&lt;&gt;"",IF(BK14&lt;&gt;0,INDEX(
INDIRECT("'シフト一覧（転載）'!"&amp;BK14&amp;":AK100"),1,
MATCH(1,INDEX((LEN(INDIRECT("'シフト一覧（転載）'!"&amp;BK14&amp;":AK100"))&gt;0)
*(INDIRECT("'シフト一覧（転載）'!"&amp;BK14&amp;":AK100")&lt;&gt;"休み"),1,0),0)),0),""),$E$9&amp;"保育無し")</f>
        <v>0</v>
      </c>
      <c r="BM14" s="21">
        <f t="array" aca="1" ref="BM14" ca="1">IFERROR(IF(BK14&lt;&gt;0,ADDRESS(ROW(INDIRECT(BK14)),
    COLUMN(INDIRECT(BK14)) - 1 +
    MATCH(1,INDEX((LEN(INDIRECT("'シフト一覧（転載）'!"&amp;BK14&amp;":AK100"))&gt;0)
            *(INDIRECT("'シフト一覧（転載）'!"&amp;BK14&amp;":AK100")&lt;&gt;"休み"),
            1,0),0)+1,4),0),"")</f>
        <v>0</v>
      </c>
      <c r="BN14" s="21">
        <f t="array" aca="1" ref="BN14" ca="1">IFERROR(IF(BM14&lt;&gt;"",IF(BM14&lt;&gt;0,INDEX(
INDIRECT("'シフト一覧（転載）'!"&amp;BM14&amp;":AK100"),1,
MATCH(1,INDEX((LEN(INDIRECT("'シフト一覧（転載）'!"&amp;BM14&amp;":AK100"))&gt;0)
*(INDIRECT("'シフト一覧（転載）'!"&amp;BM14&amp;":AK100")&lt;&gt;"休み"),1,0),0)),0),""),$E$9&amp;"保育無し")</f>
        <v>0</v>
      </c>
      <c r="BO14" s="21">
        <f t="array" aca="1" ref="BO14" ca="1">IFERROR(IF(BM14&lt;&gt;0,ADDRESS(ROW(INDIRECT(BM14)),
    COLUMN(INDIRECT(BM14)) - 1 +
    MATCH(1,INDEX((LEN(INDIRECT("'シフト一覧（転載）'!"&amp;BM14&amp;":AK100"))&gt;0)
            *(INDIRECT("'シフト一覧（転載）'!"&amp;BM14&amp;":AK100")&lt;&gt;"休み"),
            1,0),0)+1,4),0),"")</f>
        <v>0</v>
      </c>
      <c r="BP14" s="21">
        <f t="array" aca="1" ref="BP14" ca="1">IFERROR(IF(BO14&lt;&gt;"",IF(BO14&lt;&gt;0,INDEX(
INDIRECT("'シフト一覧（転載）'!"&amp;BO14&amp;":AK100"),1,
MATCH(1,INDEX((LEN(INDIRECT("'シフト一覧（転載）'!"&amp;BO14&amp;":AK100"))&gt;0)
*(INDIRECT("'シフト一覧（転載）'!"&amp;BO14&amp;":AK100")&lt;&gt;"休み"),1,0),0)),0),""),$E$9&amp;"保育無し")</f>
        <v>0</v>
      </c>
      <c r="BQ14" s="21">
        <f t="array" aca="1" ref="BQ14" ca="1">IFERROR(IF(BO14&lt;&gt;0,ADDRESS(ROW(INDIRECT(BO14)),
    COLUMN(INDIRECT(BO14)) - 1 +
    MATCH(1,INDEX((LEN(INDIRECT("'シフト一覧（転載）'!"&amp;BO14&amp;":AK100"))&gt;0)
            *(INDIRECT("'シフト一覧（転載）'!"&amp;BO14&amp;":AK100")&lt;&gt;"休み"),
            1,0),0)+1,4),0),"")</f>
        <v>0</v>
      </c>
      <c r="BR14" s="21">
        <f t="array" aca="1" ref="BR14" ca="1">IFERROR(IF(BQ14&lt;&gt;"",IF(BQ14&lt;&gt;0,INDEX(
INDIRECT("'シフト一覧（転載）'!"&amp;BQ14&amp;":AK100"),1,
MATCH(1,INDEX((LEN(INDIRECT("'シフト一覧（転載）'!"&amp;BQ14&amp;":AK100"))&gt;0)
*(INDIRECT("'シフト一覧（転載）'!"&amp;BQ14&amp;":AK100")&lt;&gt;"休み"),1,0),0)),0),""),$E$9&amp;"保育無し")</f>
        <v>0</v>
      </c>
      <c r="BS14" s="21">
        <f t="array" aca="1" ref="BS14" ca="1">IFERROR(IF(BQ14&lt;&gt;0,ADDRESS(ROW(INDIRECT(BQ14)),
    COLUMN(INDIRECT(BQ14)) - 1 +
    MATCH(1,INDEX((LEN(INDIRECT("'シフト一覧（転載）'!"&amp;BQ14&amp;":AK100"))&gt;0)
            *(INDIRECT("'シフト一覧（転載）'!"&amp;BQ14&amp;":AK100")&lt;&gt;"休み"),
            1,0),0)+1,4),0),"")</f>
        <v>0</v>
      </c>
      <c r="BT14" s="21">
        <f t="array" aca="1" ref="BT14" ca="1">IFERROR(IF(BS14&lt;&gt;"",IF(BS14&lt;&gt;0,INDEX(
INDIRECT("'シフト一覧（転載）'!"&amp;BS14&amp;":AK100"),1,
MATCH(1,INDEX((LEN(INDIRECT("'シフト一覧（転載）'!"&amp;BS14&amp;":AK100"))&gt;0)
*(INDIRECT("'シフト一覧（転載）'!"&amp;BS14&amp;":AK100")&lt;&gt;"休み"),1,0),0)),0),""),$E$9&amp;"保育無し")</f>
        <v>0</v>
      </c>
      <c r="BU14" s="21">
        <f t="array" aca="1" ref="BU14" ca="1">IFERROR(IF(BS14&lt;&gt;0,ADDRESS(ROW(INDIRECT(BS14)),
    COLUMN(INDIRECT(BS14)) - 1 +
    MATCH(1,INDEX((LEN(INDIRECT("'シフト一覧（転載）'!"&amp;BS14&amp;":AK100"))&gt;0)
            *(INDIRECT("'シフト一覧（転載）'!"&amp;BS14&amp;":AK100")&lt;&gt;"休み"),
            1,0),0)+1,4),0),"")</f>
        <v>0</v>
      </c>
      <c r="BV14" s="21">
        <f t="array" aca="1" ref="BV14" ca="1">IFERROR(IF(BU14&lt;&gt;"",IF(BU14&lt;&gt;0,INDEX(
INDIRECT("'シフト一覧（転載）'!"&amp;BU14&amp;":AK100"),1,
MATCH(1,INDEX((LEN(INDIRECT("'シフト一覧（転載）'!"&amp;BU14&amp;":AK100"))&gt;0)
*(INDIRECT("'シフト一覧（転載）'!"&amp;BU14&amp;":AK100")&lt;&gt;"休み"),1,0),0)),0),""),$E$9&amp;"保育無し")</f>
        <v>0</v>
      </c>
      <c r="BW14" s="21">
        <f t="array" aca="1" ref="BW14" ca="1">IFERROR(IF(BU14&lt;&gt;0,ADDRESS(ROW(INDIRECT(BU14)),
    COLUMN(INDIRECT(BU14)) - 1 +
    MATCH(1,INDEX((LEN(INDIRECT("'シフト一覧（転載）'!"&amp;BU14&amp;":AK100"))&gt;0)
            *(INDIRECT("'シフト一覧（転載）'!"&amp;BU14&amp;":AK100")&lt;&gt;"休み"),
            1,0),0)+1,4),0),"")</f>
        <v>0</v>
      </c>
      <c r="BX14" s="21">
        <f t="array" aca="1" ref="BX14" ca="1">IFERROR(IF(BW14&lt;&gt;"",IF(BW14&lt;&gt;0,INDEX(
INDIRECT("'シフト一覧（転載）'!"&amp;BW14&amp;":AK100"),1,
MATCH(1,INDEX((LEN(INDIRECT("'シフト一覧（転載）'!"&amp;BW14&amp;":AK100"))&gt;0)
*(INDIRECT("'シフト一覧（転載）'!"&amp;BW14&amp;":AK100")&lt;&gt;"休み"),1,0),0)),0),""),$E$9&amp;"保育無し")</f>
        <v>0</v>
      </c>
      <c r="BY14" s="21">
        <f t="array" aca="1" ref="BY14" ca="1">IFERROR(IF(BW14&lt;&gt;0,ADDRESS(ROW(INDIRECT(BW14)),
    COLUMN(INDIRECT(BW14)) - 1 +
    MATCH(1,INDEX((LEN(INDIRECT("'シフト一覧（転載）'!"&amp;BW14&amp;":AK100"))&gt;0)
            *(INDIRECT("'シフト一覧（転載）'!"&amp;BW14&amp;":AK100")&lt;&gt;"休み"),
            1,0),0)+1,4),0),"")</f>
        <v>0</v>
      </c>
    </row>
    <row r="15" spans="1:77" ht="19.2" customHeight="1" x14ac:dyDescent="0.2">
      <c r="A15" s="46">
        <f t="shared" si="4"/>
        <v>0</v>
      </c>
      <c r="B15" s="64">
        <f t="array" aca="1" ref="B15" ca="1">IFERROR(IF(INDIRECT("'Page_" &amp; A15 &amp; "'!Q3")&lt;&gt;"",INDIRECT("'Page_" &amp; A15 &amp; "'!Q3"),INDIRECT("'Page_" &amp; A15 &amp; "'!P3")),0)</f>
        <v>0</v>
      </c>
      <c r="C15" s="42">
        <f t="shared" ca="1" si="0"/>
        <v>0</v>
      </c>
      <c r="D15" s="31">
        <f t="shared" ca="1" si="1"/>
        <v>0</v>
      </c>
      <c r="E15" s="28">
        <f t="shared" ca="1" si="2"/>
        <v>0</v>
      </c>
      <c r="F15" s="69" t="str">
        <f t="array" aca="1" ref="F15" ca="1">IFERROR(INDEX('シフト一覧（転載）'!$C$8:$C$100,
MATCH(1, (ISNUMBER(SEARCH(I15,'シフト一覧（転載）'!$A$8:$A$100)))
*(ISNUMBER(SEARCH($E$9,'シフト一覧（転載）'!$B$8:$B$100))), 0)),"")</f>
        <v/>
      </c>
      <c r="G15" s="60">
        <f t="shared" ca="1" si="3"/>
        <v>0</v>
      </c>
      <c r="H15" s="28">
        <f t="array" aca="1" ref="H15" ca="1">IFERROR(SUM(INDIRECT("'Page_" &amp; A15 &amp; "'!K"&amp;MATCH("有休",INDIRECT("'Page_" &amp; A15 &amp; "'!K:K"),0)+2&amp;"")
+INDIRECT("'Page_" &amp; A15 &amp; "'!L"&amp;MATCH("特休",INDIRECT("'Page_" &amp; A15 &amp; "'!L:L"),0)+2&amp;""))*24,0)</f>
        <v>0</v>
      </c>
      <c r="I15" s="51">
        <f t="array" aca="1" ref="I15" ca="1">IFERROR(_xlfn.TEXTJOIN("", TRUE, IF(ISERR(MID(INDIRECT("'Page_" &amp; A15 &amp; "'!C2"), ROW(INDIRECT("1:" &amp; LEN(INDIRECT("'Page_" &amp; A15 &amp; "'!C2")))), 1)*1), MID(INDIRECT("'Page_" &amp; A15 &amp; "'!C2"), ROW(INDIRECT("1:" &amp; LEN(INDIRECT("'Page_" &amp; A15 &amp; "'!C2")))), 1), "")),0)</f>
        <v>0</v>
      </c>
      <c r="J15" s="52">
        <f t="array" aca="1" ref="J15" ca="1">IFERROR(IF(INDIRECT("'Page_" &amp; A15 &amp; "'!E2")&lt;&gt;"",INDIRECT("'Page_" &amp; A15 &amp; "'!E2"),INDIRECT("'Page_" &amp; A15 &amp; "'!D2")),0)</f>
        <v>0</v>
      </c>
      <c r="K15" s="65"/>
      <c r="M15" s="93"/>
      <c r="N15" s="91"/>
      <c r="O15" s="95"/>
      <c r="P15" s="22">
        <f t="array" aca="1" ref="P15" ca="1">IFERROR(IF(M14&lt;&gt;"",INDEX('シフト一覧（転載）'!$F$8:$AK$100,
    MATCH(1,(ISNUMBER(SEARCH(M14,'シフト一覧（転載）'!$A$8:$A$100)))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MATCH(1,(ISNUMBER(SEARCH(M14,'シフト一覧（転載）'!$A$8:$A$100)))
                *(ISNUMBER(SEARCH($E$9,'シフト一覧（転載）'!$B$8:$B$100))),
                0),0),0)),0),"")</f>
        <v>0</v>
      </c>
      <c r="Q15" s="22">
        <f ca="1">IF(P14=0,0,
IF(OR(P14="",COUNTIF(P14,"*保育無し*")),"",
IF(MOD(P15-P14,1)*24&gt;=8,1,
IF(MOD(P15-P14,1)*24&gt;=6,0.75,0))))</f>
        <v>0</v>
      </c>
      <c r="R15" s="22">
        <f t="array" aca="1" ref="R15" ca="1">IFERROR(IF(Q14&lt;&gt;0,INDEX(
INDIRECT("'シフト一覧（転載）'!"&amp;Q14&amp;":AK100"),1+1,
MATCH(1,INDEX((LEN(INDIRECT("'シフト一覧（転載）'!"&amp;Q14&amp;":AK100"))&gt;0)
*(INDIRECT("'シフト一覧（転載）'!"&amp;Q14&amp;":AK100")&lt;&gt;"休み"),1,0),0)),0),"")</f>
        <v>0</v>
      </c>
      <c r="S15" s="22">
        <f ca="1">IF(R14=0,0,
IF(OR(R14="",COUNTIF(R14,"*保育無し*")),"",
IF(MOD(R15-R14,1)*24&gt;=8,1,
IF(MOD(R15-R14,1)*24&gt;=6,0.75,0))))</f>
        <v>0</v>
      </c>
      <c r="T15" s="22">
        <f t="array" aca="1" ref="T15" ca="1">IFERROR(IF(S14&lt;&gt;0,INDEX(
INDIRECT("'シフト一覧（転載）'!"&amp;S14&amp;":AK100"),1+1,
MATCH(1,INDEX((LEN(INDIRECT("'シフト一覧（転載）'!"&amp;S14&amp;":AK100"))&gt;0)
*(INDIRECT("'シフト一覧（転載）'!"&amp;S14&amp;":AK100")&lt;&gt;"休み"),1,0),0)),0),"")</f>
        <v>0</v>
      </c>
      <c r="U15" s="22">
        <f ca="1">IF(T14=0,0,
IF(OR(T14="",COUNTIF(T14,"*保育無し*")),"",
IF(MOD(T15-T14,1)*24&gt;=8,1,
IF(MOD(T15-T14,1)*24&gt;=6,0.75,0))))</f>
        <v>0</v>
      </c>
      <c r="V15" s="22">
        <f t="array" aca="1" ref="V15" ca="1">IFERROR(IF(U14&lt;&gt;0,INDEX(
INDIRECT("'シフト一覧（転載）'!"&amp;U14&amp;":AK100"),1+1,
MATCH(1,INDEX((LEN(INDIRECT("'シフト一覧（転載）'!"&amp;U14&amp;":AK100"))&gt;0)
*(INDIRECT("'シフト一覧（転載）'!"&amp;U14&amp;":AK100")&lt;&gt;"休み"),1,0),0)),0),"")</f>
        <v>0</v>
      </c>
      <c r="W15" s="22">
        <f ca="1">IF(V14=0,0,
IF(OR(V14="",COUNTIF(V14,"*保育無し*")),"",
IF(MOD(V15-V14,1)*24&gt;=8,1,
IF(MOD(V15-V14,1)*24&gt;=6,0.75,0))))</f>
        <v>0</v>
      </c>
      <c r="X15" s="22">
        <f t="array" aca="1" ref="X15" ca="1">IFERROR(IF(W14&lt;&gt;0,INDEX(
INDIRECT("'シフト一覧（転載）'!"&amp;W14&amp;":AK100"),1+1,
MATCH(1,INDEX((LEN(INDIRECT("'シフト一覧（転載）'!"&amp;W14&amp;":AK100"))&gt;0)
*(INDIRECT("'シフト一覧（転載）'!"&amp;W14&amp;":AK100")&lt;&gt;"休み"),1,0),0)),0),"")</f>
        <v>0</v>
      </c>
      <c r="Y15" s="22">
        <f ca="1">IF(X14=0,0,
IF(OR(X14="",COUNTIF(X14,"*保育無し*")),"",
IF(MOD(X15-X14,1)*24&gt;=8,1,
IF(MOD(X15-X14,1)*24&gt;=6,0.75,0))))</f>
        <v>0</v>
      </c>
      <c r="Z15" s="22">
        <f t="array" aca="1" ref="Z15" ca="1">IFERROR(IF(Y14&lt;&gt;0,INDEX(
INDIRECT("'シフト一覧（転載）'!"&amp;Y14&amp;":AK100"),1+1,
MATCH(1,INDEX((LEN(INDIRECT("'シフト一覧（転載）'!"&amp;Y14&amp;":AK100"))&gt;0)
*(INDIRECT("'シフト一覧（転載）'!"&amp;Y14&amp;":AK100")&lt;&gt;"休み"),1,0),0)),0),"")</f>
        <v>0</v>
      </c>
      <c r="AA15" s="22">
        <f ca="1">IF(Z14=0,0,
IF(OR(Z14="",COUNTIF(Z14,"*保育無し*")),"",
IF(MOD(Z15-Z14,1)*24&gt;=8,1,
IF(MOD(Z15-Z14,1)*24&gt;=6,0.75,0))))</f>
        <v>0</v>
      </c>
      <c r="AB15" s="22">
        <f t="array" aca="1" ref="AB15" ca="1">IFERROR(IF(AA14&lt;&gt;0,INDEX(
INDIRECT("'シフト一覧（転載）'!"&amp;AA14&amp;":AK100"),1+1,
MATCH(1,INDEX((LEN(INDIRECT("'シフト一覧（転載）'!"&amp;AA14&amp;":AK100"))&gt;0)
*(INDIRECT("'シフト一覧（転載）'!"&amp;AA14&amp;":AK100")&lt;&gt;"休み"),1,0),0)),0),"")</f>
        <v>0</v>
      </c>
      <c r="AC15" s="22">
        <f ca="1">IF(AB14=0,0,
IF(OR(AB14="",COUNTIF(AB14,"*保育無し*")),"",
IF(MOD(AB15-AB14,1)*24&gt;=8,1,
IF(MOD(AB15-AB14,1)*24&gt;=6,0.75,0))))</f>
        <v>0</v>
      </c>
      <c r="AD15" s="22">
        <f t="array" aca="1" ref="AD15" ca="1">IFERROR(IF(AC14&lt;&gt;0,INDEX(
INDIRECT("'シフト一覧（転載）'!"&amp;AC14&amp;":AK100"),1+1,
MATCH(1,INDEX((LEN(INDIRECT("'シフト一覧（転載）'!"&amp;AC14&amp;":AK100"))&gt;0)
*(INDIRECT("'シフト一覧（転載）'!"&amp;AC14&amp;":AK100")&lt;&gt;"休み"),1,0),0)),0),"")</f>
        <v>0</v>
      </c>
      <c r="AE15" s="22">
        <f ca="1">IF(AD14=0,0,
IF(OR(AD14="",COUNTIF(AD14,"*保育無し*")),"",
IF(MOD(AD15-AD14,1)*24&gt;=8,1,
IF(MOD(AD15-AD14,1)*24&gt;=6,0.75,0))))</f>
        <v>0</v>
      </c>
      <c r="AF15" s="22">
        <f t="array" aca="1" ref="AF15" ca="1">IFERROR(IF(AE14&lt;&gt;0,INDEX(
INDIRECT("'シフト一覧（転載）'!"&amp;AE14&amp;":AK100"),1+1,
MATCH(1,INDEX((LEN(INDIRECT("'シフト一覧（転載）'!"&amp;AE14&amp;":AK100"))&gt;0)
*(INDIRECT("'シフト一覧（転載）'!"&amp;AE14&amp;":AK100")&lt;&gt;"休み"),1,0),0)),0),"")</f>
        <v>0</v>
      </c>
      <c r="AG15" s="22">
        <f ca="1">IF(AF14=0,0,
IF(OR(AF14="",COUNTIF(AF14,"*保育無し*")),"",
IF(MOD(AF15-AF14,1)*24&gt;=8,1,
IF(MOD(AF15-AF14,1)*24&gt;=6,0.75,0))))</f>
        <v>0</v>
      </c>
      <c r="AH15" s="22">
        <f t="array" aca="1" ref="AH15" ca="1">IFERROR(IF(AG14&lt;&gt;0,INDEX(
INDIRECT("'シフト一覧（転載）'!"&amp;AG14&amp;":AK100"),1+1,
MATCH(1,INDEX((LEN(INDIRECT("'シフト一覧（転載）'!"&amp;AG14&amp;":AK100"))&gt;0)
*(INDIRECT("'シフト一覧（転載）'!"&amp;AG14&amp;":AK100")&lt;&gt;"休み"),1,0),0)),0),"")</f>
        <v>0</v>
      </c>
      <c r="AI15" s="22">
        <f ca="1">IF(AH14=0,0,
IF(OR(AH14="",COUNTIF(AH14,"*保育無し*")),"",
IF(MOD(AH15-AH14,1)*24&gt;=8,1,
IF(MOD(AH15-AH14,1)*24&gt;=6,0.75,0))))</f>
        <v>0</v>
      </c>
      <c r="AJ15" s="22">
        <f t="array" aca="1" ref="AJ15" ca="1">IFERROR(IF(AI14&lt;&gt;0,INDEX(
INDIRECT("'シフト一覧（転載）'!"&amp;AI14&amp;":AK100"),1+1,
MATCH(1,INDEX((LEN(INDIRECT("'シフト一覧（転載）'!"&amp;AI14&amp;":AK100"))&gt;0)
*(INDIRECT("'シフト一覧（転載）'!"&amp;AI14&amp;":AK100")&lt;&gt;"休み"),1,0),0)),0),"")</f>
        <v>0</v>
      </c>
      <c r="AK15" s="22">
        <f ca="1">IF(AJ14=0,0,
IF(OR(AJ14="",COUNTIF(AJ14,"*保育無し*")),"",
IF(MOD(AJ15-AJ14,1)*24&gt;=8,1,
IF(MOD(AJ15-AJ14,1)*24&gt;=6,0.75,0))))</f>
        <v>0</v>
      </c>
      <c r="AL15" s="22">
        <f t="array" aca="1" ref="AL15" ca="1">IFERROR(IF(AK14&lt;&gt;0,INDEX(
INDIRECT("'シフト一覧（転載）'!"&amp;AK14&amp;":AK100"),1+1,
MATCH(1,INDEX((LEN(INDIRECT("'シフト一覧（転載）'!"&amp;AK14&amp;":AK100"))&gt;0)
*(INDIRECT("'シフト一覧（転載）'!"&amp;AK14&amp;":AK100")&lt;&gt;"休み"),1,0),0)),0),"")</f>
        <v>0</v>
      </c>
      <c r="AM15" s="22">
        <f ca="1">IF(AL14=0,0,
IF(OR(AL14="",COUNTIF(AL14,"*保育無し*")),"",
IF(MOD(AL15-AL14,1)*24&gt;=8,1,
IF(MOD(AL15-AL14,1)*24&gt;=6,0.75,0))))</f>
        <v>0</v>
      </c>
      <c r="AN15" s="22">
        <f t="array" aca="1" ref="AN15" ca="1">IFERROR(IF(AM14&lt;&gt;0,INDEX(
INDIRECT("'シフト一覧（転載）'!"&amp;AM14&amp;":AK100"),1+1,
MATCH(1,INDEX((LEN(INDIRECT("'シフト一覧（転載）'!"&amp;AM14&amp;":AK100"))&gt;0)
*(INDIRECT("'シフト一覧（転載）'!"&amp;AM14&amp;":AK100")&lt;&gt;"休み"),1,0),0)),0),"")</f>
        <v>0</v>
      </c>
      <c r="AO15" s="22">
        <f ca="1">IF(AN14=0,0,
IF(OR(AN14="",COUNTIF(AN14,"*保育無し*")),"",
IF(MOD(AN15-AN14,1)*24&gt;=8,1,
IF(MOD(AN15-AN14,1)*24&gt;=6,0.75,0))))</f>
        <v>0</v>
      </c>
      <c r="AP15" s="22">
        <f t="array" aca="1" ref="AP15" ca="1">IFERROR(IF(AO14&lt;&gt;0,INDEX(
INDIRECT("'シフト一覧（転載）'!"&amp;AO14&amp;":AK100"),1+1,
MATCH(1,INDEX((LEN(INDIRECT("'シフト一覧（転載）'!"&amp;AO14&amp;":AK100"))&gt;0)
*(INDIRECT("'シフト一覧（転載）'!"&amp;AO14&amp;":AK100")&lt;&gt;"休み"),1,0),0)),0),"")</f>
        <v>0</v>
      </c>
      <c r="AQ15" s="22">
        <f ca="1">IF(AP14=0,0,
IF(OR(AP14="",COUNTIF(AP14,"*保育無し*")),"",
IF(MOD(AP15-AP14,1)*24&gt;=8,1,
IF(MOD(AP15-AP14,1)*24&gt;=6,0.75,0))))</f>
        <v>0</v>
      </c>
      <c r="AR15" s="22">
        <f t="array" aca="1" ref="AR15" ca="1">IFERROR(IF(AQ14&lt;&gt;0,INDEX(
INDIRECT("'シフト一覧（転載）'!"&amp;AQ14&amp;":AK100"),1+1,
MATCH(1,INDEX((LEN(INDIRECT("'シフト一覧（転載）'!"&amp;AQ14&amp;":AK100"))&gt;0)
*(INDIRECT("'シフト一覧（転載）'!"&amp;AQ14&amp;":AK100")&lt;&gt;"休み"),1,0),0)),0),"")</f>
        <v>0</v>
      </c>
      <c r="AS15" s="22">
        <f ca="1">IF(AR14=0,0,
IF(OR(AR14="",COUNTIF(AR14,"*保育無し*")),"",
IF(MOD(AR15-AR14,1)*24&gt;=8,1,
IF(MOD(AR15-AR14,1)*24&gt;=6,0.75,0))))</f>
        <v>0</v>
      </c>
      <c r="AT15" s="22">
        <f t="array" aca="1" ref="AT15" ca="1">IFERROR(IF(AS14&lt;&gt;0,INDEX(
INDIRECT("'シフト一覧（転載）'!"&amp;AS14&amp;":AK100"),1+1,
MATCH(1,INDEX((LEN(INDIRECT("'シフト一覧（転載）'!"&amp;AS14&amp;":AK100"))&gt;0)
*(INDIRECT("'シフト一覧（転載）'!"&amp;AS14&amp;":AK100")&lt;&gt;"休み"),1,0),0)),0),"")</f>
        <v>0</v>
      </c>
      <c r="AU15" s="22">
        <f ca="1">IF(AT14=0,0,
IF(OR(AT14="",COUNTIF(AT14,"*保育無し*")),"",
IF(MOD(AT15-AT14,1)*24&gt;=8,1,
IF(MOD(AT15-AT14,1)*24&gt;=6,0.75,0))))</f>
        <v>0</v>
      </c>
      <c r="AV15" s="22">
        <f t="array" aca="1" ref="AV15" ca="1">IFERROR(IF(AU14&lt;&gt;0,INDEX(
INDIRECT("'シフト一覧（転載）'!"&amp;AU14&amp;":AK100"),1+1,
MATCH(1,INDEX((LEN(INDIRECT("'シフト一覧（転載）'!"&amp;AU14&amp;":AK100"))&gt;0)
*(INDIRECT("'シフト一覧（転載）'!"&amp;AU14&amp;":AK100")&lt;&gt;"休み"),1,0),0)),0),"")</f>
        <v>0</v>
      </c>
      <c r="AW15" s="22">
        <f ca="1">IF(AV14=0,0,
IF(OR(AV14="",COUNTIF(AV14,"*保育無し*")),"",
IF(MOD(AV15-AV14,1)*24&gt;=8,1,
IF(MOD(AV15-AV14,1)*24&gt;=6,0.75,0))))</f>
        <v>0</v>
      </c>
      <c r="AX15" s="22">
        <f t="array" aca="1" ref="AX15" ca="1">IFERROR(IF(AW14&lt;&gt;0,INDEX(
INDIRECT("'シフト一覧（転載）'!"&amp;AW14&amp;":AK100"),1+1,
MATCH(1,INDEX((LEN(INDIRECT("'シフト一覧（転載）'!"&amp;AW14&amp;":AK100"))&gt;0)
*(INDIRECT("'シフト一覧（転載）'!"&amp;AW14&amp;":AK100")&lt;&gt;"休み"),1,0),0)),0),"")</f>
        <v>0</v>
      </c>
      <c r="AY15" s="22">
        <f ca="1">IF(AX14=0,0,
IF(OR(AX14="",COUNTIF(AX14,"*保育無し*")),"",
IF(MOD(AX15-AX14,1)*24&gt;=8,1,
IF(MOD(AX15-AX14,1)*24&gt;=6,0.75,0))))</f>
        <v>0</v>
      </c>
      <c r="AZ15" s="22">
        <f t="array" aca="1" ref="AZ15" ca="1">IFERROR(IF(AY14&lt;&gt;0,INDEX(
INDIRECT("'シフト一覧（転載）'!"&amp;AY14&amp;":AK100"),1+1,
MATCH(1,INDEX((LEN(INDIRECT("'シフト一覧（転載）'!"&amp;AY14&amp;":AK100"))&gt;0)
*(INDIRECT("'シフト一覧（転載）'!"&amp;AY14&amp;":AK100")&lt;&gt;"休み"),1,0),0)),0),"")</f>
        <v>0</v>
      </c>
      <c r="BA15" s="22">
        <f ca="1">IF(AZ14=0,0,
IF(OR(AZ14="",COUNTIF(AZ14,"*保育無し*")),"",
IF(MOD(AZ15-AZ14,1)*24&gt;=8,1,
IF(MOD(AZ15-AZ14,1)*24&gt;=6,0.75,0))))</f>
        <v>0</v>
      </c>
      <c r="BB15" s="22">
        <f t="array" aca="1" ref="BB15" ca="1">IFERROR(IF(BA14&lt;&gt;0,INDEX(
INDIRECT("'シフト一覧（転載）'!"&amp;BA14&amp;":AK100"),1+1,
MATCH(1,INDEX((LEN(INDIRECT("'シフト一覧（転載）'!"&amp;BA14&amp;":AK100"))&gt;0)
*(INDIRECT("'シフト一覧（転載）'!"&amp;BA14&amp;":AK100")&lt;&gt;"休み"),1,0),0)),0),"")</f>
        <v>0</v>
      </c>
      <c r="BC15" s="22">
        <f ca="1">IF(BB14=0,0,
IF(OR(BB14="",COUNTIF(BB14,"*保育無し*")),"",
IF(MOD(BB15-BB14,1)*24&gt;=8,1,
IF(MOD(BB15-BB14,1)*24&gt;=6,0.75,0))))</f>
        <v>0</v>
      </c>
      <c r="BD15" s="22">
        <f t="array" aca="1" ref="BD15" ca="1">IFERROR(IF(BC14&lt;&gt;0,INDEX(
INDIRECT("'シフト一覧（転載）'!"&amp;BC14&amp;":AK100"),1+1,
MATCH(1,INDEX((LEN(INDIRECT("'シフト一覧（転載）'!"&amp;BC14&amp;":AK100"))&gt;0)
*(INDIRECT("'シフト一覧（転載）'!"&amp;BC14&amp;":AK100")&lt;&gt;"休み"),1,0),0)),0),"")</f>
        <v>0</v>
      </c>
      <c r="BE15" s="22">
        <f ca="1">IF(BD14=0,0,
IF(OR(BD14="",COUNTIF(BD14,"*保育無し*")),"",
IF(MOD(BD15-BD14,1)*24&gt;=8,1,
IF(MOD(BD15-BD14,1)*24&gt;=6,0.75,0))))</f>
        <v>0</v>
      </c>
      <c r="BF15" s="22">
        <f t="array" aca="1" ref="BF15" ca="1">IFERROR(IF(BE14&lt;&gt;0,INDEX(
INDIRECT("'シフト一覧（転載）'!"&amp;BE14&amp;":AK100"),1+1,
MATCH(1,INDEX((LEN(INDIRECT("'シフト一覧（転載）'!"&amp;BE14&amp;":AK100"))&gt;0)
*(INDIRECT("'シフト一覧（転載）'!"&amp;BE14&amp;":AK100")&lt;&gt;"休み"),1,0),0)),0),"")</f>
        <v>0</v>
      </c>
      <c r="BG15" s="22">
        <f ca="1">IF(BF14=0,0,
IF(OR(BF14="",COUNTIF(BF14,"*保育無し*")),"",
IF(MOD(BF15-BF14,1)*24&gt;=8,1,
IF(MOD(BF15-BF14,1)*24&gt;=6,0.75,0))))</f>
        <v>0</v>
      </c>
      <c r="BH15" s="22">
        <f t="array" aca="1" ref="BH15" ca="1">IFERROR(IF(BG14&lt;&gt;0,INDEX(
INDIRECT("'シフト一覧（転載）'!"&amp;BG14&amp;":AK100"),1+1,
MATCH(1,INDEX((LEN(INDIRECT("'シフト一覧（転載）'!"&amp;BG14&amp;":AK100"))&gt;0)
*(INDIRECT("'シフト一覧（転載）'!"&amp;BG14&amp;":AK100")&lt;&gt;"休み"),1,0),0)),0),"")</f>
        <v>0</v>
      </c>
      <c r="BI15" s="22">
        <f ca="1">IF(BH14=0,0,
IF(OR(BH14="",COUNTIF(BH14,"*保育無し*")),"",
IF(MOD(BH15-BH14,1)*24&gt;=8,1,
IF(MOD(BH15-BH14,1)*24&gt;=6,0.75,0))))</f>
        <v>0</v>
      </c>
      <c r="BJ15" s="22">
        <f t="array" aca="1" ref="BJ15" ca="1">IFERROR(IF(BI14&lt;&gt;0,INDEX(
INDIRECT("'シフト一覧（転載）'!"&amp;BI14&amp;":AK100"),1+1,
MATCH(1,INDEX((LEN(INDIRECT("'シフト一覧（転載）'!"&amp;BI14&amp;":AK100"))&gt;0)
*(INDIRECT("'シフト一覧（転載）'!"&amp;BI14&amp;":AK100")&lt;&gt;"休み"),1,0),0)),0),"")</f>
        <v>0</v>
      </c>
      <c r="BK15" s="22">
        <f ca="1">IF(BJ14=0,0,
IF(OR(BJ14="",COUNTIF(BJ14,"*保育無し*")),"",
IF(MOD(BJ15-BJ14,1)*24&gt;=8,1,
IF(MOD(BJ15-BJ14,1)*24&gt;=6,0.75,0))))</f>
        <v>0</v>
      </c>
      <c r="BL15" s="22">
        <f t="array" aca="1" ref="BL15" ca="1">IFERROR(IF(BK14&lt;&gt;0,INDEX(
INDIRECT("'シフト一覧（転載）'!"&amp;BK14&amp;":AK100"),1+1,
MATCH(1,INDEX((LEN(INDIRECT("'シフト一覧（転載）'!"&amp;BK14&amp;":AK100"))&gt;0)
*(INDIRECT("'シフト一覧（転載）'!"&amp;BK14&amp;":AK100")&lt;&gt;"休み"),1,0),0)),0),"")</f>
        <v>0</v>
      </c>
      <c r="BM15" s="22">
        <f ca="1">IF(BL14=0,0,
IF(OR(BL14="",COUNTIF(BL14,"*保育無し*")),"",
IF(MOD(BL15-BL14,1)*24&gt;=8,1,
IF(MOD(BL15-BL14,1)*24&gt;=6,0.75,0))))</f>
        <v>0</v>
      </c>
      <c r="BN15" s="22">
        <f t="array" aca="1" ref="BN15" ca="1">IFERROR(IF(BM14&lt;&gt;0,INDEX(
INDIRECT("'シフト一覧（転載）'!"&amp;BM14&amp;":AK100"),1+1,
MATCH(1,INDEX((LEN(INDIRECT("'シフト一覧（転載）'!"&amp;BM14&amp;":AK100"))&gt;0)
*(INDIRECT("'シフト一覧（転載）'!"&amp;BM14&amp;":AK100")&lt;&gt;"休み"),1,0),0)),0),"")</f>
        <v>0</v>
      </c>
      <c r="BO15" s="22">
        <f ca="1">IF(BN14=0,0,
IF(OR(BN14="",COUNTIF(BN14,"*保育無し*")),"",
IF(MOD(BN15-BN14,1)*24&gt;=8,1,
IF(MOD(BN15-BN14,1)*24&gt;=6,0.75,0))))</f>
        <v>0</v>
      </c>
      <c r="BP15" s="22">
        <f t="array" aca="1" ref="BP15" ca="1">IFERROR(IF(BO14&lt;&gt;0,INDEX(
INDIRECT("'シフト一覧（転載）'!"&amp;BO14&amp;":AK100"),1+1,
MATCH(1,INDEX((LEN(INDIRECT("'シフト一覧（転載）'!"&amp;BO14&amp;":AK100"))&gt;0)
*(INDIRECT("'シフト一覧（転載）'!"&amp;BO14&amp;":AK100")&lt;&gt;"休み"),1,0),0)),0),"")</f>
        <v>0</v>
      </c>
      <c r="BQ15" s="22">
        <f ca="1">IF(BP14=0,0,
IF(OR(BP14="",COUNTIF(BP14,"*保育無し*")),"",
IF(MOD(BP15-BP14,1)*24&gt;=8,1,
IF(MOD(BP15-BP14,1)*24&gt;=6,0.75,0))))</f>
        <v>0</v>
      </c>
      <c r="BR15" s="22">
        <f t="array" aca="1" ref="BR15" ca="1">IFERROR(IF(BQ14&lt;&gt;0,INDEX(
INDIRECT("'シフト一覧（転載）'!"&amp;BQ14&amp;":AK100"),1+1,
MATCH(1,INDEX((LEN(INDIRECT("'シフト一覧（転載）'!"&amp;BQ14&amp;":AK100"))&gt;0)
*(INDIRECT("'シフト一覧（転載）'!"&amp;BQ14&amp;":AK100")&lt;&gt;"休み"),1,0),0)),0),"")</f>
        <v>0</v>
      </c>
      <c r="BS15" s="22">
        <f ca="1">IF(BR14=0,0,
IF(OR(BR14="",COUNTIF(BR14,"*保育無し*")),"",
IF(MOD(BR15-BR14,1)*24&gt;=8,1,
IF(MOD(BR15-BR14,1)*24&gt;=6,0.75,0))))</f>
        <v>0</v>
      </c>
      <c r="BT15" s="22">
        <f t="array" aca="1" ref="BT15" ca="1">IFERROR(IF(BS14&lt;&gt;0,INDEX(
INDIRECT("'シフト一覧（転載）'!"&amp;BS14&amp;":AK100"),1+1,
MATCH(1,INDEX((LEN(INDIRECT("'シフト一覧（転載）'!"&amp;BS14&amp;":AK100"))&gt;0)
*(INDIRECT("'シフト一覧（転載）'!"&amp;BS14&amp;":AK100")&lt;&gt;"休み"),1,0),0)),0),"")</f>
        <v>0</v>
      </c>
      <c r="BU15" s="22">
        <f ca="1">IF(BT14=0,0,
IF(OR(BT14="",COUNTIF(BT14,"*保育無し*")),"",
IF(MOD(BT15-BT14,1)*24&gt;=8,1,
IF(MOD(BT15-BT14,1)*24&gt;=6,0.75,0))))</f>
        <v>0</v>
      </c>
      <c r="BV15" s="22">
        <f t="array" aca="1" ref="BV15" ca="1">IFERROR(IF(BU14&lt;&gt;0,INDEX(
INDIRECT("'シフト一覧（転載）'!"&amp;BU14&amp;":AK100"),1+1,
MATCH(1,INDEX((LEN(INDIRECT("'シフト一覧（転載）'!"&amp;BU14&amp;":AK100"))&gt;0)
*(INDIRECT("'シフト一覧（転載）'!"&amp;BU14&amp;":AK100")&lt;&gt;"休み"),1,0),0)),0),"")</f>
        <v>0</v>
      </c>
      <c r="BW15" s="22">
        <f ca="1">IF(BV14=0,0,
IF(OR(BV14="",COUNTIF(BV14,"*保育無し*")),"",
IF(MOD(BV15-BV14,1)*24&gt;=8,1,
IF(MOD(BV15-BV14,1)*24&gt;=6,0.75,0))))</f>
        <v>0</v>
      </c>
      <c r="BX15" s="22">
        <f t="array" aca="1" ref="BX15" ca="1">IFERROR(IF(BW14&lt;&gt;0,INDEX(
INDIRECT("'シフト一覧（転載）'!"&amp;BW14&amp;":AK100"),1+1,
MATCH(1,INDEX((LEN(INDIRECT("'シフト一覧（転載）'!"&amp;BW14&amp;":AK100"))&gt;0)
*(INDIRECT("'シフト一覧（転載）'!"&amp;BW14&amp;":AK100")&lt;&gt;"休み"),1,0),0)),0),"")</f>
        <v>0</v>
      </c>
      <c r="BY15" s="22">
        <f ca="1">IF(BX14=0,0,
IF(OR(BX14="",COUNTIF(BX14,"*保育無し*")),"",
IF(MOD(BX15-BX14,1)*24&gt;=8,1,
IF(MOD(BX15-BX14,1)*24&gt;=6,0.75,0))))</f>
        <v>0</v>
      </c>
    </row>
    <row r="16" spans="1:77" ht="19.2" customHeight="1" x14ac:dyDescent="0.2">
      <c r="A16" s="46">
        <f t="shared" si="4"/>
        <v>0</v>
      </c>
      <c r="B16" s="64">
        <f t="array" aca="1" ref="B16" ca="1">IFERROR(IF(INDIRECT("'Page_" &amp; A16 &amp; "'!Q3")&lt;&gt;"",INDIRECT("'Page_" &amp; A16 &amp; "'!Q3"),INDIRECT("'Page_" &amp; A16 &amp; "'!P3")),0)</f>
        <v>0</v>
      </c>
      <c r="C16" s="42">
        <f t="shared" ca="1" si="0"/>
        <v>0</v>
      </c>
      <c r="D16" s="31">
        <f t="shared" ca="1" si="1"/>
        <v>0</v>
      </c>
      <c r="E16" s="28">
        <f t="shared" ca="1" si="2"/>
        <v>0</v>
      </c>
      <c r="F16" s="69" t="str">
        <f t="array" aca="1" ref="F16" ca="1">IFERROR(INDEX('シフト一覧（転載）'!$C$8:$C$100,
MATCH(1, (ISNUMBER(SEARCH(I16,'シフト一覧（転載）'!$A$8:$A$100)))
*(ISNUMBER(SEARCH($E$9,'シフト一覧（転載）'!$B$8:$B$100))), 0)),"")</f>
        <v/>
      </c>
      <c r="G16" s="60">
        <f t="shared" ca="1" si="3"/>
        <v>0</v>
      </c>
      <c r="H16" s="28">
        <f t="array" aca="1" ref="H16" ca="1">IFERROR(SUM(INDIRECT("'Page_" &amp; A16 &amp; "'!K"&amp;MATCH("有休",INDIRECT("'Page_" &amp; A16 &amp; "'!K:K"),0)+2&amp;"")
+INDIRECT("'Page_" &amp; A16 &amp; "'!L"&amp;MATCH("特休",INDIRECT("'Page_" &amp; A16 &amp; "'!L:L"),0)+2&amp;""))*24,0)</f>
        <v>0</v>
      </c>
      <c r="I16" s="51">
        <f t="array" aca="1" ref="I16" ca="1">IFERROR(_xlfn.TEXTJOIN("", TRUE, IF(ISERR(MID(INDIRECT("'Page_" &amp; A16 &amp; "'!C2"), ROW(INDIRECT("1:" &amp; LEN(INDIRECT("'Page_" &amp; A16 &amp; "'!C2")))), 1)*1), MID(INDIRECT("'Page_" &amp; A16 &amp; "'!C2"), ROW(INDIRECT("1:" &amp; LEN(INDIRECT("'Page_" &amp; A16 &amp; "'!C2")))), 1), "")),0)</f>
        <v>0</v>
      </c>
      <c r="J16" s="52">
        <f t="array" aca="1" ref="J16" ca="1">IFERROR(IF(INDIRECT("'Page_" &amp; A16 &amp; "'!E2")&lt;&gt;"",INDIRECT("'Page_" &amp; A16 &amp; "'!E2"),INDIRECT("'Page_" &amp; A16 &amp; "'!D2")),0)</f>
        <v>0</v>
      </c>
      <c r="K16" s="65"/>
      <c r="M16" s="92" t="str">
        <f t="array" aca="1" ref="M16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16" s="90" t="str">
        <f ca="1">IF(M16&lt;&gt;"",VLOOKUP(M16,$I$12:$J$27,2,FALSE),"")</f>
        <v/>
      </c>
      <c r="O16" s="94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21">
        <f t="array" aca="1" ref="P16" ca="1">IFERROR(IF(M16&lt;&gt;"",INDEX('シフト一覧（転載）'!$F$8:$AK$100,
    MATCH(1,(ISNUMBER(SEARCH(M16,'シフト一覧（転載）'!$A$8:$A$100)))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MATCH(1,(ISNUMBER(SEARCH(M16,'シフト一覧（転載）'!$A$8:$A$100)))
                *(ISNUMBER(SEARCH($E$9,'シフト一覧（転載）'!$B$8:$B$100))),
                0),0),0)),0),$E$9&amp;"保育無し")</f>
        <v>0</v>
      </c>
      <c r="Q16" s="21">
        <f t="array" aca="1" ref="Q16" ca="1">IFERROR(IF(COUNTIF(P16,"*無*"),"",IF(M16&lt;&gt;"",ADDRESS(
    MATCH(1,(ISNUMBER(SEARCH(M16,'シフト一覧（転載）'!$A$8:$A$100)))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MATCH(1,(ISNUMBER(SEARCH(M16,'シフト一覧（転載）'!$A$8:$A$100)))
                *(ISNUMBER(SEARCH($E$9,'シフト一覧（転載）'!$B$8:$B$100))),0),0),0) + 6,4),0)),0)</f>
        <v>0</v>
      </c>
      <c r="R16" s="21">
        <f t="array" aca="1" ref="R16" ca="1">IFERROR(IF(Q16&lt;&gt;"",IF(Q16&lt;&gt;0,INDEX(
INDIRECT("'シフト一覧（転載）'!"&amp;Q16&amp;":AK100"),1,
MATCH(1,INDEX((LEN(INDIRECT("'シフト一覧（転載）'!"&amp;Q16&amp;":AK100"))&gt;0)
*(INDIRECT("'シフト一覧（転載）'!"&amp;Q16&amp;":AK100")&lt;&gt;"休み"),1,0),0)),0),""),$E$9&amp;"保育無し")</f>
        <v>0</v>
      </c>
      <c r="S16" s="21">
        <f t="array" aca="1" ref="S16" ca="1">IFERROR(IF(Q16&lt;&gt;0,ADDRESS(ROW(INDIRECT(Q16)),
    COLUMN(INDIRECT(Q16)) - 1 +
    MATCH(1,INDEX((LEN(INDIRECT("'シフト一覧（転載）'!"&amp;Q16&amp;":AK100"))&gt;0)
            *(INDIRECT("'シフト一覧（転載）'!"&amp;Q16&amp;":AK100")&lt;&gt;"休み"),
            1,0),0)+1,4),0),"")</f>
        <v>0</v>
      </c>
      <c r="T16" s="21">
        <f t="array" aca="1" ref="T16" ca="1">IFERROR(IF(S16&lt;&gt;"",IF(S16&lt;&gt;0,INDEX(
INDIRECT("'シフト一覧（転載）'!"&amp;S16&amp;":AK100"),1,
MATCH(1,INDEX((LEN(INDIRECT("'シフト一覧（転載）'!"&amp;S16&amp;":AK100"))&gt;0)
*(INDIRECT("'シフト一覧（転載）'!"&amp;S16&amp;":AK100")&lt;&gt;"休み"),1,0),0)),0),""),$E$9&amp;"保育無し")</f>
        <v>0</v>
      </c>
      <c r="U16" s="21">
        <f t="array" aca="1" ref="U16" ca="1">IFERROR(IF(S16&lt;&gt;0,ADDRESS(ROW(INDIRECT(S16)),
    COLUMN(INDIRECT(S16)) - 1 +
    MATCH(1,INDEX((LEN(INDIRECT("'シフト一覧（転載）'!"&amp;S16&amp;":AK100"))&gt;0)
            *(INDIRECT("'シフト一覧（転載）'!"&amp;S16&amp;":AK100")&lt;&gt;"休み"),
            1,0),0)+1,4),0),"")</f>
        <v>0</v>
      </c>
      <c r="V16" s="21">
        <f t="array" aca="1" ref="V16" ca="1">IFERROR(IF(U16&lt;&gt;"",IF(U16&lt;&gt;0,INDEX(
INDIRECT("'シフト一覧（転載）'!"&amp;U16&amp;":AK100"),1,
MATCH(1,INDEX((LEN(INDIRECT("'シフト一覧（転載）'!"&amp;U16&amp;":AK100"))&gt;0)
*(INDIRECT("'シフト一覧（転載）'!"&amp;U16&amp;":AK100")&lt;&gt;"休み"),1,0),0)),0),""),$E$9&amp;"保育無し")</f>
        <v>0</v>
      </c>
      <c r="W16" s="21">
        <f t="array" aca="1" ref="W16" ca="1">IFERROR(IF(U16&lt;&gt;0,ADDRESS(ROW(INDIRECT(U16)),
    COLUMN(INDIRECT(U16)) - 1 +
    MATCH(1,INDEX((LEN(INDIRECT("'シフト一覧（転載）'!"&amp;U16&amp;":AK100"))&gt;0)
            *(INDIRECT("'シフト一覧（転載）'!"&amp;U16&amp;":AK100")&lt;&gt;"休み"),
            1,0),0)+1,4),0),"")</f>
        <v>0</v>
      </c>
      <c r="X16" s="21">
        <f t="array" aca="1" ref="X16" ca="1">IFERROR(IF(W16&lt;&gt;"",IF(W16&lt;&gt;0,INDEX(
INDIRECT("'シフト一覧（転載）'!"&amp;W16&amp;":AK100"),1,
MATCH(1,INDEX((LEN(INDIRECT("'シフト一覧（転載）'!"&amp;W16&amp;":AK100"))&gt;0)
*(INDIRECT("'シフト一覧（転載）'!"&amp;W16&amp;":AK100")&lt;&gt;"休み"),1,0),0)),0),""),$E$9&amp;"保育無し")</f>
        <v>0</v>
      </c>
      <c r="Y16" s="21">
        <f t="array" aca="1" ref="Y16" ca="1">IFERROR(IF(W16&lt;&gt;0,ADDRESS(ROW(INDIRECT(W16)),
    COLUMN(INDIRECT(W16)) - 1 +
    MATCH(1,INDEX((LEN(INDIRECT("'シフト一覧（転載）'!"&amp;W16&amp;":AK100"))&gt;0)
            *(INDIRECT("'シフト一覧（転載）'!"&amp;W16&amp;":AK100")&lt;&gt;"休み"),
            1,0),0)+1,4),0),"")</f>
        <v>0</v>
      </c>
      <c r="Z16" s="21">
        <f t="array" aca="1" ref="Z16" ca="1">IFERROR(IF(Y16&lt;&gt;"",IF(Y16&lt;&gt;0,INDEX(
INDIRECT("'シフト一覧（転載）'!"&amp;Y16&amp;":AK100"),1,
MATCH(1,INDEX((LEN(INDIRECT("'シフト一覧（転載）'!"&amp;Y16&amp;":AK100"))&gt;0)
*(INDIRECT("'シフト一覧（転載）'!"&amp;Y16&amp;":AK100")&lt;&gt;"休み"),1,0),0)),0),""),$E$9&amp;"保育無し")</f>
        <v>0</v>
      </c>
      <c r="AA16" s="21">
        <f t="array" aca="1" ref="AA16" ca="1">IFERROR(IF(Y16&lt;&gt;0,ADDRESS(ROW(INDIRECT(Y16)),
    COLUMN(INDIRECT(Y16)) - 1 +
    MATCH(1,INDEX((LEN(INDIRECT("'シフト一覧（転載）'!"&amp;Y16&amp;":AK100"))&gt;0)
            *(INDIRECT("'シフト一覧（転載）'!"&amp;Y16&amp;":AK100")&lt;&gt;"休み"),
            1,0),0)+1,4),0),"")</f>
        <v>0</v>
      </c>
      <c r="AB16" s="21">
        <f t="array" aca="1" ref="AB16" ca="1">IFERROR(IF(AA16&lt;&gt;"",IF(AA16&lt;&gt;0,INDEX(
INDIRECT("'シフト一覧（転載）'!"&amp;AA16&amp;":AK100"),1,
MATCH(1,INDEX((LEN(INDIRECT("'シフト一覧（転載）'!"&amp;AA16&amp;":AK100"))&gt;0)
*(INDIRECT("'シフト一覧（転載）'!"&amp;AA16&amp;":AK100")&lt;&gt;"休み"),1,0),0)),0),""),$E$9&amp;"保育無し")</f>
        <v>0</v>
      </c>
      <c r="AC16" s="21">
        <f t="array" aca="1" ref="AC16" ca="1">IFERROR(IF(AA16&lt;&gt;0,ADDRESS(ROW(INDIRECT(AA16)),
    COLUMN(INDIRECT(AA16)) - 1 +
    MATCH(1,INDEX((LEN(INDIRECT("'シフト一覧（転載）'!"&amp;AA16&amp;":AK100"))&gt;0)
            *(INDIRECT("'シフト一覧（転載）'!"&amp;AA16&amp;":AK100")&lt;&gt;"休み"),
            1,0),0)+1,4),0),"")</f>
        <v>0</v>
      </c>
      <c r="AD16" s="21">
        <f t="array" aca="1" ref="AD16" ca="1">IFERROR(IF(AC16&lt;&gt;"",IF(AC16&lt;&gt;0,INDEX(
INDIRECT("'シフト一覧（転載）'!"&amp;AC16&amp;":AK100"),1,
MATCH(1,INDEX((LEN(INDIRECT("'シフト一覧（転載）'!"&amp;AC16&amp;":AK100"))&gt;0)
*(INDIRECT("'シフト一覧（転載）'!"&amp;AC16&amp;":AK100")&lt;&gt;"休み"),1,0),0)),0),""),$E$9&amp;"保育無し")</f>
        <v>0</v>
      </c>
      <c r="AE16" s="21">
        <f t="array" aca="1" ref="AE16" ca="1">IFERROR(IF(AC16&lt;&gt;0,ADDRESS(ROW(INDIRECT(AC16)),
    COLUMN(INDIRECT(AC16)) - 1 +
    MATCH(1,INDEX((LEN(INDIRECT("'シフト一覧（転載）'!"&amp;AC16&amp;":AK100"))&gt;0)
            *(INDIRECT("'シフト一覧（転載）'!"&amp;AC16&amp;":AK100")&lt;&gt;"休み"),
            1,0),0)+1,4),0),"")</f>
        <v>0</v>
      </c>
      <c r="AF16" s="21">
        <f t="array" aca="1" ref="AF16" ca="1">IFERROR(IF(AE16&lt;&gt;"",IF(AE16&lt;&gt;0,INDEX(
INDIRECT("'シフト一覧（転載）'!"&amp;AE16&amp;":AK100"),1,
MATCH(1,INDEX((LEN(INDIRECT("'シフト一覧（転載）'!"&amp;AE16&amp;":AK100"))&gt;0)
*(INDIRECT("'シフト一覧（転載）'!"&amp;AE16&amp;":AK100")&lt;&gt;"休み"),1,0),0)),0),""),$E$9&amp;"保育無し")</f>
        <v>0</v>
      </c>
      <c r="AG16" s="21">
        <f t="array" aca="1" ref="AG16" ca="1">IFERROR(IF(AE16&lt;&gt;0,ADDRESS(ROW(INDIRECT(AE16)),
    COLUMN(INDIRECT(AE16)) - 1 +
    MATCH(1,INDEX((LEN(INDIRECT("'シフト一覧（転載）'!"&amp;AE16&amp;":AK100"))&gt;0)
            *(INDIRECT("'シフト一覧（転載）'!"&amp;AE16&amp;":AK100")&lt;&gt;"休み"),
            1,0),0)+1,4),0),"")</f>
        <v>0</v>
      </c>
      <c r="AH16" s="21">
        <f t="array" aca="1" ref="AH16" ca="1">IFERROR(IF(AG16&lt;&gt;"",IF(AG16&lt;&gt;0,INDEX(
INDIRECT("'シフト一覧（転載）'!"&amp;AG16&amp;":AK100"),1,
MATCH(1,INDEX((LEN(INDIRECT("'シフト一覧（転載）'!"&amp;AG16&amp;":AK100"))&gt;0)
*(INDIRECT("'シフト一覧（転載）'!"&amp;AG16&amp;":AK100")&lt;&gt;"休み"),1,0),0)),0),""),$E$9&amp;"保育無し")</f>
        <v>0</v>
      </c>
      <c r="AI16" s="21">
        <f t="array" aca="1" ref="AI16" ca="1">IFERROR(IF(AG16&lt;&gt;0,ADDRESS(ROW(INDIRECT(AG16)),
    COLUMN(INDIRECT(AG16)) - 1 +
    MATCH(1,INDEX((LEN(INDIRECT("'シフト一覧（転載）'!"&amp;AG16&amp;":AK100"))&gt;0)
            *(INDIRECT("'シフト一覧（転載）'!"&amp;AG16&amp;":AK100")&lt;&gt;"休み"),
            1,0),0)+1,4),0),"")</f>
        <v>0</v>
      </c>
      <c r="AJ16" s="21">
        <f t="array" aca="1" ref="AJ16" ca="1">IFERROR(IF(AI16&lt;&gt;"",IF(AI16&lt;&gt;0,INDEX(
INDIRECT("'シフト一覧（転載）'!"&amp;AI16&amp;":AK100"),1,
MATCH(1,INDEX((LEN(INDIRECT("'シフト一覧（転載）'!"&amp;AI16&amp;":AK100"))&gt;0)
*(INDIRECT("'シフト一覧（転載）'!"&amp;AI16&amp;":AK100")&lt;&gt;"休み"),1,0),0)),0),""),$E$9&amp;"保育無し")</f>
        <v>0</v>
      </c>
      <c r="AK16" s="21">
        <f t="array" aca="1" ref="AK16" ca="1">IFERROR(IF(AI16&lt;&gt;0,ADDRESS(ROW(INDIRECT(AI16)),
    COLUMN(INDIRECT(AI16)) - 1 +
    MATCH(1,INDEX((LEN(INDIRECT("'シフト一覧（転載）'!"&amp;AI16&amp;":AK100"))&gt;0)
            *(INDIRECT("'シフト一覧（転載）'!"&amp;AI16&amp;":AK100")&lt;&gt;"休み"),
            1,0),0)+1,4),0),"")</f>
        <v>0</v>
      </c>
      <c r="AL16" s="21">
        <f t="array" aca="1" ref="AL16" ca="1">IFERROR(IF(AK16&lt;&gt;"",IF(AK16&lt;&gt;0,INDEX(
INDIRECT("'シフト一覧（転載）'!"&amp;AK16&amp;":AK100"),1,
MATCH(1,INDEX((LEN(INDIRECT("'シフト一覧（転載）'!"&amp;AK16&amp;":AK100"))&gt;0)
*(INDIRECT("'シフト一覧（転載）'!"&amp;AK16&amp;":AK100")&lt;&gt;"休み"),1,0),0)),0),""),$E$9&amp;"保育無し")</f>
        <v>0</v>
      </c>
      <c r="AM16" s="21">
        <f t="array" aca="1" ref="AM16" ca="1">IFERROR(IF(AK16&lt;&gt;0,ADDRESS(ROW(INDIRECT(AK16)),
    COLUMN(INDIRECT(AK16)) - 1 +
    MATCH(1,INDEX((LEN(INDIRECT("'シフト一覧（転載）'!"&amp;AK16&amp;":AK100"))&gt;0)
            *(INDIRECT("'シフト一覧（転載）'!"&amp;AK16&amp;":AK100")&lt;&gt;"休み"),
            1,0),0)+1,4),0),"")</f>
        <v>0</v>
      </c>
      <c r="AN16" s="21">
        <f t="array" aca="1" ref="AN16" ca="1">IFERROR(IF(AM16&lt;&gt;"",IF(AM16&lt;&gt;0,INDEX(
INDIRECT("'シフト一覧（転載）'!"&amp;AM16&amp;":AK100"),1,
MATCH(1,INDEX((LEN(INDIRECT("'シフト一覧（転載）'!"&amp;AM16&amp;":AK100"))&gt;0)
*(INDIRECT("'シフト一覧（転載）'!"&amp;AM16&amp;":AK100")&lt;&gt;"休み"),1,0),0)),0),""),$E$9&amp;"保育無し")</f>
        <v>0</v>
      </c>
      <c r="AO16" s="21">
        <f t="array" aca="1" ref="AO16" ca="1">IFERROR(IF(AM16&lt;&gt;0,ADDRESS(ROW(INDIRECT(AM16)),
    COLUMN(INDIRECT(AM16)) - 1 +
    MATCH(1,INDEX((LEN(INDIRECT("'シフト一覧（転載）'!"&amp;AM16&amp;":AK100"))&gt;0)
            *(INDIRECT("'シフト一覧（転載）'!"&amp;AM16&amp;":AK100")&lt;&gt;"休み"),
            1,0),0)+1,4),0),"")</f>
        <v>0</v>
      </c>
      <c r="AP16" s="21">
        <f t="array" aca="1" ref="AP16" ca="1">IFERROR(IF(AO16&lt;&gt;"",IF(AO16&lt;&gt;0,INDEX(
INDIRECT("'シフト一覧（転載）'!"&amp;AO16&amp;":AK100"),1,
MATCH(1,INDEX((LEN(INDIRECT("'シフト一覧（転載）'!"&amp;AO16&amp;":AK100"))&gt;0)
*(INDIRECT("'シフト一覧（転載）'!"&amp;AO16&amp;":AK100")&lt;&gt;"休み"),1,0),0)),0),""),$E$9&amp;"保育無し")</f>
        <v>0</v>
      </c>
      <c r="AQ16" s="21">
        <f t="array" aca="1" ref="AQ16" ca="1">IFERROR(IF(AO16&lt;&gt;0,ADDRESS(ROW(INDIRECT(AO16)),
    COLUMN(INDIRECT(AO16)) - 1 +
    MATCH(1,INDEX((LEN(INDIRECT("'シフト一覧（転載）'!"&amp;AO16&amp;":AK100"))&gt;0)
            *(INDIRECT("'シフト一覧（転載）'!"&amp;AO16&amp;":AK100")&lt;&gt;"休み"),
            1,0),0)+1,4),0),"")</f>
        <v>0</v>
      </c>
      <c r="AR16" s="21">
        <f t="array" aca="1" ref="AR16" ca="1">IFERROR(IF(AQ16&lt;&gt;"",IF(AQ16&lt;&gt;0,INDEX(
INDIRECT("'シフト一覧（転載）'!"&amp;AQ16&amp;":AK100"),1,
MATCH(1,INDEX((LEN(INDIRECT("'シフト一覧（転載）'!"&amp;AQ16&amp;":AK100"))&gt;0)
*(INDIRECT("'シフト一覧（転載）'!"&amp;AQ16&amp;":AK100")&lt;&gt;"休み"),1,0),0)),0),""),$E$9&amp;"保育無し")</f>
        <v>0</v>
      </c>
      <c r="AS16" s="21">
        <f t="array" aca="1" ref="AS16" ca="1">IFERROR(IF(AQ16&lt;&gt;0,ADDRESS(ROW(INDIRECT(AQ16)),
    COLUMN(INDIRECT(AQ16)) - 1 +
    MATCH(1,INDEX((LEN(INDIRECT("'シフト一覧（転載）'!"&amp;AQ16&amp;":AK100"))&gt;0)
            *(INDIRECT("'シフト一覧（転載）'!"&amp;AQ16&amp;":AK100")&lt;&gt;"休み"),
            1,0),0)+1,4),0),"")</f>
        <v>0</v>
      </c>
      <c r="AT16" s="21">
        <f t="array" aca="1" ref="AT16" ca="1">IFERROR(IF(AS16&lt;&gt;"",IF(AS16&lt;&gt;0,INDEX(
INDIRECT("'シフト一覧（転載）'!"&amp;AS16&amp;":AK100"),1,
MATCH(1,INDEX((LEN(INDIRECT("'シフト一覧（転載）'!"&amp;AS16&amp;":AK100"))&gt;0)
*(INDIRECT("'シフト一覧（転載）'!"&amp;AS16&amp;":AK100")&lt;&gt;"休み"),1,0),0)),0),""),$E$9&amp;"保育無し")</f>
        <v>0</v>
      </c>
      <c r="AU16" s="21">
        <f t="array" aca="1" ref="AU16" ca="1">IFERROR(IF(AS16&lt;&gt;0,ADDRESS(ROW(INDIRECT(AS16)),
    COLUMN(INDIRECT(AS16)) - 1 +
    MATCH(1,INDEX((LEN(INDIRECT("'シフト一覧（転載）'!"&amp;AS16&amp;":AK100"))&gt;0)
            *(INDIRECT("'シフト一覧（転載）'!"&amp;AS16&amp;":AK100")&lt;&gt;"休み"),
            1,0),0)+1,4),0),"")</f>
        <v>0</v>
      </c>
      <c r="AV16" s="21">
        <f t="array" aca="1" ref="AV16" ca="1">IFERROR(IF(AU16&lt;&gt;"",IF(AU16&lt;&gt;0,INDEX(
INDIRECT("'シフト一覧（転載）'!"&amp;AU16&amp;":AK100"),1,
MATCH(1,INDEX((LEN(INDIRECT("'シフト一覧（転載）'!"&amp;AU16&amp;":AK100"))&gt;0)
*(INDIRECT("'シフト一覧（転載）'!"&amp;AU16&amp;":AK100")&lt;&gt;"休み"),1,0),0)),0),""),$E$9&amp;"保育無し")</f>
        <v>0</v>
      </c>
      <c r="AW16" s="21">
        <f t="array" aca="1" ref="AW16" ca="1">IFERROR(IF(AU16&lt;&gt;0,ADDRESS(ROW(INDIRECT(AU16)),
    COLUMN(INDIRECT(AU16)) - 1 +
    MATCH(1,INDEX((LEN(INDIRECT("'シフト一覧（転載）'!"&amp;AU16&amp;":AK100"))&gt;0)
            *(INDIRECT("'シフト一覧（転載）'!"&amp;AU16&amp;":AK100")&lt;&gt;"休み"),
            1,0),0)+1,4),0),"")</f>
        <v>0</v>
      </c>
      <c r="AX16" s="21">
        <f t="array" aca="1" ref="AX16" ca="1">IFERROR(IF(AW16&lt;&gt;"",IF(AW16&lt;&gt;0,INDEX(
INDIRECT("'シフト一覧（転載）'!"&amp;AW16&amp;":AK100"),1,
MATCH(1,INDEX((LEN(INDIRECT("'シフト一覧（転載）'!"&amp;AW16&amp;":AK100"))&gt;0)
*(INDIRECT("'シフト一覧（転載）'!"&amp;AW16&amp;":AK100")&lt;&gt;"休み"),1,0),0)),0),""),$E$9&amp;"保育無し")</f>
        <v>0</v>
      </c>
      <c r="AY16" s="21">
        <f t="array" aca="1" ref="AY16" ca="1">IFERROR(IF(AW16&lt;&gt;0,ADDRESS(ROW(INDIRECT(AW16)),
    COLUMN(INDIRECT(AW16)) - 1 +
    MATCH(1,INDEX((LEN(INDIRECT("'シフト一覧（転載）'!"&amp;AW16&amp;":AK100"))&gt;0)
            *(INDIRECT("'シフト一覧（転載）'!"&amp;AW16&amp;":AK100")&lt;&gt;"休み"),
            1,0),0)+1,4),0),"")</f>
        <v>0</v>
      </c>
      <c r="AZ16" s="21">
        <f t="array" aca="1" ref="AZ16" ca="1">IFERROR(IF(AY16&lt;&gt;"",IF(AY16&lt;&gt;0,INDEX(
INDIRECT("'シフト一覧（転載）'!"&amp;AY16&amp;":AK100"),1,
MATCH(1,INDEX((LEN(INDIRECT("'シフト一覧（転載）'!"&amp;AY16&amp;":AK100"))&gt;0)
*(INDIRECT("'シフト一覧（転載）'!"&amp;AY16&amp;":AK100")&lt;&gt;"休み"),1,0),0)),0),""),$E$9&amp;"保育無し")</f>
        <v>0</v>
      </c>
      <c r="BA16" s="21">
        <f t="array" aca="1" ref="BA16" ca="1">IFERROR(IF(AY16&lt;&gt;0,ADDRESS(ROW(INDIRECT(AY16)),
    COLUMN(INDIRECT(AY16)) - 1 +
    MATCH(1,INDEX((LEN(INDIRECT("'シフト一覧（転載）'!"&amp;AY16&amp;":AK100"))&gt;0)
            *(INDIRECT("'シフト一覧（転載）'!"&amp;AY16&amp;":AK100")&lt;&gt;"休み"),
            1,0),0)+1,4),0),"")</f>
        <v>0</v>
      </c>
      <c r="BB16" s="21">
        <f t="array" aca="1" ref="BB16" ca="1">IFERROR(IF(BA16&lt;&gt;"",IF(BA16&lt;&gt;0,INDEX(
INDIRECT("'シフト一覧（転載）'!"&amp;BA16&amp;":AK100"),1,
MATCH(1,INDEX((LEN(INDIRECT("'シフト一覧（転載）'!"&amp;BA16&amp;":AK100"))&gt;0)
*(INDIRECT("'シフト一覧（転載）'!"&amp;BA16&amp;":AK100")&lt;&gt;"休み"),1,0),0)),0),""),$E$9&amp;"保育無し")</f>
        <v>0</v>
      </c>
      <c r="BC16" s="21">
        <f t="array" aca="1" ref="BC16" ca="1">IFERROR(IF(BA16&lt;&gt;0,ADDRESS(ROW(INDIRECT(BA16)),
    COLUMN(INDIRECT(BA16)) - 1 +
    MATCH(1,INDEX((LEN(INDIRECT("'シフト一覧（転載）'!"&amp;BA16&amp;":AK100"))&gt;0)
            *(INDIRECT("'シフト一覧（転載）'!"&amp;BA16&amp;":AK100")&lt;&gt;"休み"),
            1,0),0)+1,4),0),"")</f>
        <v>0</v>
      </c>
      <c r="BD16" s="21">
        <f t="array" aca="1" ref="BD16" ca="1">IFERROR(IF(BC16&lt;&gt;"",IF(BC16&lt;&gt;0,INDEX(
INDIRECT("'シフト一覧（転載）'!"&amp;BC16&amp;":AK100"),1,
MATCH(1,INDEX((LEN(INDIRECT("'シフト一覧（転載）'!"&amp;BC16&amp;":AK100"))&gt;0)
*(INDIRECT("'シフト一覧（転載）'!"&amp;BC16&amp;":AK100")&lt;&gt;"休み"),1,0),0)),0),""),$E$9&amp;"保育無し")</f>
        <v>0</v>
      </c>
      <c r="BE16" s="21">
        <f t="array" aca="1" ref="BE16" ca="1">IFERROR(IF(BC16&lt;&gt;0,ADDRESS(ROW(INDIRECT(BC16)),
    COLUMN(INDIRECT(BC16)) - 1 +
    MATCH(1,INDEX((LEN(INDIRECT("'シフト一覧（転載）'!"&amp;BC16&amp;":AK100"))&gt;0)
            *(INDIRECT("'シフト一覧（転載）'!"&amp;BC16&amp;":AK100")&lt;&gt;"休み"),
            1,0),0)+1,4),0),"")</f>
        <v>0</v>
      </c>
      <c r="BF16" s="21">
        <f t="array" aca="1" ref="BF16" ca="1">IFERROR(IF(BE16&lt;&gt;"",IF(BE16&lt;&gt;0,INDEX(
INDIRECT("'シフト一覧（転載）'!"&amp;BE16&amp;":AK100"),1,
MATCH(1,INDEX((LEN(INDIRECT("'シフト一覧（転載）'!"&amp;BE16&amp;":AK100"))&gt;0)
*(INDIRECT("'シフト一覧（転載）'!"&amp;BE16&amp;":AK100")&lt;&gt;"休み"),1,0),0)),0),""),$E$9&amp;"保育無し")</f>
        <v>0</v>
      </c>
      <c r="BG16" s="21">
        <f t="array" aca="1" ref="BG16" ca="1">IFERROR(IF(BE16&lt;&gt;0,ADDRESS(ROW(INDIRECT(BE16)),
    COLUMN(INDIRECT(BE16)) - 1 +
    MATCH(1,INDEX((LEN(INDIRECT("'シフト一覧（転載）'!"&amp;BE16&amp;":AK100"))&gt;0)
            *(INDIRECT("'シフト一覧（転載）'!"&amp;BE16&amp;":AK100")&lt;&gt;"休み"),
            1,0),0)+1,4),0),"")</f>
        <v>0</v>
      </c>
      <c r="BH16" s="21">
        <f t="array" aca="1" ref="BH16" ca="1">IFERROR(IF(BG16&lt;&gt;"",IF(BG16&lt;&gt;0,INDEX(
INDIRECT("'シフト一覧（転載）'!"&amp;BG16&amp;":AK100"),1,
MATCH(1,INDEX((LEN(INDIRECT("'シフト一覧（転載）'!"&amp;BG16&amp;":AK100"))&gt;0)
*(INDIRECT("'シフト一覧（転載）'!"&amp;BG16&amp;":AK100")&lt;&gt;"休み"),1,0),0)),0),""),$E$9&amp;"保育無し")</f>
        <v>0</v>
      </c>
      <c r="BI16" s="21">
        <f t="array" aca="1" ref="BI16" ca="1">IFERROR(IF(BG16&lt;&gt;0,ADDRESS(ROW(INDIRECT(BG16)),
    COLUMN(INDIRECT(BG16)) - 1 +
    MATCH(1,INDEX((LEN(INDIRECT("'シフト一覧（転載）'!"&amp;BG16&amp;":AK100"))&gt;0)
            *(INDIRECT("'シフト一覧（転載）'!"&amp;BG16&amp;":AK100")&lt;&gt;"休み"),
            1,0),0)+1,4),0),"")</f>
        <v>0</v>
      </c>
      <c r="BJ16" s="21">
        <f t="array" aca="1" ref="BJ16" ca="1">IFERROR(IF(BI16&lt;&gt;"",IF(BI16&lt;&gt;0,INDEX(
INDIRECT("'シフト一覧（転載）'!"&amp;BI16&amp;":AK100"),1,
MATCH(1,INDEX((LEN(INDIRECT("'シフト一覧（転載）'!"&amp;BI16&amp;":AK100"))&gt;0)
*(INDIRECT("'シフト一覧（転載）'!"&amp;BI16&amp;":AK100")&lt;&gt;"休み"),1,0),0)),0),""),$E$9&amp;"保育無し")</f>
        <v>0</v>
      </c>
      <c r="BK16" s="21">
        <f t="array" aca="1" ref="BK16" ca="1">IFERROR(IF(BI16&lt;&gt;0,ADDRESS(ROW(INDIRECT(BI16)),
    COLUMN(INDIRECT(BI16)) - 1 +
    MATCH(1,INDEX((LEN(INDIRECT("'シフト一覧（転載）'!"&amp;BI16&amp;":AK100"))&gt;0)
            *(INDIRECT("'シフト一覧（転載）'!"&amp;BI16&amp;":AK100")&lt;&gt;"休み"),
            1,0),0)+1,4),0),"")</f>
        <v>0</v>
      </c>
      <c r="BL16" s="21">
        <f t="array" aca="1" ref="BL16" ca="1">IFERROR(IF(BK16&lt;&gt;"",IF(BK16&lt;&gt;0,INDEX(
INDIRECT("'シフト一覧（転載）'!"&amp;BK16&amp;":AK100"),1,
MATCH(1,INDEX((LEN(INDIRECT("'シフト一覧（転載）'!"&amp;BK16&amp;":AK100"))&gt;0)
*(INDIRECT("'シフト一覧（転載）'!"&amp;BK16&amp;":AK100")&lt;&gt;"休み"),1,0),0)),0),""),$E$9&amp;"保育無し")</f>
        <v>0</v>
      </c>
      <c r="BM16" s="21">
        <f t="array" aca="1" ref="BM16" ca="1">IFERROR(IF(BK16&lt;&gt;0,ADDRESS(ROW(INDIRECT(BK16)),
    COLUMN(INDIRECT(BK16)) - 1 +
    MATCH(1,INDEX((LEN(INDIRECT("'シフト一覧（転載）'!"&amp;BK16&amp;":AK100"))&gt;0)
            *(INDIRECT("'シフト一覧（転載）'!"&amp;BK16&amp;":AK100")&lt;&gt;"休み"),
            1,0),0)+1,4),0),"")</f>
        <v>0</v>
      </c>
      <c r="BN16" s="21">
        <f t="array" aca="1" ref="BN16" ca="1">IFERROR(IF(BM16&lt;&gt;"",IF(BM16&lt;&gt;0,INDEX(
INDIRECT("'シフト一覧（転載）'!"&amp;BM16&amp;":AK100"),1,
MATCH(1,INDEX((LEN(INDIRECT("'シフト一覧（転載）'!"&amp;BM16&amp;":AK100"))&gt;0)
*(INDIRECT("'シフト一覧（転載）'!"&amp;BM16&amp;":AK100")&lt;&gt;"休み"),1,0),0)),0),""),$E$9&amp;"保育無し")</f>
        <v>0</v>
      </c>
      <c r="BO16" s="21">
        <f t="array" aca="1" ref="BO16" ca="1">IFERROR(IF(BM16&lt;&gt;0,ADDRESS(ROW(INDIRECT(BM16)),
    COLUMN(INDIRECT(BM16)) - 1 +
    MATCH(1,INDEX((LEN(INDIRECT("'シフト一覧（転載）'!"&amp;BM16&amp;":AK100"))&gt;0)
            *(INDIRECT("'シフト一覧（転載）'!"&amp;BM16&amp;":AK100")&lt;&gt;"休み"),
            1,0),0)+1,4),0),"")</f>
        <v>0</v>
      </c>
      <c r="BP16" s="21">
        <f t="array" aca="1" ref="BP16" ca="1">IFERROR(IF(BO16&lt;&gt;"",IF(BO16&lt;&gt;0,INDEX(
INDIRECT("'シフト一覧（転載）'!"&amp;BO16&amp;":AK100"),1,
MATCH(1,INDEX((LEN(INDIRECT("'シフト一覧（転載）'!"&amp;BO16&amp;":AK100"))&gt;0)
*(INDIRECT("'シフト一覧（転載）'!"&amp;BO16&amp;":AK100")&lt;&gt;"休み"),1,0),0)),0),""),$E$9&amp;"保育無し")</f>
        <v>0</v>
      </c>
      <c r="BQ16" s="21">
        <f t="array" aca="1" ref="BQ16" ca="1">IFERROR(IF(BO16&lt;&gt;0,ADDRESS(ROW(INDIRECT(BO16)),
    COLUMN(INDIRECT(BO16)) - 1 +
    MATCH(1,INDEX((LEN(INDIRECT("'シフト一覧（転載）'!"&amp;BO16&amp;":AK100"))&gt;0)
            *(INDIRECT("'シフト一覧（転載）'!"&amp;BO16&amp;":AK100")&lt;&gt;"休み"),
            1,0),0)+1,4),0),"")</f>
        <v>0</v>
      </c>
      <c r="BR16" s="21">
        <f t="array" aca="1" ref="BR16" ca="1">IFERROR(IF(BQ16&lt;&gt;"",IF(BQ16&lt;&gt;0,INDEX(
INDIRECT("'シフト一覧（転載）'!"&amp;BQ16&amp;":AK100"),1,
MATCH(1,INDEX((LEN(INDIRECT("'シフト一覧（転載）'!"&amp;BQ16&amp;":AK100"))&gt;0)
*(INDIRECT("'シフト一覧（転載）'!"&amp;BQ16&amp;":AK100")&lt;&gt;"休み"),1,0),0)),0),""),$E$9&amp;"保育無し")</f>
        <v>0</v>
      </c>
      <c r="BS16" s="21">
        <f t="array" aca="1" ref="BS16" ca="1">IFERROR(IF(BQ16&lt;&gt;0,ADDRESS(ROW(INDIRECT(BQ16)),
    COLUMN(INDIRECT(BQ16)) - 1 +
    MATCH(1,INDEX((LEN(INDIRECT("'シフト一覧（転載）'!"&amp;BQ16&amp;":AK100"))&gt;0)
            *(INDIRECT("'シフト一覧（転載）'!"&amp;BQ16&amp;":AK100")&lt;&gt;"休み"),
            1,0),0)+1,4),0),"")</f>
        <v>0</v>
      </c>
      <c r="BT16" s="21">
        <f t="array" aca="1" ref="BT16" ca="1">IFERROR(IF(BS16&lt;&gt;"",IF(BS16&lt;&gt;0,INDEX(
INDIRECT("'シフト一覧（転載）'!"&amp;BS16&amp;":AK100"),1,
MATCH(1,INDEX((LEN(INDIRECT("'シフト一覧（転載）'!"&amp;BS16&amp;":AK100"))&gt;0)
*(INDIRECT("'シフト一覧（転載）'!"&amp;BS16&amp;":AK100")&lt;&gt;"休み"),1,0),0)),0),""),$E$9&amp;"保育無し")</f>
        <v>0</v>
      </c>
      <c r="BU16" s="21">
        <f t="array" aca="1" ref="BU16" ca="1">IFERROR(IF(BS16&lt;&gt;0,ADDRESS(ROW(INDIRECT(BS16)),
    COLUMN(INDIRECT(BS16)) - 1 +
    MATCH(1,INDEX((LEN(INDIRECT("'シフト一覧（転載）'!"&amp;BS16&amp;":AK100"))&gt;0)
            *(INDIRECT("'シフト一覧（転載）'!"&amp;BS16&amp;":AK100")&lt;&gt;"休み"),
            1,0),0)+1,4),0),"")</f>
        <v>0</v>
      </c>
      <c r="BV16" s="21">
        <f t="array" aca="1" ref="BV16" ca="1">IFERROR(IF(BU16&lt;&gt;"",IF(BU16&lt;&gt;0,INDEX(
INDIRECT("'シフト一覧（転載）'!"&amp;BU16&amp;":AK100"),1,
MATCH(1,INDEX((LEN(INDIRECT("'シフト一覧（転載）'!"&amp;BU16&amp;":AK100"))&gt;0)
*(INDIRECT("'シフト一覧（転載）'!"&amp;BU16&amp;":AK100")&lt;&gt;"休み"),1,0),0)),0),""),$E$9&amp;"保育無し")</f>
        <v>0</v>
      </c>
      <c r="BW16" s="21">
        <f t="array" aca="1" ref="BW16" ca="1">IFERROR(IF(BU16&lt;&gt;0,ADDRESS(ROW(INDIRECT(BU16)),
    COLUMN(INDIRECT(BU16)) - 1 +
    MATCH(1,INDEX((LEN(INDIRECT("'シフト一覧（転載）'!"&amp;BU16&amp;":AK100"))&gt;0)
            *(INDIRECT("'シフト一覧（転載）'!"&amp;BU16&amp;":AK100")&lt;&gt;"休み"),
            1,0),0)+1,4),0),"")</f>
        <v>0</v>
      </c>
      <c r="BX16" s="21">
        <f t="array" aca="1" ref="BX16" ca="1">IFERROR(IF(BW16&lt;&gt;"",IF(BW16&lt;&gt;0,INDEX(
INDIRECT("'シフト一覧（転載）'!"&amp;BW16&amp;":AK100"),1,
MATCH(1,INDEX((LEN(INDIRECT("'シフト一覧（転載）'!"&amp;BW16&amp;":AK100"))&gt;0)
*(INDIRECT("'シフト一覧（転載）'!"&amp;BW16&amp;":AK100")&lt;&gt;"休み"),1,0),0)),0),""),$E$9&amp;"保育無し")</f>
        <v>0</v>
      </c>
      <c r="BY16" s="21">
        <f t="array" aca="1" ref="BY16" ca="1">IFERROR(IF(BW16&lt;&gt;0,ADDRESS(ROW(INDIRECT(BW16)),
    COLUMN(INDIRECT(BW16)) - 1 +
    MATCH(1,INDEX((LEN(INDIRECT("'シフト一覧（転載）'!"&amp;BW16&amp;":AK100"))&gt;0)
            *(INDIRECT("'シフト一覧（転載）'!"&amp;BW16&amp;":AK100")&lt;&gt;"休み"),
            1,0),0)+1,4),0),"")</f>
        <v>0</v>
      </c>
    </row>
    <row r="17" spans="1:77" ht="19.2" customHeight="1" x14ac:dyDescent="0.2">
      <c r="A17" s="46">
        <f t="shared" si="4"/>
        <v>0</v>
      </c>
      <c r="B17" s="64">
        <f t="array" aca="1" ref="B17" ca="1">IFERROR(IF(INDIRECT("'Page_" &amp; A17 &amp; "'!Q3")&lt;&gt;"",INDIRECT("'Page_" &amp; A17 &amp; "'!Q3"),INDIRECT("'Page_" &amp; A17 &amp; "'!P3")),0)</f>
        <v>0</v>
      </c>
      <c r="C17" s="42">
        <f t="shared" ca="1" si="0"/>
        <v>0</v>
      </c>
      <c r="D17" s="31">
        <f t="shared" ca="1" si="1"/>
        <v>0</v>
      </c>
      <c r="E17" s="28">
        <f t="shared" ca="1" si="2"/>
        <v>0</v>
      </c>
      <c r="F17" s="69" t="str">
        <f t="array" aca="1" ref="F17" ca="1">IFERROR(INDEX('シフト一覧（転載）'!$C$8:$C$100,
MATCH(1, (ISNUMBER(SEARCH(I17,'シフト一覧（転載）'!$A$8:$A$100)))
*(ISNUMBER(SEARCH($E$9,'シフト一覧（転載）'!$B$8:$B$100))), 0)),"")</f>
        <v/>
      </c>
      <c r="G17" s="60">
        <f t="shared" ca="1" si="3"/>
        <v>0</v>
      </c>
      <c r="H17" s="28">
        <f t="array" aca="1" ref="H17" ca="1">IFERROR(SUM(INDIRECT("'Page_" &amp; A17 &amp; "'!K"&amp;MATCH("有休",INDIRECT("'Page_" &amp; A17 &amp; "'!K:K"),0)+2&amp;"")
+INDIRECT("'Page_" &amp; A17 &amp; "'!L"&amp;MATCH("特休",INDIRECT("'Page_" &amp; A17 &amp; "'!L:L"),0)+2&amp;""))*24,0)</f>
        <v>0</v>
      </c>
      <c r="I17" s="51">
        <f t="array" aca="1" ref="I17" ca="1">IFERROR(_xlfn.TEXTJOIN("", TRUE, IF(ISERR(MID(INDIRECT("'Page_" &amp; A17 &amp; "'!C2"), ROW(INDIRECT("1:" &amp; LEN(INDIRECT("'Page_" &amp; A17 &amp; "'!C2")))), 1)*1), MID(INDIRECT("'Page_" &amp; A17 &amp; "'!C2"), ROW(INDIRECT("1:" &amp; LEN(INDIRECT("'Page_" &amp; A17 &amp; "'!C2")))), 1), "")),0)</f>
        <v>0</v>
      </c>
      <c r="J17" s="52">
        <f t="array" aca="1" ref="J17" ca="1">IFERROR(IF(INDIRECT("'Page_" &amp; A17 &amp; "'!E2")&lt;&gt;"",INDIRECT("'Page_" &amp; A17 &amp; "'!E2"),INDIRECT("'Page_" &amp; A17 &amp; "'!D2")),0)</f>
        <v>0</v>
      </c>
      <c r="K17" s="65"/>
      <c r="M17" s="93"/>
      <c r="N17" s="91"/>
      <c r="O17" s="95"/>
      <c r="P17" s="22">
        <f t="array" aca="1" ref="P17" ca="1">IFERROR(IF(M16&lt;&gt;"",INDEX('シフト一覧（転載）'!$F$8:$AK$100,
    MATCH(1,(ISNUMBER(SEARCH(M16,'シフト一覧（転載）'!$A$8:$A$100)))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MATCH(1,(ISNUMBER(SEARCH(M16,'シフト一覧（転載）'!$A$8:$A$100)))
                *(ISNUMBER(SEARCH($E$9,'シフト一覧（転載）'!$B$8:$B$100))),
                0),0),0)),0),"")</f>
        <v>0</v>
      </c>
      <c r="Q17" s="22">
        <f ca="1">IF(P16=0,0,
IF(OR(P16="",COUNTIF(P16,"*保育無し*")),"",
IF(MOD(P17-P16,1)*24&gt;=8,1,
IF(MOD(P17-P16,1)*24&gt;=6,0.75,0))))</f>
        <v>0</v>
      </c>
      <c r="R17" s="22">
        <f t="array" aca="1" ref="R17" ca="1">IFERROR(IF(Q16&lt;&gt;0,INDEX(
INDIRECT("'シフト一覧（転載）'!"&amp;Q16&amp;":AK100"),1+1,
MATCH(1,INDEX((LEN(INDIRECT("'シフト一覧（転載）'!"&amp;Q16&amp;":AK100"))&gt;0)
*(INDIRECT("'シフト一覧（転載）'!"&amp;Q16&amp;":AK100")&lt;&gt;"休み"),1,0),0)),0),"")</f>
        <v>0</v>
      </c>
      <c r="S17" s="22">
        <f ca="1">IF(R16=0,0,
IF(OR(R16="",COUNTIF(R16,"*保育無し*")),"",
IF(MOD(R17-R16,1)*24&gt;=8,1,
IF(MOD(R17-R16,1)*24&gt;=6,0.75,0))))</f>
        <v>0</v>
      </c>
      <c r="T17" s="22">
        <f t="array" aca="1" ref="T17" ca="1">IFERROR(IF(S16&lt;&gt;0,INDEX(
INDIRECT("'シフト一覧（転載）'!"&amp;S16&amp;":AK100"),1+1,
MATCH(1,INDEX((LEN(INDIRECT("'シフト一覧（転載）'!"&amp;S16&amp;":AK100"))&gt;0)
*(INDIRECT("'シフト一覧（転載）'!"&amp;S16&amp;":AK100")&lt;&gt;"休み"),1,0),0)),0),"")</f>
        <v>0</v>
      </c>
      <c r="U17" s="22">
        <f ca="1">IF(T16=0,0,
IF(OR(T16="",COUNTIF(T16,"*保育無し*")),"",
IF(MOD(T17-T16,1)*24&gt;=8,1,
IF(MOD(T17-T16,1)*24&gt;=6,0.75,0))))</f>
        <v>0</v>
      </c>
      <c r="V17" s="22">
        <f t="array" aca="1" ref="V17" ca="1">IFERROR(IF(U16&lt;&gt;0,INDEX(
INDIRECT("'シフト一覧（転載）'!"&amp;U16&amp;":AK100"),1+1,
MATCH(1,INDEX((LEN(INDIRECT("'シフト一覧（転載）'!"&amp;U16&amp;":AK100"))&gt;0)
*(INDIRECT("'シフト一覧（転載）'!"&amp;U16&amp;":AK100")&lt;&gt;"休み"),1,0),0)),0),"")</f>
        <v>0</v>
      </c>
      <c r="W17" s="22">
        <f ca="1">IF(V16=0,0,
IF(OR(V16="",COUNTIF(V16,"*保育無し*")),"",
IF(MOD(V17-V16,1)*24&gt;=8,1,
IF(MOD(V17-V16,1)*24&gt;=6,0.75,0))))</f>
        <v>0</v>
      </c>
      <c r="X17" s="22">
        <f t="array" aca="1" ref="X17" ca="1">IFERROR(IF(W16&lt;&gt;0,INDEX(
INDIRECT("'シフト一覧（転載）'!"&amp;W16&amp;":AK100"),1+1,
MATCH(1,INDEX((LEN(INDIRECT("'シフト一覧（転載）'!"&amp;W16&amp;":AK100"))&gt;0)
*(INDIRECT("'シフト一覧（転載）'!"&amp;W16&amp;":AK100")&lt;&gt;"休み"),1,0),0)),0),"")</f>
        <v>0</v>
      </c>
      <c r="Y17" s="22">
        <f ca="1">IF(X16=0,0,
IF(OR(X16="",COUNTIF(X16,"*保育無し*")),"",
IF(MOD(X17-X16,1)*24&gt;=8,1,
IF(MOD(X17-X16,1)*24&gt;=6,0.75,0))))</f>
        <v>0</v>
      </c>
      <c r="Z17" s="22">
        <f t="array" aca="1" ref="Z17" ca="1">IFERROR(IF(Y16&lt;&gt;0,INDEX(
INDIRECT("'シフト一覧（転載）'!"&amp;Y16&amp;":AK100"),1+1,
MATCH(1,INDEX((LEN(INDIRECT("'シフト一覧（転載）'!"&amp;Y16&amp;":AK100"))&gt;0)
*(INDIRECT("'シフト一覧（転載）'!"&amp;Y16&amp;":AK100")&lt;&gt;"休み"),1,0),0)),0),"")</f>
        <v>0</v>
      </c>
      <c r="AA17" s="22">
        <f ca="1">IF(Z16=0,0,
IF(OR(Z16="",COUNTIF(Z16,"*保育無し*")),"",
IF(MOD(Z17-Z16,1)*24&gt;=8,1,
IF(MOD(Z17-Z16,1)*24&gt;=6,0.75,0))))</f>
        <v>0</v>
      </c>
      <c r="AB17" s="22">
        <f t="array" aca="1" ref="AB17" ca="1">IFERROR(IF(AA16&lt;&gt;0,INDEX(
INDIRECT("'シフト一覧（転載）'!"&amp;AA16&amp;":AK100"),1+1,
MATCH(1,INDEX((LEN(INDIRECT("'シフト一覧（転載）'!"&amp;AA16&amp;":AK100"))&gt;0)
*(INDIRECT("'シフト一覧（転載）'!"&amp;AA16&amp;":AK100")&lt;&gt;"休み"),1,0),0)),0),"")</f>
        <v>0</v>
      </c>
      <c r="AC17" s="22">
        <f ca="1">IF(AB16=0,0,
IF(OR(AB16="",COUNTIF(AB16,"*保育無し*")),"",
IF(MOD(AB17-AB16,1)*24&gt;=8,1,
IF(MOD(AB17-AB16,1)*24&gt;=6,0.75,0))))</f>
        <v>0</v>
      </c>
      <c r="AD17" s="22">
        <f t="array" aca="1" ref="AD17" ca="1">IFERROR(IF(AC16&lt;&gt;0,INDEX(
INDIRECT("'シフト一覧（転載）'!"&amp;AC16&amp;":AK100"),1+1,
MATCH(1,INDEX((LEN(INDIRECT("'シフト一覧（転載）'!"&amp;AC16&amp;":AK100"))&gt;0)
*(INDIRECT("'シフト一覧（転載）'!"&amp;AC16&amp;":AK100")&lt;&gt;"休み"),1,0),0)),0),"")</f>
        <v>0</v>
      </c>
      <c r="AE17" s="22">
        <f ca="1">IF(AD16=0,0,
IF(OR(AD16="",COUNTIF(AD16,"*保育無し*")),"",
IF(MOD(AD17-AD16,1)*24&gt;=8,1,
IF(MOD(AD17-AD16,1)*24&gt;=6,0.75,0))))</f>
        <v>0</v>
      </c>
      <c r="AF17" s="22">
        <f t="array" aca="1" ref="AF17" ca="1">IFERROR(IF(AE16&lt;&gt;0,INDEX(
INDIRECT("'シフト一覧（転載）'!"&amp;AE16&amp;":AK100"),1+1,
MATCH(1,INDEX((LEN(INDIRECT("'シフト一覧（転載）'!"&amp;AE16&amp;":AK100"))&gt;0)
*(INDIRECT("'シフト一覧（転載）'!"&amp;AE16&amp;":AK100")&lt;&gt;"休み"),1,0),0)),0),"")</f>
        <v>0</v>
      </c>
      <c r="AG17" s="22">
        <f ca="1">IF(AF16=0,0,
IF(OR(AF16="",COUNTIF(AF16,"*保育無し*")),"",
IF(MOD(AF17-AF16,1)*24&gt;=8,1,
IF(MOD(AF17-AF16,1)*24&gt;=6,0.75,0))))</f>
        <v>0</v>
      </c>
      <c r="AH17" s="22">
        <f t="array" aca="1" ref="AH17" ca="1">IFERROR(IF(AG16&lt;&gt;0,INDEX(
INDIRECT("'シフト一覧（転載）'!"&amp;AG16&amp;":AK100"),1+1,
MATCH(1,INDEX((LEN(INDIRECT("'シフト一覧（転載）'!"&amp;AG16&amp;":AK100"))&gt;0)
*(INDIRECT("'シフト一覧（転載）'!"&amp;AG16&amp;":AK100")&lt;&gt;"休み"),1,0),0)),0),"")</f>
        <v>0</v>
      </c>
      <c r="AI17" s="22">
        <f ca="1">IF(AH16=0,0,
IF(OR(AH16="",COUNTIF(AH16,"*保育無し*")),"",
IF(MOD(AH17-AH16,1)*24&gt;=8,1,
IF(MOD(AH17-AH16,1)*24&gt;=6,0.75,0))))</f>
        <v>0</v>
      </c>
      <c r="AJ17" s="22">
        <f t="array" aca="1" ref="AJ17" ca="1">IFERROR(IF(AI16&lt;&gt;0,INDEX(
INDIRECT("'シフト一覧（転載）'!"&amp;AI16&amp;":AK100"),1+1,
MATCH(1,INDEX((LEN(INDIRECT("'シフト一覧（転載）'!"&amp;AI16&amp;":AK100"))&gt;0)
*(INDIRECT("'シフト一覧（転載）'!"&amp;AI16&amp;":AK100")&lt;&gt;"休み"),1,0),0)),0),"")</f>
        <v>0</v>
      </c>
      <c r="AK17" s="22">
        <f ca="1">IF(AJ16=0,0,
IF(OR(AJ16="",COUNTIF(AJ16,"*保育無し*")),"",
IF(MOD(AJ17-AJ16,1)*24&gt;=8,1,
IF(MOD(AJ17-AJ16,1)*24&gt;=6,0.75,0))))</f>
        <v>0</v>
      </c>
      <c r="AL17" s="22">
        <f t="array" aca="1" ref="AL17" ca="1">IFERROR(IF(AK16&lt;&gt;0,INDEX(
INDIRECT("'シフト一覧（転載）'!"&amp;AK16&amp;":AK100"),1+1,
MATCH(1,INDEX((LEN(INDIRECT("'シフト一覧（転載）'!"&amp;AK16&amp;":AK100"))&gt;0)
*(INDIRECT("'シフト一覧（転載）'!"&amp;AK16&amp;":AK100")&lt;&gt;"休み"),1,0),0)),0),"")</f>
        <v>0</v>
      </c>
      <c r="AM17" s="22">
        <f ca="1">IF(AL16=0,0,
IF(OR(AL16="",COUNTIF(AL16,"*保育無し*")),"",
IF(MOD(AL17-AL16,1)*24&gt;=8,1,
IF(MOD(AL17-AL16,1)*24&gt;=6,0.75,0))))</f>
        <v>0</v>
      </c>
      <c r="AN17" s="22">
        <f t="array" aca="1" ref="AN17" ca="1">IFERROR(IF(AM16&lt;&gt;0,INDEX(
INDIRECT("'シフト一覧（転載）'!"&amp;AM16&amp;":AK100"),1+1,
MATCH(1,INDEX((LEN(INDIRECT("'シフト一覧（転載）'!"&amp;AM16&amp;":AK100"))&gt;0)
*(INDIRECT("'シフト一覧（転載）'!"&amp;AM16&amp;":AK100")&lt;&gt;"休み"),1,0),0)),0),"")</f>
        <v>0</v>
      </c>
      <c r="AO17" s="22">
        <f ca="1">IF(AN16=0,0,
IF(OR(AN16="",COUNTIF(AN16,"*保育無し*")),"",
IF(MOD(AN17-AN16,1)*24&gt;=8,1,
IF(MOD(AN17-AN16,1)*24&gt;=6,0.75,0))))</f>
        <v>0</v>
      </c>
      <c r="AP17" s="22">
        <f t="array" aca="1" ref="AP17" ca="1">IFERROR(IF(AO16&lt;&gt;0,INDEX(
INDIRECT("'シフト一覧（転載）'!"&amp;AO16&amp;":AK100"),1+1,
MATCH(1,INDEX((LEN(INDIRECT("'シフト一覧（転載）'!"&amp;AO16&amp;":AK100"))&gt;0)
*(INDIRECT("'シフト一覧（転載）'!"&amp;AO16&amp;":AK100")&lt;&gt;"休み"),1,0),0)),0),"")</f>
        <v>0</v>
      </c>
      <c r="AQ17" s="22">
        <f ca="1">IF(AP16=0,0,
IF(OR(AP16="",COUNTIF(AP16,"*保育無し*")),"",
IF(MOD(AP17-AP16,1)*24&gt;=8,1,
IF(MOD(AP17-AP16,1)*24&gt;=6,0.75,0))))</f>
        <v>0</v>
      </c>
      <c r="AR17" s="22">
        <f t="array" aca="1" ref="AR17" ca="1">IFERROR(IF(AQ16&lt;&gt;0,INDEX(
INDIRECT("'シフト一覧（転載）'!"&amp;AQ16&amp;":AK100"),1+1,
MATCH(1,INDEX((LEN(INDIRECT("'シフト一覧（転載）'!"&amp;AQ16&amp;":AK100"))&gt;0)
*(INDIRECT("'シフト一覧（転載）'!"&amp;AQ16&amp;":AK100")&lt;&gt;"休み"),1,0),0)),0),"")</f>
        <v>0</v>
      </c>
      <c r="AS17" s="22">
        <f ca="1">IF(AR16=0,0,
IF(OR(AR16="",COUNTIF(AR16,"*保育無し*")),"",
IF(MOD(AR17-AR16,1)*24&gt;=8,1,
IF(MOD(AR17-AR16,1)*24&gt;=6,0.75,0))))</f>
        <v>0</v>
      </c>
      <c r="AT17" s="22">
        <f t="array" aca="1" ref="AT17" ca="1">IFERROR(IF(AS16&lt;&gt;0,INDEX(
INDIRECT("'シフト一覧（転載）'!"&amp;AS16&amp;":AK100"),1+1,
MATCH(1,INDEX((LEN(INDIRECT("'シフト一覧（転載）'!"&amp;AS16&amp;":AK100"))&gt;0)
*(INDIRECT("'シフト一覧（転載）'!"&amp;AS16&amp;":AK100")&lt;&gt;"休み"),1,0),0)),0),"")</f>
        <v>0</v>
      </c>
      <c r="AU17" s="22">
        <f ca="1">IF(AT16=0,0,
IF(OR(AT16="",COUNTIF(AT16,"*保育無し*")),"",
IF(MOD(AT17-AT16,1)*24&gt;=8,1,
IF(MOD(AT17-AT16,1)*24&gt;=6,0.75,0))))</f>
        <v>0</v>
      </c>
      <c r="AV17" s="22">
        <f t="array" aca="1" ref="AV17" ca="1">IFERROR(IF(AU16&lt;&gt;0,INDEX(
INDIRECT("'シフト一覧（転載）'!"&amp;AU16&amp;":AK100"),1+1,
MATCH(1,INDEX((LEN(INDIRECT("'シフト一覧（転載）'!"&amp;AU16&amp;":AK100"))&gt;0)
*(INDIRECT("'シフト一覧（転載）'!"&amp;AU16&amp;":AK100")&lt;&gt;"休み"),1,0),0)),0),"")</f>
        <v>0</v>
      </c>
      <c r="AW17" s="22">
        <f ca="1">IF(AV16=0,0,
IF(OR(AV16="",COUNTIF(AV16,"*保育無し*")),"",
IF(MOD(AV17-AV16,1)*24&gt;=8,1,
IF(MOD(AV17-AV16,1)*24&gt;=6,0.75,0))))</f>
        <v>0</v>
      </c>
      <c r="AX17" s="22">
        <f t="array" aca="1" ref="AX17" ca="1">IFERROR(IF(AW16&lt;&gt;0,INDEX(
INDIRECT("'シフト一覧（転載）'!"&amp;AW16&amp;":AK100"),1+1,
MATCH(1,INDEX((LEN(INDIRECT("'シフト一覧（転載）'!"&amp;AW16&amp;":AK100"))&gt;0)
*(INDIRECT("'シフト一覧（転載）'!"&amp;AW16&amp;":AK100")&lt;&gt;"休み"),1,0),0)),0),"")</f>
        <v>0</v>
      </c>
      <c r="AY17" s="22">
        <f ca="1">IF(AX16=0,0,
IF(OR(AX16="",COUNTIF(AX16,"*保育無し*")),"",
IF(MOD(AX17-AX16,1)*24&gt;=8,1,
IF(MOD(AX17-AX16,1)*24&gt;=6,0.75,0))))</f>
        <v>0</v>
      </c>
      <c r="AZ17" s="22">
        <f t="array" aca="1" ref="AZ17" ca="1">IFERROR(IF(AY16&lt;&gt;0,INDEX(
INDIRECT("'シフト一覧（転載）'!"&amp;AY16&amp;":AK100"),1+1,
MATCH(1,INDEX((LEN(INDIRECT("'シフト一覧（転載）'!"&amp;AY16&amp;":AK100"))&gt;0)
*(INDIRECT("'シフト一覧（転載）'!"&amp;AY16&amp;":AK100")&lt;&gt;"休み"),1,0),0)),0),"")</f>
        <v>0</v>
      </c>
      <c r="BA17" s="22">
        <f ca="1">IF(AZ16=0,0,
IF(OR(AZ16="",COUNTIF(AZ16,"*保育無し*")),"",
IF(MOD(AZ17-AZ16,1)*24&gt;=8,1,
IF(MOD(AZ17-AZ16,1)*24&gt;=6,0.75,0))))</f>
        <v>0</v>
      </c>
      <c r="BB17" s="22">
        <f t="array" aca="1" ref="BB17" ca="1">IFERROR(IF(BA16&lt;&gt;0,INDEX(
INDIRECT("'シフト一覧（転載）'!"&amp;BA16&amp;":AK100"),1+1,
MATCH(1,INDEX((LEN(INDIRECT("'シフト一覧（転載）'!"&amp;BA16&amp;":AK100"))&gt;0)
*(INDIRECT("'シフト一覧（転載）'!"&amp;BA16&amp;":AK100")&lt;&gt;"休み"),1,0),0)),0),"")</f>
        <v>0</v>
      </c>
      <c r="BC17" s="22">
        <f ca="1">IF(BB16=0,0,
IF(OR(BB16="",COUNTIF(BB16,"*保育無し*")),"",
IF(MOD(BB17-BB16,1)*24&gt;=8,1,
IF(MOD(BB17-BB16,1)*24&gt;=6,0.75,0))))</f>
        <v>0</v>
      </c>
      <c r="BD17" s="22">
        <f t="array" aca="1" ref="BD17" ca="1">IFERROR(IF(BC16&lt;&gt;0,INDEX(
INDIRECT("'シフト一覧（転載）'!"&amp;BC16&amp;":AK100"),1+1,
MATCH(1,INDEX((LEN(INDIRECT("'シフト一覧（転載）'!"&amp;BC16&amp;":AK100"))&gt;0)
*(INDIRECT("'シフト一覧（転載）'!"&amp;BC16&amp;":AK100")&lt;&gt;"休み"),1,0),0)),0),"")</f>
        <v>0</v>
      </c>
      <c r="BE17" s="22">
        <f ca="1">IF(BD16=0,0,
IF(OR(BD16="",COUNTIF(BD16,"*保育無し*")),"",
IF(MOD(BD17-BD16,1)*24&gt;=8,1,
IF(MOD(BD17-BD16,1)*24&gt;=6,0.75,0))))</f>
        <v>0</v>
      </c>
      <c r="BF17" s="22">
        <f t="array" aca="1" ref="BF17" ca="1">IFERROR(IF(BE16&lt;&gt;0,INDEX(
INDIRECT("'シフト一覧（転載）'!"&amp;BE16&amp;":AK100"),1+1,
MATCH(1,INDEX((LEN(INDIRECT("'シフト一覧（転載）'!"&amp;BE16&amp;":AK100"))&gt;0)
*(INDIRECT("'シフト一覧（転載）'!"&amp;BE16&amp;":AK100")&lt;&gt;"休み"),1,0),0)),0),"")</f>
        <v>0</v>
      </c>
      <c r="BG17" s="22">
        <f ca="1">IF(BF16=0,0,
IF(OR(BF16="",COUNTIF(BF16,"*保育無し*")),"",
IF(MOD(BF17-BF16,1)*24&gt;=8,1,
IF(MOD(BF17-BF16,1)*24&gt;=6,0.75,0))))</f>
        <v>0</v>
      </c>
      <c r="BH17" s="22">
        <f t="array" aca="1" ref="BH17" ca="1">IFERROR(IF(BG16&lt;&gt;0,INDEX(
INDIRECT("'シフト一覧（転載）'!"&amp;BG16&amp;":AK100"),1+1,
MATCH(1,INDEX((LEN(INDIRECT("'シフト一覧（転載）'!"&amp;BG16&amp;":AK100"))&gt;0)
*(INDIRECT("'シフト一覧（転載）'!"&amp;BG16&amp;":AK100")&lt;&gt;"休み"),1,0),0)),0),"")</f>
        <v>0</v>
      </c>
      <c r="BI17" s="22">
        <f ca="1">IF(BH16=0,0,
IF(OR(BH16="",COUNTIF(BH16,"*保育無し*")),"",
IF(MOD(BH17-BH16,1)*24&gt;=8,1,
IF(MOD(BH17-BH16,1)*24&gt;=6,0.75,0))))</f>
        <v>0</v>
      </c>
      <c r="BJ17" s="22">
        <f t="array" aca="1" ref="BJ17" ca="1">IFERROR(IF(BI16&lt;&gt;0,INDEX(
INDIRECT("'シフト一覧（転載）'!"&amp;BI16&amp;":AK100"),1+1,
MATCH(1,INDEX((LEN(INDIRECT("'シフト一覧（転載）'!"&amp;BI16&amp;":AK100"))&gt;0)
*(INDIRECT("'シフト一覧（転載）'!"&amp;BI16&amp;":AK100")&lt;&gt;"休み"),1,0),0)),0),"")</f>
        <v>0</v>
      </c>
      <c r="BK17" s="22">
        <f ca="1">IF(BJ16=0,0,
IF(OR(BJ16="",COUNTIF(BJ16,"*保育無し*")),"",
IF(MOD(BJ17-BJ16,1)*24&gt;=8,1,
IF(MOD(BJ17-BJ16,1)*24&gt;=6,0.75,0))))</f>
        <v>0</v>
      </c>
      <c r="BL17" s="22">
        <f t="array" aca="1" ref="BL17" ca="1">IFERROR(IF(BK16&lt;&gt;0,INDEX(
INDIRECT("'シフト一覧（転載）'!"&amp;BK16&amp;":AK100"),1+1,
MATCH(1,INDEX((LEN(INDIRECT("'シフト一覧（転載）'!"&amp;BK16&amp;":AK100"))&gt;0)
*(INDIRECT("'シフト一覧（転載）'!"&amp;BK16&amp;":AK100")&lt;&gt;"休み"),1,0),0)),0),"")</f>
        <v>0</v>
      </c>
      <c r="BM17" s="22">
        <f ca="1">IF(BL16=0,0,
IF(OR(BL16="",COUNTIF(BL16,"*保育無し*")),"",
IF(MOD(BL17-BL16,1)*24&gt;=8,1,
IF(MOD(BL17-BL16,1)*24&gt;=6,0.75,0))))</f>
        <v>0</v>
      </c>
      <c r="BN17" s="22">
        <f t="array" aca="1" ref="BN17" ca="1">IFERROR(IF(BM16&lt;&gt;0,INDEX(
INDIRECT("'シフト一覧（転載）'!"&amp;BM16&amp;":AK100"),1+1,
MATCH(1,INDEX((LEN(INDIRECT("'シフト一覧（転載）'!"&amp;BM16&amp;":AK100"))&gt;0)
*(INDIRECT("'シフト一覧（転載）'!"&amp;BM16&amp;":AK100")&lt;&gt;"休み"),1,0),0)),0),"")</f>
        <v>0</v>
      </c>
      <c r="BO17" s="22">
        <f ca="1">IF(BN16=0,0,
IF(OR(BN16="",COUNTIF(BN16,"*保育無し*")),"",
IF(MOD(BN17-BN16,1)*24&gt;=8,1,
IF(MOD(BN17-BN16,1)*24&gt;=6,0.75,0))))</f>
        <v>0</v>
      </c>
      <c r="BP17" s="22">
        <f t="array" aca="1" ref="BP17" ca="1">IFERROR(IF(BO16&lt;&gt;0,INDEX(
INDIRECT("'シフト一覧（転載）'!"&amp;BO16&amp;":AK100"),1+1,
MATCH(1,INDEX((LEN(INDIRECT("'シフト一覧（転載）'!"&amp;BO16&amp;":AK100"))&gt;0)
*(INDIRECT("'シフト一覧（転載）'!"&amp;BO16&amp;":AK100")&lt;&gt;"休み"),1,0),0)),0),"")</f>
        <v>0</v>
      </c>
      <c r="BQ17" s="22">
        <f ca="1">IF(BP16=0,0,
IF(OR(BP16="",COUNTIF(BP16,"*保育無し*")),"",
IF(MOD(BP17-BP16,1)*24&gt;=8,1,
IF(MOD(BP17-BP16,1)*24&gt;=6,0.75,0))))</f>
        <v>0</v>
      </c>
      <c r="BR17" s="22">
        <f t="array" aca="1" ref="BR17" ca="1">IFERROR(IF(BQ16&lt;&gt;0,INDEX(
INDIRECT("'シフト一覧（転載）'!"&amp;BQ16&amp;":AK100"),1+1,
MATCH(1,INDEX((LEN(INDIRECT("'シフト一覧（転載）'!"&amp;BQ16&amp;":AK100"))&gt;0)
*(INDIRECT("'シフト一覧（転載）'!"&amp;BQ16&amp;":AK100")&lt;&gt;"休み"),1,0),0)),0),"")</f>
        <v>0</v>
      </c>
      <c r="BS17" s="22">
        <f ca="1">IF(BR16=0,0,
IF(OR(BR16="",COUNTIF(BR16,"*保育無し*")),"",
IF(MOD(BR17-BR16,1)*24&gt;=8,1,
IF(MOD(BR17-BR16,1)*24&gt;=6,0.75,0))))</f>
        <v>0</v>
      </c>
      <c r="BT17" s="22">
        <f t="array" aca="1" ref="BT17" ca="1">IFERROR(IF(BS16&lt;&gt;0,INDEX(
INDIRECT("'シフト一覧（転載）'!"&amp;BS16&amp;":AK100"),1+1,
MATCH(1,INDEX((LEN(INDIRECT("'シフト一覧（転載）'!"&amp;BS16&amp;":AK100"))&gt;0)
*(INDIRECT("'シフト一覧（転載）'!"&amp;BS16&amp;":AK100")&lt;&gt;"休み"),1,0),0)),0),"")</f>
        <v>0</v>
      </c>
      <c r="BU17" s="22">
        <f ca="1">IF(BT16=0,0,
IF(OR(BT16="",COUNTIF(BT16,"*保育無し*")),"",
IF(MOD(BT17-BT16,1)*24&gt;=8,1,
IF(MOD(BT17-BT16,1)*24&gt;=6,0.75,0))))</f>
        <v>0</v>
      </c>
      <c r="BV17" s="22">
        <f t="array" aca="1" ref="BV17" ca="1">IFERROR(IF(BU16&lt;&gt;0,INDEX(
INDIRECT("'シフト一覧（転載）'!"&amp;BU16&amp;":AK100"),1+1,
MATCH(1,INDEX((LEN(INDIRECT("'シフト一覧（転載）'!"&amp;BU16&amp;":AK100"))&gt;0)
*(INDIRECT("'シフト一覧（転載）'!"&amp;BU16&amp;":AK100")&lt;&gt;"休み"),1,0),0)),0),"")</f>
        <v>0</v>
      </c>
      <c r="BW17" s="22">
        <f ca="1">IF(BV16=0,0,
IF(OR(BV16="",COUNTIF(BV16,"*保育無し*")),"",
IF(MOD(BV17-BV16,1)*24&gt;=8,1,
IF(MOD(BV17-BV16,1)*24&gt;=6,0.75,0))))</f>
        <v>0</v>
      </c>
      <c r="BX17" s="22">
        <f t="array" aca="1" ref="BX17" ca="1">IFERROR(IF(BW16&lt;&gt;0,INDEX(
INDIRECT("'シフト一覧（転載）'!"&amp;BW16&amp;":AK100"),1+1,
MATCH(1,INDEX((LEN(INDIRECT("'シフト一覧（転載）'!"&amp;BW16&amp;":AK100"))&gt;0)
*(INDIRECT("'シフト一覧（転載）'!"&amp;BW16&amp;":AK100")&lt;&gt;"休み"),1,0),0)),0),"")</f>
        <v>0</v>
      </c>
      <c r="BY17" s="22">
        <f ca="1">IF(BX16=0,0,
IF(OR(BX16="",COUNTIF(BX16,"*保育無し*")),"",
IF(MOD(BX17-BX16,1)*24&gt;=8,1,
IF(MOD(BX17-BX16,1)*24&gt;=6,0.75,0))))</f>
        <v>0</v>
      </c>
    </row>
    <row r="18" spans="1:77" ht="19.2" customHeight="1" x14ac:dyDescent="0.2">
      <c r="A18" s="46">
        <f t="shared" si="4"/>
        <v>0</v>
      </c>
      <c r="B18" s="64">
        <f t="array" aca="1" ref="B18" ca="1">IFERROR(IF(INDIRECT("'Page_" &amp; A18 &amp; "'!Q3")&lt;&gt;"",INDIRECT("'Page_" &amp; A18 &amp; "'!Q3"),INDIRECT("'Page_" &amp; A18 &amp; "'!P3")),0)</f>
        <v>0</v>
      </c>
      <c r="C18" s="42">
        <f t="shared" ca="1" si="0"/>
        <v>0</v>
      </c>
      <c r="D18" s="31">
        <f t="shared" ca="1" si="1"/>
        <v>0</v>
      </c>
      <c r="E18" s="28">
        <f t="shared" ca="1" si="2"/>
        <v>0</v>
      </c>
      <c r="F18" s="69" t="str">
        <f t="array" aca="1" ref="F18" ca="1">IFERROR(INDEX('シフト一覧（転載）'!$C$8:$C$100,
MATCH(1, (ISNUMBER(SEARCH(I18,'シフト一覧（転載）'!$A$8:$A$100)))
*(ISNUMBER(SEARCH($E$9,'シフト一覧（転載）'!$B$8:$B$100))), 0)),"")</f>
        <v/>
      </c>
      <c r="G18" s="60">
        <f t="shared" ca="1" si="3"/>
        <v>0</v>
      </c>
      <c r="H18" s="28">
        <f t="array" aca="1" ref="H18" ca="1">IFERROR(SUM(INDIRECT("'Page_" &amp; A18 &amp; "'!K"&amp;MATCH("有休",INDIRECT("'Page_" &amp; A18 &amp; "'!K:K"),0)+2&amp;"")
+INDIRECT("'Page_" &amp; A18 &amp; "'!L"&amp;MATCH("特休",INDIRECT("'Page_" &amp; A18 &amp; "'!L:L"),0)+2&amp;""))*24,0)</f>
        <v>0</v>
      </c>
      <c r="I18" s="51">
        <f t="array" aca="1" ref="I18" ca="1">IFERROR(_xlfn.TEXTJOIN("", TRUE, IF(ISERR(MID(INDIRECT("'Page_" &amp; A18 &amp; "'!C2"), ROW(INDIRECT("1:" &amp; LEN(INDIRECT("'Page_" &amp; A18 &amp; "'!C2")))), 1)*1), MID(INDIRECT("'Page_" &amp; A18 &amp; "'!C2"), ROW(INDIRECT("1:" &amp; LEN(INDIRECT("'Page_" &amp; A18 &amp; "'!C2")))), 1), "")),0)</f>
        <v>0</v>
      </c>
      <c r="J18" s="52">
        <f t="array" aca="1" ref="J18" ca="1">IFERROR(IF(INDIRECT("'Page_" &amp; A18 &amp; "'!E2")&lt;&gt;"",INDIRECT("'Page_" &amp; A18 &amp; "'!E2"),INDIRECT("'Page_" &amp; A18 &amp; "'!D2")),0)</f>
        <v>0</v>
      </c>
      <c r="K18" s="65"/>
      <c r="M18" s="92" t="str">
        <f t="array" aca="1" ref="M18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18" s="90" t="str">
        <f ca="1">IF(M18&lt;&gt;"",VLOOKUP(M18,$I$12:$J$27,2,FALSE),"")</f>
        <v/>
      </c>
      <c r="O18" s="94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21">
        <f t="array" aca="1" ref="P18" ca="1">IFERROR(IF(M18&lt;&gt;"",INDEX('シフト一覧（転載）'!$F$8:$AK$100,
    MATCH(1,(ISNUMBER(SEARCH(M18,'シフト一覧（転載）'!$A$8:$A$100)))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MATCH(1,(ISNUMBER(SEARCH(M18,'シフト一覧（転載）'!$A$8:$A$100)))
                *(ISNUMBER(SEARCH($E$9,'シフト一覧（転載）'!$B$8:$B$100))),
                0),0),0)),0),$E$9&amp;"保育無し")</f>
        <v>0</v>
      </c>
      <c r="Q18" s="21">
        <f t="array" aca="1" ref="Q18" ca="1">IFERROR(IF(COUNTIF(P18,"*無*"),"",IF(M18&lt;&gt;"",ADDRESS(
    MATCH(1,(ISNUMBER(SEARCH(M18,'シフト一覧（転載）'!$A$8:$A$100)))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MATCH(1,(ISNUMBER(SEARCH(M18,'シフト一覧（転載）'!$A$8:$A$100)))
                *(ISNUMBER(SEARCH($E$9,'シフト一覧（転載）'!$B$8:$B$100))),0),0),0) + 6,4),0)),0)</f>
        <v>0</v>
      </c>
      <c r="R18" s="21">
        <f t="array" aca="1" ref="R18" ca="1">IFERROR(IF(Q18&lt;&gt;"",IF(Q18&lt;&gt;0,INDEX(
INDIRECT("'シフト一覧（転載）'!"&amp;Q18&amp;":AK100"),1,
MATCH(1,INDEX((LEN(INDIRECT("'シフト一覧（転載）'!"&amp;Q18&amp;":AK100"))&gt;0)
*(INDIRECT("'シフト一覧（転載）'!"&amp;Q18&amp;":AK100")&lt;&gt;"休み"),1,0),0)),0),""),$E$9&amp;"保育無し")</f>
        <v>0</v>
      </c>
      <c r="S18" s="21">
        <f t="array" aca="1" ref="S18" ca="1">IFERROR(IF(Q18&lt;&gt;0,ADDRESS(ROW(INDIRECT(Q18)),
    COLUMN(INDIRECT(Q18)) - 1 +
    MATCH(1,INDEX((LEN(INDIRECT("'シフト一覧（転載）'!"&amp;Q18&amp;":AK100"))&gt;0)
            *(INDIRECT("'シフト一覧（転載）'!"&amp;Q18&amp;":AK100")&lt;&gt;"休み"),
            1,0),0)+1,4),0),"")</f>
        <v>0</v>
      </c>
      <c r="T18" s="21">
        <f t="array" aca="1" ref="T18" ca="1">IFERROR(IF(S18&lt;&gt;"",IF(S18&lt;&gt;0,INDEX(
INDIRECT("'シフト一覧（転載）'!"&amp;S18&amp;":AK100"),1,
MATCH(1,INDEX((LEN(INDIRECT("'シフト一覧（転載）'!"&amp;S18&amp;":AK100"))&gt;0)
*(INDIRECT("'シフト一覧（転載）'!"&amp;S18&amp;":AK100")&lt;&gt;"休み"),1,0),0)),0),""),$E$9&amp;"保育無し")</f>
        <v>0</v>
      </c>
      <c r="U18" s="21">
        <f t="array" aca="1" ref="U18" ca="1">IFERROR(IF(S18&lt;&gt;0,ADDRESS(ROW(INDIRECT(S18)),
    COLUMN(INDIRECT(S18)) - 1 +
    MATCH(1,INDEX((LEN(INDIRECT("'シフト一覧（転載）'!"&amp;S18&amp;":AK100"))&gt;0)
            *(INDIRECT("'シフト一覧（転載）'!"&amp;S18&amp;":AK100")&lt;&gt;"休み"),
            1,0),0)+1,4),0),"")</f>
        <v>0</v>
      </c>
      <c r="V18" s="21">
        <f t="array" aca="1" ref="V18" ca="1">IFERROR(IF(U18&lt;&gt;"",IF(U18&lt;&gt;0,INDEX(
INDIRECT("'シフト一覧（転載）'!"&amp;U18&amp;":AK100"),1,
MATCH(1,INDEX((LEN(INDIRECT("'シフト一覧（転載）'!"&amp;U18&amp;":AK100"))&gt;0)
*(INDIRECT("'シフト一覧（転載）'!"&amp;U18&amp;":AK100")&lt;&gt;"休み"),1,0),0)),0),""),$E$9&amp;"保育無し")</f>
        <v>0</v>
      </c>
      <c r="W18" s="21">
        <f t="array" aca="1" ref="W18" ca="1">IFERROR(IF(U18&lt;&gt;0,ADDRESS(ROW(INDIRECT(U18)),
    COLUMN(INDIRECT(U18)) - 1 +
    MATCH(1,INDEX((LEN(INDIRECT("'シフト一覧（転載）'!"&amp;U18&amp;":AK100"))&gt;0)
            *(INDIRECT("'シフト一覧（転載）'!"&amp;U18&amp;":AK100")&lt;&gt;"休み"),
            1,0),0)+1,4),0),"")</f>
        <v>0</v>
      </c>
      <c r="X18" s="21">
        <f t="array" aca="1" ref="X18" ca="1">IFERROR(IF(W18&lt;&gt;"",IF(W18&lt;&gt;0,INDEX(
INDIRECT("'シフト一覧（転載）'!"&amp;W18&amp;":AK100"),1,
MATCH(1,INDEX((LEN(INDIRECT("'シフト一覧（転載）'!"&amp;W18&amp;":AK100"))&gt;0)
*(INDIRECT("'シフト一覧（転載）'!"&amp;W18&amp;":AK100")&lt;&gt;"休み"),1,0),0)),0),""),$E$9&amp;"保育無し")</f>
        <v>0</v>
      </c>
      <c r="Y18" s="21">
        <f t="array" aca="1" ref="Y18" ca="1">IFERROR(IF(W18&lt;&gt;0,ADDRESS(ROW(INDIRECT(W18)),
    COLUMN(INDIRECT(W18)) - 1 +
    MATCH(1,INDEX((LEN(INDIRECT("'シフト一覧（転載）'!"&amp;W18&amp;":AK100"))&gt;0)
            *(INDIRECT("'シフト一覧（転載）'!"&amp;W18&amp;":AK100")&lt;&gt;"休み"),
            1,0),0)+1,4),0),"")</f>
        <v>0</v>
      </c>
      <c r="Z18" s="21">
        <f t="array" aca="1" ref="Z18" ca="1">IFERROR(IF(Y18&lt;&gt;"",IF(Y18&lt;&gt;0,INDEX(
INDIRECT("'シフト一覧（転載）'!"&amp;Y18&amp;":AK100"),1,
MATCH(1,INDEX((LEN(INDIRECT("'シフト一覧（転載）'!"&amp;Y18&amp;":AK100"))&gt;0)
*(INDIRECT("'シフト一覧（転載）'!"&amp;Y18&amp;":AK100")&lt;&gt;"休み"),1,0),0)),0),""),$E$9&amp;"保育無し")</f>
        <v>0</v>
      </c>
      <c r="AA18" s="21">
        <f t="array" aca="1" ref="AA18" ca="1">IFERROR(IF(Y18&lt;&gt;0,ADDRESS(ROW(INDIRECT(Y18)),
    COLUMN(INDIRECT(Y18)) - 1 +
    MATCH(1,INDEX((LEN(INDIRECT("'シフト一覧（転載）'!"&amp;Y18&amp;":AK100"))&gt;0)
            *(INDIRECT("'シフト一覧（転載）'!"&amp;Y18&amp;":AK100")&lt;&gt;"休み"),
            1,0),0)+1,4),0),"")</f>
        <v>0</v>
      </c>
      <c r="AB18" s="21">
        <f t="array" aca="1" ref="AB18" ca="1">IFERROR(IF(AA18&lt;&gt;"",IF(AA18&lt;&gt;0,INDEX(
INDIRECT("'シフト一覧（転載）'!"&amp;AA18&amp;":AK100"),1,
MATCH(1,INDEX((LEN(INDIRECT("'シフト一覧（転載）'!"&amp;AA18&amp;":AK100"))&gt;0)
*(INDIRECT("'シフト一覧（転載）'!"&amp;AA18&amp;":AK100")&lt;&gt;"休み"),1,0),0)),0),""),$E$9&amp;"保育無し")</f>
        <v>0</v>
      </c>
      <c r="AC18" s="21">
        <f t="array" aca="1" ref="AC18" ca="1">IFERROR(IF(AA18&lt;&gt;0,ADDRESS(ROW(INDIRECT(AA18)),
    COLUMN(INDIRECT(AA18)) - 1 +
    MATCH(1,INDEX((LEN(INDIRECT("'シフト一覧（転載）'!"&amp;AA18&amp;":AK100"))&gt;0)
            *(INDIRECT("'シフト一覧（転載）'!"&amp;AA18&amp;":AK100")&lt;&gt;"休み"),
            1,0),0)+1,4),0),"")</f>
        <v>0</v>
      </c>
      <c r="AD18" s="21">
        <f t="array" aca="1" ref="AD18" ca="1">IFERROR(IF(AC18&lt;&gt;"",IF(AC18&lt;&gt;0,INDEX(
INDIRECT("'シフト一覧（転載）'!"&amp;AC18&amp;":AK100"),1,
MATCH(1,INDEX((LEN(INDIRECT("'シフト一覧（転載）'!"&amp;AC18&amp;":AK100"))&gt;0)
*(INDIRECT("'シフト一覧（転載）'!"&amp;AC18&amp;":AK100")&lt;&gt;"休み"),1,0),0)),0),""),$E$9&amp;"保育無し")</f>
        <v>0</v>
      </c>
      <c r="AE18" s="21">
        <f t="array" aca="1" ref="AE18" ca="1">IFERROR(IF(AC18&lt;&gt;0,ADDRESS(ROW(INDIRECT(AC18)),
    COLUMN(INDIRECT(AC18)) - 1 +
    MATCH(1,INDEX((LEN(INDIRECT("'シフト一覧（転載）'!"&amp;AC18&amp;":AK100"))&gt;0)
            *(INDIRECT("'シフト一覧（転載）'!"&amp;AC18&amp;":AK100")&lt;&gt;"休み"),
            1,0),0)+1,4),0),"")</f>
        <v>0</v>
      </c>
      <c r="AF18" s="21">
        <f t="array" aca="1" ref="AF18" ca="1">IFERROR(IF(AE18&lt;&gt;"",IF(AE18&lt;&gt;0,INDEX(
INDIRECT("'シフト一覧（転載）'!"&amp;AE18&amp;":AK100"),1,
MATCH(1,INDEX((LEN(INDIRECT("'シフト一覧（転載）'!"&amp;AE18&amp;":AK100"))&gt;0)
*(INDIRECT("'シフト一覧（転載）'!"&amp;AE18&amp;":AK100")&lt;&gt;"休み"),1,0),0)),0),""),$E$9&amp;"保育無し")</f>
        <v>0</v>
      </c>
      <c r="AG18" s="21">
        <f t="array" aca="1" ref="AG18" ca="1">IFERROR(IF(AE18&lt;&gt;0,ADDRESS(ROW(INDIRECT(AE18)),
    COLUMN(INDIRECT(AE18)) - 1 +
    MATCH(1,INDEX((LEN(INDIRECT("'シフト一覧（転載）'!"&amp;AE18&amp;":AK100"))&gt;0)
            *(INDIRECT("'シフト一覧（転載）'!"&amp;AE18&amp;":AK100")&lt;&gt;"休み"),
            1,0),0)+1,4),0),"")</f>
        <v>0</v>
      </c>
      <c r="AH18" s="21">
        <f t="array" aca="1" ref="AH18" ca="1">IFERROR(IF(AG18&lt;&gt;"",IF(AG18&lt;&gt;0,INDEX(
INDIRECT("'シフト一覧（転載）'!"&amp;AG18&amp;":AK100"),1,
MATCH(1,INDEX((LEN(INDIRECT("'シフト一覧（転載）'!"&amp;AG18&amp;":AK100"))&gt;0)
*(INDIRECT("'シフト一覧（転載）'!"&amp;AG18&amp;":AK100")&lt;&gt;"休み"),1,0),0)),0),""),$E$9&amp;"保育無し")</f>
        <v>0</v>
      </c>
      <c r="AI18" s="21">
        <f t="array" aca="1" ref="AI18" ca="1">IFERROR(IF(AG18&lt;&gt;0,ADDRESS(ROW(INDIRECT(AG18)),
    COLUMN(INDIRECT(AG18)) - 1 +
    MATCH(1,INDEX((LEN(INDIRECT("'シフト一覧（転載）'!"&amp;AG18&amp;":AK100"))&gt;0)
            *(INDIRECT("'シフト一覧（転載）'!"&amp;AG18&amp;":AK100")&lt;&gt;"休み"),
            1,0),0)+1,4),0),"")</f>
        <v>0</v>
      </c>
      <c r="AJ18" s="21">
        <f t="array" aca="1" ref="AJ18" ca="1">IFERROR(IF(AI18&lt;&gt;"",IF(AI18&lt;&gt;0,INDEX(
INDIRECT("'シフト一覧（転載）'!"&amp;AI18&amp;":AK100"),1,
MATCH(1,INDEX((LEN(INDIRECT("'シフト一覧（転載）'!"&amp;AI18&amp;":AK100"))&gt;0)
*(INDIRECT("'シフト一覧（転載）'!"&amp;AI18&amp;":AK100")&lt;&gt;"休み"),1,0),0)),0),""),$E$9&amp;"保育無し")</f>
        <v>0</v>
      </c>
      <c r="AK18" s="21">
        <f t="array" aca="1" ref="AK18" ca="1">IFERROR(IF(AI18&lt;&gt;0,ADDRESS(ROW(INDIRECT(AI18)),
    COLUMN(INDIRECT(AI18)) - 1 +
    MATCH(1,INDEX((LEN(INDIRECT("'シフト一覧（転載）'!"&amp;AI18&amp;":AK100"))&gt;0)
            *(INDIRECT("'シフト一覧（転載）'!"&amp;AI18&amp;":AK100")&lt;&gt;"休み"),
            1,0),0)+1,4),0),"")</f>
        <v>0</v>
      </c>
      <c r="AL18" s="21">
        <f t="array" aca="1" ref="AL18" ca="1">IFERROR(IF(AK18&lt;&gt;"",IF(AK18&lt;&gt;0,INDEX(
INDIRECT("'シフト一覧（転載）'!"&amp;AK18&amp;":AK100"),1,
MATCH(1,INDEX((LEN(INDIRECT("'シフト一覧（転載）'!"&amp;AK18&amp;":AK100"))&gt;0)
*(INDIRECT("'シフト一覧（転載）'!"&amp;AK18&amp;":AK100")&lt;&gt;"休み"),1,0),0)),0),""),$E$9&amp;"保育無し")</f>
        <v>0</v>
      </c>
      <c r="AM18" s="21">
        <f t="array" aca="1" ref="AM18" ca="1">IFERROR(IF(AK18&lt;&gt;0,ADDRESS(ROW(INDIRECT(AK18)),
    COLUMN(INDIRECT(AK18)) - 1 +
    MATCH(1,INDEX((LEN(INDIRECT("'シフト一覧（転載）'!"&amp;AK18&amp;":AK100"))&gt;0)
            *(INDIRECT("'シフト一覧（転載）'!"&amp;AK18&amp;":AK100")&lt;&gt;"休み"),
            1,0),0)+1,4),0),"")</f>
        <v>0</v>
      </c>
      <c r="AN18" s="21">
        <f t="array" aca="1" ref="AN18" ca="1">IFERROR(IF(AM18&lt;&gt;"",IF(AM18&lt;&gt;0,INDEX(
INDIRECT("'シフト一覧（転載）'!"&amp;AM18&amp;":AK100"),1,
MATCH(1,INDEX((LEN(INDIRECT("'シフト一覧（転載）'!"&amp;AM18&amp;":AK100"))&gt;0)
*(INDIRECT("'シフト一覧（転載）'!"&amp;AM18&amp;":AK100")&lt;&gt;"休み"),1,0),0)),0),""),$E$9&amp;"保育無し")</f>
        <v>0</v>
      </c>
      <c r="AO18" s="21">
        <f t="array" aca="1" ref="AO18" ca="1">IFERROR(IF(AM18&lt;&gt;0,ADDRESS(ROW(INDIRECT(AM18)),
    COLUMN(INDIRECT(AM18)) - 1 +
    MATCH(1,INDEX((LEN(INDIRECT("'シフト一覧（転載）'!"&amp;AM18&amp;":AK100"))&gt;0)
            *(INDIRECT("'シフト一覧（転載）'!"&amp;AM18&amp;":AK100")&lt;&gt;"休み"),
            1,0),0)+1,4),0),"")</f>
        <v>0</v>
      </c>
      <c r="AP18" s="21">
        <f t="array" aca="1" ref="AP18" ca="1">IFERROR(IF(AO18&lt;&gt;"",IF(AO18&lt;&gt;0,INDEX(
INDIRECT("'シフト一覧（転載）'!"&amp;AO18&amp;":AK100"),1,
MATCH(1,INDEX((LEN(INDIRECT("'シフト一覧（転載）'!"&amp;AO18&amp;":AK100"))&gt;0)
*(INDIRECT("'シフト一覧（転載）'!"&amp;AO18&amp;":AK100")&lt;&gt;"休み"),1,0),0)),0),""),$E$9&amp;"保育無し")</f>
        <v>0</v>
      </c>
      <c r="AQ18" s="21">
        <f t="array" aca="1" ref="AQ18" ca="1">IFERROR(IF(AO18&lt;&gt;0,ADDRESS(ROW(INDIRECT(AO18)),
    COLUMN(INDIRECT(AO18)) - 1 +
    MATCH(1,INDEX((LEN(INDIRECT("'シフト一覧（転載）'!"&amp;AO18&amp;":AK100"))&gt;0)
            *(INDIRECT("'シフト一覧（転載）'!"&amp;AO18&amp;":AK100")&lt;&gt;"休み"),
            1,0),0)+1,4),0),"")</f>
        <v>0</v>
      </c>
      <c r="AR18" s="21">
        <f t="array" aca="1" ref="AR18" ca="1">IFERROR(IF(AQ18&lt;&gt;"",IF(AQ18&lt;&gt;0,INDEX(
INDIRECT("'シフト一覧（転載）'!"&amp;AQ18&amp;":AK100"),1,
MATCH(1,INDEX((LEN(INDIRECT("'シフト一覧（転載）'!"&amp;AQ18&amp;":AK100"))&gt;0)
*(INDIRECT("'シフト一覧（転載）'!"&amp;AQ18&amp;":AK100")&lt;&gt;"休み"),1,0),0)),0),""),$E$9&amp;"保育無し")</f>
        <v>0</v>
      </c>
      <c r="AS18" s="21">
        <f t="array" aca="1" ref="AS18" ca="1">IFERROR(IF(AQ18&lt;&gt;0,ADDRESS(ROW(INDIRECT(AQ18)),
    COLUMN(INDIRECT(AQ18)) - 1 +
    MATCH(1,INDEX((LEN(INDIRECT("'シフト一覧（転載）'!"&amp;AQ18&amp;":AK100"))&gt;0)
            *(INDIRECT("'シフト一覧（転載）'!"&amp;AQ18&amp;":AK100")&lt;&gt;"休み"),
            1,0),0)+1,4),0),"")</f>
        <v>0</v>
      </c>
      <c r="AT18" s="21">
        <f t="array" aca="1" ref="AT18" ca="1">IFERROR(IF(AS18&lt;&gt;"",IF(AS18&lt;&gt;0,INDEX(
INDIRECT("'シフト一覧（転載）'!"&amp;AS18&amp;":AK100"),1,
MATCH(1,INDEX((LEN(INDIRECT("'シフト一覧（転載）'!"&amp;AS18&amp;":AK100"))&gt;0)
*(INDIRECT("'シフト一覧（転載）'!"&amp;AS18&amp;":AK100")&lt;&gt;"休み"),1,0),0)),0),""),$E$9&amp;"保育無し")</f>
        <v>0</v>
      </c>
      <c r="AU18" s="21">
        <f t="array" aca="1" ref="AU18" ca="1">IFERROR(IF(AS18&lt;&gt;0,ADDRESS(ROW(INDIRECT(AS18)),
    COLUMN(INDIRECT(AS18)) - 1 +
    MATCH(1,INDEX((LEN(INDIRECT("'シフト一覧（転載）'!"&amp;AS18&amp;":AK100"))&gt;0)
            *(INDIRECT("'シフト一覧（転載）'!"&amp;AS18&amp;":AK100")&lt;&gt;"休み"),
            1,0),0)+1,4),0),"")</f>
        <v>0</v>
      </c>
      <c r="AV18" s="21">
        <f t="array" aca="1" ref="AV18" ca="1">IFERROR(IF(AU18&lt;&gt;"",IF(AU18&lt;&gt;0,INDEX(
INDIRECT("'シフト一覧（転載）'!"&amp;AU18&amp;":AK100"),1,
MATCH(1,INDEX((LEN(INDIRECT("'シフト一覧（転載）'!"&amp;AU18&amp;":AK100"))&gt;0)
*(INDIRECT("'シフト一覧（転載）'!"&amp;AU18&amp;":AK100")&lt;&gt;"休み"),1,0),0)),0),""),$E$9&amp;"保育無し")</f>
        <v>0</v>
      </c>
      <c r="AW18" s="21">
        <f t="array" aca="1" ref="AW18" ca="1">IFERROR(IF(AU18&lt;&gt;0,ADDRESS(ROW(INDIRECT(AU18)),
    COLUMN(INDIRECT(AU18)) - 1 +
    MATCH(1,INDEX((LEN(INDIRECT("'シフト一覧（転載）'!"&amp;AU18&amp;":AK100"))&gt;0)
            *(INDIRECT("'シフト一覧（転載）'!"&amp;AU18&amp;":AK100")&lt;&gt;"休み"),
            1,0),0)+1,4),0),"")</f>
        <v>0</v>
      </c>
      <c r="AX18" s="21">
        <f t="array" aca="1" ref="AX18" ca="1">IFERROR(IF(AW18&lt;&gt;"",IF(AW18&lt;&gt;0,INDEX(
INDIRECT("'シフト一覧（転載）'!"&amp;AW18&amp;":AK100"),1,
MATCH(1,INDEX((LEN(INDIRECT("'シフト一覧（転載）'!"&amp;AW18&amp;":AK100"))&gt;0)
*(INDIRECT("'シフト一覧（転載）'!"&amp;AW18&amp;":AK100")&lt;&gt;"休み"),1,0),0)),0),""),$E$9&amp;"保育無し")</f>
        <v>0</v>
      </c>
      <c r="AY18" s="21">
        <f t="array" aca="1" ref="AY18" ca="1">IFERROR(IF(AW18&lt;&gt;0,ADDRESS(ROW(INDIRECT(AW18)),
    COLUMN(INDIRECT(AW18)) - 1 +
    MATCH(1,INDEX((LEN(INDIRECT("'シフト一覧（転載）'!"&amp;AW18&amp;":AK100"))&gt;0)
            *(INDIRECT("'シフト一覧（転載）'!"&amp;AW18&amp;":AK100")&lt;&gt;"休み"),
            1,0),0)+1,4),0),"")</f>
        <v>0</v>
      </c>
      <c r="AZ18" s="21">
        <f t="array" aca="1" ref="AZ18" ca="1">IFERROR(IF(AY18&lt;&gt;"",IF(AY18&lt;&gt;0,INDEX(
INDIRECT("'シフト一覧（転載）'!"&amp;AY18&amp;":AK100"),1,
MATCH(1,INDEX((LEN(INDIRECT("'シフト一覧（転載）'!"&amp;AY18&amp;":AK100"))&gt;0)
*(INDIRECT("'シフト一覧（転載）'!"&amp;AY18&amp;":AK100")&lt;&gt;"休み"),1,0),0)),0),""),$E$9&amp;"保育無し")</f>
        <v>0</v>
      </c>
      <c r="BA18" s="21">
        <f t="array" aca="1" ref="BA18" ca="1">IFERROR(IF(AY18&lt;&gt;0,ADDRESS(ROW(INDIRECT(AY18)),
    COLUMN(INDIRECT(AY18)) - 1 +
    MATCH(1,INDEX((LEN(INDIRECT("'シフト一覧（転載）'!"&amp;AY18&amp;":AK100"))&gt;0)
            *(INDIRECT("'シフト一覧（転載）'!"&amp;AY18&amp;":AK100")&lt;&gt;"休み"),
            1,0),0)+1,4),0),"")</f>
        <v>0</v>
      </c>
      <c r="BB18" s="21">
        <f t="array" aca="1" ref="BB18" ca="1">IFERROR(IF(BA18&lt;&gt;"",IF(BA18&lt;&gt;0,INDEX(
INDIRECT("'シフト一覧（転載）'!"&amp;BA18&amp;":AK100"),1,
MATCH(1,INDEX((LEN(INDIRECT("'シフト一覧（転載）'!"&amp;BA18&amp;":AK100"))&gt;0)
*(INDIRECT("'シフト一覧（転載）'!"&amp;BA18&amp;":AK100")&lt;&gt;"休み"),1,0),0)),0),""),$E$9&amp;"保育無し")</f>
        <v>0</v>
      </c>
      <c r="BC18" s="21">
        <f t="array" aca="1" ref="BC18" ca="1">IFERROR(IF(BA18&lt;&gt;0,ADDRESS(ROW(INDIRECT(BA18)),
    COLUMN(INDIRECT(BA18)) - 1 +
    MATCH(1,INDEX((LEN(INDIRECT("'シフト一覧（転載）'!"&amp;BA18&amp;":AK100"))&gt;0)
            *(INDIRECT("'シフト一覧（転載）'!"&amp;BA18&amp;":AK100")&lt;&gt;"休み"),
            1,0),0)+1,4),0),"")</f>
        <v>0</v>
      </c>
      <c r="BD18" s="21">
        <f t="array" aca="1" ref="BD18" ca="1">IFERROR(IF(BC18&lt;&gt;"",IF(BC18&lt;&gt;0,INDEX(
INDIRECT("'シフト一覧（転載）'!"&amp;BC18&amp;":AK100"),1,
MATCH(1,INDEX((LEN(INDIRECT("'シフト一覧（転載）'!"&amp;BC18&amp;":AK100"))&gt;0)
*(INDIRECT("'シフト一覧（転載）'!"&amp;BC18&amp;":AK100")&lt;&gt;"休み"),1,0),0)),0),""),$E$9&amp;"保育無し")</f>
        <v>0</v>
      </c>
      <c r="BE18" s="21">
        <f t="array" aca="1" ref="BE18" ca="1">IFERROR(IF(BC18&lt;&gt;0,ADDRESS(ROW(INDIRECT(BC18)),
    COLUMN(INDIRECT(BC18)) - 1 +
    MATCH(1,INDEX((LEN(INDIRECT("'シフト一覧（転載）'!"&amp;BC18&amp;":AK100"))&gt;0)
            *(INDIRECT("'シフト一覧（転載）'!"&amp;BC18&amp;":AK100")&lt;&gt;"休み"),
            1,0),0)+1,4),0),"")</f>
        <v>0</v>
      </c>
      <c r="BF18" s="21">
        <f t="array" aca="1" ref="BF18" ca="1">IFERROR(IF(BE18&lt;&gt;"",IF(BE18&lt;&gt;0,INDEX(
INDIRECT("'シフト一覧（転載）'!"&amp;BE18&amp;":AK100"),1,
MATCH(1,INDEX((LEN(INDIRECT("'シフト一覧（転載）'!"&amp;BE18&amp;":AK100"))&gt;0)
*(INDIRECT("'シフト一覧（転載）'!"&amp;BE18&amp;":AK100")&lt;&gt;"休み"),1,0),0)),0),""),$E$9&amp;"保育無し")</f>
        <v>0</v>
      </c>
      <c r="BG18" s="21">
        <f t="array" aca="1" ref="BG18" ca="1">IFERROR(IF(BE18&lt;&gt;0,ADDRESS(ROW(INDIRECT(BE18)),
    COLUMN(INDIRECT(BE18)) - 1 +
    MATCH(1,INDEX((LEN(INDIRECT("'シフト一覧（転載）'!"&amp;BE18&amp;":AK100"))&gt;0)
            *(INDIRECT("'シフト一覧（転載）'!"&amp;BE18&amp;":AK100")&lt;&gt;"休み"),
            1,0),0)+1,4),0),"")</f>
        <v>0</v>
      </c>
      <c r="BH18" s="21">
        <f t="array" aca="1" ref="BH18" ca="1">IFERROR(IF(BG18&lt;&gt;"",IF(BG18&lt;&gt;0,INDEX(
INDIRECT("'シフト一覧（転載）'!"&amp;BG18&amp;":AK100"),1,
MATCH(1,INDEX((LEN(INDIRECT("'シフト一覧（転載）'!"&amp;BG18&amp;":AK100"))&gt;0)
*(INDIRECT("'シフト一覧（転載）'!"&amp;BG18&amp;":AK100")&lt;&gt;"休み"),1,0),0)),0),""),$E$9&amp;"保育無し")</f>
        <v>0</v>
      </c>
      <c r="BI18" s="21">
        <f t="array" aca="1" ref="BI18" ca="1">IFERROR(IF(BG18&lt;&gt;0,ADDRESS(ROW(INDIRECT(BG18)),
    COLUMN(INDIRECT(BG18)) - 1 +
    MATCH(1,INDEX((LEN(INDIRECT("'シフト一覧（転載）'!"&amp;BG18&amp;":AK100"))&gt;0)
            *(INDIRECT("'シフト一覧（転載）'!"&amp;BG18&amp;":AK100")&lt;&gt;"休み"),
            1,0),0)+1,4),0),"")</f>
        <v>0</v>
      </c>
      <c r="BJ18" s="21">
        <f t="array" aca="1" ref="BJ18" ca="1">IFERROR(IF(BI18&lt;&gt;"",IF(BI18&lt;&gt;0,INDEX(
INDIRECT("'シフト一覧（転載）'!"&amp;BI18&amp;":AK100"),1,
MATCH(1,INDEX((LEN(INDIRECT("'シフト一覧（転載）'!"&amp;BI18&amp;":AK100"))&gt;0)
*(INDIRECT("'シフト一覧（転載）'!"&amp;BI18&amp;":AK100")&lt;&gt;"休み"),1,0),0)),0),""),$E$9&amp;"保育無し")</f>
        <v>0</v>
      </c>
      <c r="BK18" s="21">
        <f t="array" aca="1" ref="BK18" ca="1">IFERROR(IF(BI18&lt;&gt;0,ADDRESS(ROW(INDIRECT(BI18)),
    COLUMN(INDIRECT(BI18)) - 1 +
    MATCH(1,INDEX((LEN(INDIRECT("'シフト一覧（転載）'!"&amp;BI18&amp;":AK100"))&gt;0)
            *(INDIRECT("'シフト一覧（転載）'!"&amp;BI18&amp;":AK100")&lt;&gt;"休み"),
            1,0),0)+1,4),0),"")</f>
        <v>0</v>
      </c>
      <c r="BL18" s="21">
        <f t="array" aca="1" ref="BL18" ca="1">IFERROR(IF(BK18&lt;&gt;"",IF(BK18&lt;&gt;0,INDEX(
INDIRECT("'シフト一覧（転載）'!"&amp;BK18&amp;":AK100"),1,
MATCH(1,INDEX((LEN(INDIRECT("'シフト一覧（転載）'!"&amp;BK18&amp;":AK100"))&gt;0)
*(INDIRECT("'シフト一覧（転載）'!"&amp;BK18&amp;":AK100")&lt;&gt;"休み"),1,0),0)),0),""),$E$9&amp;"保育無し")</f>
        <v>0</v>
      </c>
      <c r="BM18" s="21">
        <f t="array" aca="1" ref="BM18" ca="1">IFERROR(IF(BK18&lt;&gt;0,ADDRESS(ROW(INDIRECT(BK18)),
    COLUMN(INDIRECT(BK18)) - 1 +
    MATCH(1,INDEX((LEN(INDIRECT("'シフト一覧（転載）'!"&amp;BK18&amp;":AK100"))&gt;0)
            *(INDIRECT("'シフト一覧（転載）'!"&amp;BK18&amp;":AK100")&lt;&gt;"休み"),
            1,0),0)+1,4),0),"")</f>
        <v>0</v>
      </c>
      <c r="BN18" s="21">
        <f t="array" aca="1" ref="BN18" ca="1">IFERROR(IF(BM18&lt;&gt;"",IF(BM18&lt;&gt;0,INDEX(
INDIRECT("'シフト一覧（転載）'!"&amp;BM18&amp;":AK100"),1,
MATCH(1,INDEX((LEN(INDIRECT("'シフト一覧（転載）'!"&amp;BM18&amp;":AK100"))&gt;0)
*(INDIRECT("'シフト一覧（転載）'!"&amp;BM18&amp;":AK100")&lt;&gt;"休み"),1,0),0)),0),""),$E$9&amp;"保育無し")</f>
        <v>0</v>
      </c>
      <c r="BO18" s="21">
        <f t="array" aca="1" ref="BO18" ca="1">IFERROR(IF(BM18&lt;&gt;0,ADDRESS(ROW(INDIRECT(BM18)),
    COLUMN(INDIRECT(BM18)) - 1 +
    MATCH(1,INDEX((LEN(INDIRECT("'シフト一覧（転載）'!"&amp;BM18&amp;":AK100"))&gt;0)
            *(INDIRECT("'シフト一覧（転載）'!"&amp;BM18&amp;":AK100")&lt;&gt;"休み"),
            1,0),0)+1,4),0),"")</f>
        <v>0</v>
      </c>
      <c r="BP18" s="21">
        <f t="array" aca="1" ref="BP18" ca="1">IFERROR(IF(BO18&lt;&gt;"",IF(BO18&lt;&gt;0,INDEX(
INDIRECT("'シフト一覧（転載）'!"&amp;BO18&amp;":AK100"),1,
MATCH(1,INDEX((LEN(INDIRECT("'シフト一覧（転載）'!"&amp;BO18&amp;":AK100"))&gt;0)
*(INDIRECT("'シフト一覧（転載）'!"&amp;BO18&amp;":AK100")&lt;&gt;"休み"),1,0),0)),0),""),$E$9&amp;"保育無し")</f>
        <v>0</v>
      </c>
      <c r="BQ18" s="21">
        <f t="array" aca="1" ref="BQ18" ca="1">IFERROR(IF(BO18&lt;&gt;0,ADDRESS(ROW(INDIRECT(BO18)),
    COLUMN(INDIRECT(BO18)) - 1 +
    MATCH(1,INDEX((LEN(INDIRECT("'シフト一覧（転載）'!"&amp;BO18&amp;":AK100"))&gt;0)
            *(INDIRECT("'シフト一覧（転載）'!"&amp;BO18&amp;":AK100")&lt;&gt;"休み"),
            1,0),0)+1,4),0),"")</f>
        <v>0</v>
      </c>
      <c r="BR18" s="21">
        <f t="array" aca="1" ref="BR18" ca="1">IFERROR(IF(BQ18&lt;&gt;"",IF(BQ18&lt;&gt;0,INDEX(
INDIRECT("'シフト一覧（転載）'!"&amp;BQ18&amp;":AK100"),1,
MATCH(1,INDEX((LEN(INDIRECT("'シフト一覧（転載）'!"&amp;BQ18&amp;":AK100"))&gt;0)
*(INDIRECT("'シフト一覧（転載）'!"&amp;BQ18&amp;":AK100")&lt;&gt;"休み"),1,0),0)),0),""),$E$9&amp;"保育無し")</f>
        <v>0</v>
      </c>
      <c r="BS18" s="21">
        <f t="array" aca="1" ref="BS18" ca="1">IFERROR(IF(BQ18&lt;&gt;0,ADDRESS(ROW(INDIRECT(BQ18)),
    COLUMN(INDIRECT(BQ18)) - 1 +
    MATCH(1,INDEX((LEN(INDIRECT("'シフト一覧（転載）'!"&amp;BQ18&amp;":AK100"))&gt;0)
            *(INDIRECT("'シフト一覧（転載）'!"&amp;BQ18&amp;":AK100")&lt;&gt;"休み"),
            1,0),0)+1,4),0),"")</f>
        <v>0</v>
      </c>
      <c r="BT18" s="21">
        <f t="array" aca="1" ref="BT18" ca="1">IFERROR(IF(BS18&lt;&gt;"",IF(BS18&lt;&gt;0,INDEX(
INDIRECT("'シフト一覧（転載）'!"&amp;BS18&amp;":AK100"),1,
MATCH(1,INDEX((LEN(INDIRECT("'シフト一覧（転載）'!"&amp;BS18&amp;":AK100"))&gt;0)
*(INDIRECT("'シフト一覧（転載）'!"&amp;BS18&amp;":AK100")&lt;&gt;"休み"),1,0),0)),0),""),$E$9&amp;"保育無し")</f>
        <v>0</v>
      </c>
      <c r="BU18" s="21">
        <f t="array" aca="1" ref="BU18" ca="1">IFERROR(IF(BS18&lt;&gt;0,ADDRESS(ROW(INDIRECT(BS18)),
    COLUMN(INDIRECT(BS18)) - 1 +
    MATCH(1,INDEX((LEN(INDIRECT("'シフト一覧（転載）'!"&amp;BS18&amp;":AK100"))&gt;0)
            *(INDIRECT("'シフト一覧（転載）'!"&amp;BS18&amp;":AK100")&lt;&gt;"休み"),
            1,0),0)+1,4),0),"")</f>
        <v>0</v>
      </c>
      <c r="BV18" s="21">
        <f t="array" aca="1" ref="BV18" ca="1">IFERROR(IF(BU18&lt;&gt;"",IF(BU18&lt;&gt;0,INDEX(
INDIRECT("'シフト一覧（転載）'!"&amp;BU18&amp;":AK100"),1,
MATCH(1,INDEX((LEN(INDIRECT("'シフト一覧（転載）'!"&amp;BU18&amp;":AK100"))&gt;0)
*(INDIRECT("'シフト一覧（転載）'!"&amp;BU18&amp;":AK100")&lt;&gt;"休み"),1,0),0)),0),""),$E$9&amp;"保育無し")</f>
        <v>0</v>
      </c>
      <c r="BW18" s="21">
        <f t="array" aca="1" ref="BW18" ca="1">IFERROR(IF(BU18&lt;&gt;0,ADDRESS(ROW(INDIRECT(BU18)),
    COLUMN(INDIRECT(BU18)) - 1 +
    MATCH(1,INDEX((LEN(INDIRECT("'シフト一覧（転載）'!"&amp;BU18&amp;":AK100"))&gt;0)
            *(INDIRECT("'シフト一覧（転載）'!"&amp;BU18&amp;":AK100")&lt;&gt;"休み"),
            1,0),0)+1,4),0),"")</f>
        <v>0</v>
      </c>
      <c r="BX18" s="21">
        <f t="array" aca="1" ref="BX18" ca="1">IFERROR(IF(BW18&lt;&gt;"",IF(BW18&lt;&gt;0,INDEX(
INDIRECT("'シフト一覧（転載）'!"&amp;BW18&amp;":AK100"),1,
MATCH(1,INDEX((LEN(INDIRECT("'シフト一覧（転載）'!"&amp;BW18&amp;":AK100"))&gt;0)
*(INDIRECT("'シフト一覧（転載）'!"&amp;BW18&amp;":AK100")&lt;&gt;"休み"),1,0),0)),0),""),$E$9&amp;"保育無し")</f>
        <v>0</v>
      </c>
      <c r="BY18" s="21">
        <f t="array" aca="1" ref="BY18" ca="1">IFERROR(IF(BW18&lt;&gt;0,ADDRESS(ROW(INDIRECT(BW18)),
    COLUMN(INDIRECT(BW18)) - 1 +
    MATCH(1,INDEX((LEN(INDIRECT("'シフト一覧（転載）'!"&amp;BW18&amp;":AK100"))&gt;0)
            *(INDIRECT("'シフト一覧（転載）'!"&amp;BW18&amp;":AK100")&lt;&gt;"休み"),
            1,0),0)+1,4),0),"")</f>
        <v>0</v>
      </c>
    </row>
    <row r="19" spans="1:77" ht="19.2" customHeight="1" x14ac:dyDescent="0.2">
      <c r="A19" s="46">
        <f t="shared" si="4"/>
        <v>0</v>
      </c>
      <c r="B19" s="64">
        <f t="array" aca="1" ref="B19" ca="1">IFERROR(IF(INDIRECT("'Page_" &amp; A19 &amp; "'!Q3")&lt;&gt;"",INDIRECT("'Page_" &amp; A19 &amp; "'!Q3"),INDIRECT("'Page_" &amp; A19 &amp; "'!P3")),0)</f>
        <v>0</v>
      </c>
      <c r="C19" s="42">
        <f t="shared" ca="1" si="0"/>
        <v>0</v>
      </c>
      <c r="D19" s="31">
        <f t="shared" ca="1" si="1"/>
        <v>0</v>
      </c>
      <c r="E19" s="28">
        <f t="shared" ca="1" si="2"/>
        <v>0</v>
      </c>
      <c r="F19" s="69" t="str">
        <f t="array" aca="1" ref="F19" ca="1">IFERROR(INDEX('シフト一覧（転載）'!$C$8:$C$100,
MATCH(1, (ISNUMBER(SEARCH(I19,'シフト一覧（転載）'!$A$8:$A$100)))
*(ISNUMBER(SEARCH($E$9,'シフト一覧（転載）'!$B$8:$B$100))), 0)),"")</f>
        <v/>
      </c>
      <c r="G19" s="60">
        <f t="shared" ca="1" si="3"/>
        <v>0</v>
      </c>
      <c r="H19" s="28">
        <f t="array" aca="1" ref="H19" ca="1">IFERROR(SUM(INDIRECT("'Page_" &amp; A19 &amp; "'!K"&amp;MATCH("有休",INDIRECT("'Page_" &amp; A19 &amp; "'!K:K"),0)+2&amp;"")
+INDIRECT("'Page_" &amp; A19 &amp; "'!L"&amp;MATCH("特休",INDIRECT("'Page_" &amp; A19 &amp; "'!L:L"),0)+2&amp;""))*24,0)</f>
        <v>0</v>
      </c>
      <c r="I19" s="51">
        <f t="array" aca="1" ref="I19" ca="1">IFERROR(_xlfn.TEXTJOIN("", TRUE, IF(ISERR(MID(INDIRECT("'Page_" &amp; A19 &amp; "'!C2"), ROW(INDIRECT("1:" &amp; LEN(INDIRECT("'Page_" &amp; A19 &amp; "'!C2")))), 1)*1), MID(INDIRECT("'Page_" &amp; A19 &amp; "'!C2"), ROW(INDIRECT("1:" &amp; LEN(INDIRECT("'Page_" &amp; A19 &amp; "'!C2")))), 1), "")),0)</f>
        <v>0</v>
      </c>
      <c r="J19" s="52">
        <f t="array" aca="1" ref="J19" ca="1">IFERROR(IF(INDIRECT("'Page_" &amp; A19 &amp; "'!E2")&lt;&gt;"",INDIRECT("'Page_" &amp; A19 &amp; "'!E2"),INDIRECT("'Page_" &amp; A19 &amp; "'!D2")),0)</f>
        <v>0</v>
      </c>
      <c r="K19" s="65"/>
      <c r="M19" s="93"/>
      <c r="N19" s="91"/>
      <c r="O19" s="95"/>
      <c r="P19" s="22">
        <f t="array" aca="1" ref="P19" ca="1">IFERROR(IF(M18&lt;&gt;"",INDEX('シフト一覧（転載）'!$F$8:$AK$100,
    MATCH(1,(ISNUMBER(SEARCH(M18,'シフト一覧（転載）'!$A$8:$A$100)))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MATCH(1,(ISNUMBER(SEARCH(M18,'シフト一覧（転載）'!$A$8:$A$100)))
                *(ISNUMBER(SEARCH($E$9,'シフト一覧（転載）'!$B$8:$B$100))),
                0),0),0)),0),"")</f>
        <v>0</v>
      </c>
      <c r="Q19" s="22">
        <f ca="1">IF(P18=0,0,
IF(OR(P18="",COUNTIF(P18,"*保育無し*")),"",
IF(MOD(P19-P18,1)*24&gt;=8,1,
IF(MOD(P19-P18,1)*24&gt;=6,0.75,0))))</f>
        <v>0</v>
      </c>
      <c r="R19" s="22">
        <f t="array" aca="1" ref="R19" ca="1">IFERROR(IF(Q18&lt;&gt;0,INDEX(
INDIRECT("'シフト一覧（転載）'!"&amp;Q18&amp;":AK100"),1+1,
MATCH(1,INDEX((LEN(INDIRECT("'シフト一覧（転載）'!"&amp;Q18&amp;":AK100"))&gt;0)
*(INDIRECT("'シフト一覧（転載）'!"&amp;Q18&amp;":AK100")&lt;&gt;"休み"),1,0),0)),0),"")</f>
        <v>0</v>
      </c>
      <c r="S19" s="22">
        <f ca="1">IF(R18=0,0,
IF(OR(R18="",COUNTIF(R18,"*保育無し*")),"",
IF(MOD(R19-R18,1)*24&gt;=8,1,
IF(MOD(R19-R18,1)*24&gt;=6,0.75,0))))</f>
        <v>0</v>
      </c>
      <c r="T19" s="22">
        <f t="array" aca="1" ref="T19" ca="1">IFERROR(IF(S18&lt;&gt;0,INDEX(
INDIRECT("'シフト一覧（転載）'!"&amp;S18&amp;":AK100"),1+1,
MATCH(1,INDEX((LEN(INDIRECT("'シフト一覧（転載）'!"&amp;S18&amp;":AK100"))&gt;0)
*(INDIRECT("'シフト一覧（転載）'!"&amp;S18&amp;":AK100")&lt;&gt;"休み"),1,0),0)),0),"")</f>
        <v>0</v>
      </c>
      <c r="U19" s="22">
        <f ca="1">IF(T18=0,0,
IF(OR(T18="",COUNTIF(T18,"*保育無し*")),"",
IF(MOD(T19-T18,1)*24&gt;=8,1,
IF(MOD(T19-T18,1)*24&gt;=6,0.75,0))))</f>
        <v>0</v>
      </c>
      <c r="V19" s="22">
        <f t="array" aca="1" ref="V19" ca="1">IFERROR(IF(U18&lt;&gt;0,INDEX(
INDIRECT("'シフト一覧（転載）'!"&amp;U18&amp;":AK100"),1+1,
MATCH(1,INDEX((LEN(INDIRECT("'シフト一覧（転載）'!"&amp;U18&amp;":AK100"))&gt;0)
*(INDIRECT("'シフト一覧（転載）'!"&amp;U18&amp;":AK100")&lt;&gt;"休み"),1,0),0)),0),"")</f>
        <v>0</v>
      </c>
      <c r="W19" s="22">
        <f ca="1">IF(V18=0,0,
IF(OR(V18="",COUNTIF(V18,"*保育無し*")),"",
IF(MOD(V19-V18,1)*24&gt;=8,1,
IF(MOD(V19-V18,1)*24&gt;=6,0.75,0))))</f>
        <v>0</v>
      </c>
      <c r="X19" s="22">
        <f t="array" aca="1" ref="X19" ca="1">IFERROR(IF(W18&lt;&gt;0,INDEX(
INDIRECT("'シフト一覧（転載）'!"&amp;W18&amp;":AK100"),1+1,
MATCH(1,INDEX((LEN(INDIRECT("'シフト一覧（転載）'!"&amp;W18&amp;":AK100"))&gt;0)
*(INDIRECT("'シフト一覧（転載）'!"&amp;W18&amp;":AK100")&lt;&gt;"休み"),1,0),0)),0),"")</f>
        <v>0</v>
      </c>
      <c r="Y19" s="22">
        <f ca="1">IF(X18=0,0,
IF(OR(X18="",COUNTIF(X18,"*保育無し*")),"",
IF(MOD(X19-X18,1)*24&gt;=8,1,
IF(MOD(X19-X18,1)*24&gt;=6,0.75,0))))</f>
        <v>0</v>
      </c>
      <c r="Z19" s="22">
        <f t="array" aca="1" ref="Z19" ca="1">IFERROR(IF(Y18&lt;&gt;0,INDEX(
INDIRECT("'シフト一覧（転載）'!"&amp;Y18&amp;":AK100"),1+1,
MATCH(1,INDEX((LEN(INDIRECT("'シフト一覧（転載）'!"&amp;Y18&amp;":AK100"))&gt;0)
*(INDIRECT("'シフト一覧（転載）'!"&amp;Y18&amp;":AK100")&lt;&gt;"休み"),1,0),0)),0),"")</f>
        <v>0</v>
      </c>
      <c r="AA19" s="22">
        <f ca="1">IF(Z18=0,0,
IF(OR(Z18="",COUNTIF(Z18,"*保育無し*")),"",
IF(MOD(Z19-Z18,1)*24&gt;=8,1,
IF(MOD(Z19-Z18,1)*24&gt;=6,0.75,0))))</f>
        <v>0</v>
      </c>
      <c r="AB19" s="22">
        <f t="array" aca="1" ref="AB19" ca="1">IFERROR(IF(AA18&lt;&gt;0,INDEX(
INDIRECT("'シフト一覧（転載）'!"&amp;AA18&amp;":AK100"),1+1,
MATCH(1,INDEX((LEN(INDIRECT("'シフト一覧（転載）'!"&amp;AA18&amp;":AK100"))&gt;0)
*(INDIRECT("'シフト一覧（転載）'!"&amp;AA18&amp;":AK100")&lt;&gt;"休み"),1,0),0)),0),"")</f>
        <v>0</v>
      </c>
      <c r="AC19" s="22">
        <f ca="1">IF(AB18=0,0,
IF(OR(AB18="",COUNTIF(AB18,"*保育無し*")),"",
IF(MOD(AB19-AB18,1)*24&gt;=8,1,
IF(MOD(AB19-AB18,1)*24&gt;=6,0.75,0))))</f>
        <v>0</v>
      </c>
      <c r="AD19" s="22">
        <f t="array" aca="1" ref="AD19" ca="1">IFERROR(IF(AC18&lt;&gt;0,INDEX(
INDIRECT("'シフト一覧（転載）'!"&amp;AC18&amp;":AK100"),1+1,
MATCH(1,INDEX((LEN(INDIRECT("'シフト一覧（転載）'!"&amp;AC18&amp;":AK100"))&gt;0)
*(INDIRECT("'シフト一覧（転載）'!"&amp;AC18&amp;":AK100")&lt;&gt;"休み"),1,0),0)),0),"")</f>
        <v>0</v>
      </c>
      <c r="AE19" s="22">
        <f ca="1">IF(AD18=0,0,
IF(OR(AD18="",COUNTIF(AD18,"*保育無し*")),"",
IF(MOD(AD19-AD18,1)*24&gt;=8,1,
IF(MOD(AD19-AD18,1)*24&gt;=6,0.75,0))))</f>
        <v>0</v>
      </c>
      <c r="AF19" s="22">
        <f t="array" aca="1" ref="AF19" ca="1">IFERROR(IF(AE18&lt;&gt;0,INDEX(
INDIRECT("'シフト一覧（転載）'!"&amp;AE18&amp;":AK100"),1+1,
MATCH(1,INDEX((LEN(INDIRECT("'シフト一覧（転載）'!"&amp;AE18&amp;":AK100"))&gt;0)
*(INDIRECT("'シフト一覧（転載）'!"&amp;AE18&amp;":AK100")&lt;&gt;"休み"),1,0),0)),0),"")</f>
        <v>0</v>
      </c>
      <c r="AG19" s="22">
        <f ca="1">IF(AF18=0,0,
IF(OR(AF18="",COUNTIF(AF18,"*保育無し*")),"",
IF(MOD(AF19-AF18,1)*24&gt;=8,1,
IF(MOD(AF19-AF18,1)*24&gt;=6,0.75,0))))</f>
        <v>0</v>
      </c>
      <c r="AH19" s="22">
        <f t="array" aca="1" ref="AH19" ca="1">IFERROR(IF(AG18&lt;&gt;0,INDEX(
INDIRECT("'シフト一覧（転載）'!"&amp;AG18&amp;":AK100"),1+1,
MATCH(1,INDEX((LEN(INDIRECT("'シフト一覧（転載）'!"&amp;AG18&amp;":AK100"))&gt;0)
*(INDIRECT("'シフト一覧（転載）'!"&amp;AG18&amp;":AK100")&lt;&gt;"休み"),1,0),0)),0),"")</f>
        <v>0</v>
      </c>
      <c r="AI19" s="22">
        <f ca="1">IF(AH18=0,0,
IF(OR(AH18="",COUNTIF(AH18,"*保育無し*")),"",
IF(MOD(AH19-AH18,1)*24&gt;=8,1,
IF(MOD(AH19-AH18,1)*24&gt;=6,0.75,0))))</f>
        <v>0</v>
      </c>
      <c r="AJ19" s="22">
        <f t="array" aca="1" ref="AJ19" ca="1">IFERROR(IF(AI18&lt;&gt;0,INDEX(
INDIRECT("'シフト一覧（転載）'!"&amp;AI18&amp;":AK100"),1+1,
MATCH(1,INDEX((LEN(INDIRECT("'シフト一覧（転載）'!"&amp;AI18&amp;":AK100"))&gt;0)
*(INDIRECT("'シフト一覧（転載）'!"&amp;AI18&amp;":AK100")&lt;&gt;"休み"),1,0),0)),0),"")</f>
        <v>0</v>
      </c>
      <c r="AK19" s="22">
        <f ca="1">IF(AJ18=0,0,
IF(OR(AJ18="",COUNTIF(AJ18,"*保育無し*")),"",
IF(MOD(AJ19-AJ18,1)*24&gt;=8,1,
IF(MOD(AJ19-AJ18,1)*24&gt;=6,0.75,0))))</f>
        <v>0</v>
      </c>
      <c r="AL19" s="22">
        <f t="array" aca="1" ref="AL19" ca="1">IFERROR(IF(AK18&lt;&gt;0,INDEX(
INDIRECT("'シフト一覧（転載）'!"&amp;AK18&amp;":AK100"),1+1,
MATCH(1,INDEX((LEN(INDIRECT("'シフト一覧（転載）'!"&amp;AK18&amp;":AK100"))&gt;0)
*(INDIRECT("'シフト一覧（転載）'!"&amp;AK18&amp;":AK100")&lt;&gt;"休み"),1,0),0)),0),"")</f>
        <v>0</v>
      </c>
      <c r="AM19" s="22">
        <f ca="1">IF(AL18=0,0,
IF(OR(AL18="",COUNTIF(AL18,"*保育無し*")),"",
IF(MOD(AL19-AL18,1)*24&gt;=8,1,
IF(MOD(AL19-AL18,1)*24&gt;=6,0.75,0))))</f>
        <v>0</v>
      </c>
      <c r="AN19" s="22">
        <f t="array" aca="1" ref="AN19" ca="1">IFERROR(IF(AM18&lt;&gt;0,INDEX(
INDIRECT("'シフト一覧（転載）'!"&amp;AM18&amp;":AK100"),1+1,
MATCH(1,INDEX((LEN(INDIRECT("'シフト一覧（転載）'!"&amp;AM18&amp;":AK100"))&gt;0)
*(INDIRECT("'シフト一覧（転載）'!"&amp;AM18&amp;":AK100")&lt;&gt;"休み"),1,0),0)),0),"")</f>
        <v>0</v>
      </c>
      <c r="AO19" s="22">
        <f ca="1">IF(AN18=0,0,
IF(OR(AN18="",COUNTIF(AN18,"*保育無し*")),"",
IF(MOD(AN19-AN18,1)*24&gt;=8,1,
IF(MOD(AN19-AN18,1)*24&gt;=6,0.75,0))))</f>
        <v>0</v>
      </c>
      <c r="AP19" s="22">
        <f t="array" aca="1" ref="AP19" ca="1">IFERROR(IF(AO18&lt;&gt;0,INDEX(
INDIRECT("'シフト一覧（転載）'!"&amp;AO18&amp;":AK100"),1+1,
MATCH(1,INDEX((LEN(INDIRECT("'シフト一覧（転載）'!"&amp;AO18&amp;":AK100"))&gt;0)
*(INDIRECT("'シフト一覧（転載）'!"&amp;AO18&amp;":AK100")&lt;&gt;"休み"),1,0),0)),0),"")</f>
        <v>0</v>
      </c>
      <c r="AQ19" s="22">
        <f ca="1">IF(AP18=0,0,
IF(OR(AP18="",COUNTIF(AP18,"*保育無し*")),"",
IF(MOD(AP19-AP18,1)*24&gt;=8,1,
IF(MOD(AP19-AP18,1)*24&gt;=6,0.75,0))))</f>
        <v>0</v>
      </c>
      <c r="AR19" s="22">
        <f t="array" aca="1" ref="AR19" ca="1">IFERROR(IF(AQ18&lt;&gt;0,INDEX(
INDIRECT("'シフト一覧（転載）'!"&amp;AQ18&amp;":AK100"),1+1,
MATCH(1,INDEX((LEN(INDIRECT("'シフト一覧（転載）'!"&amp;AQ18&amp;":AK100"))&gt;0)
*(INDIRECT("'シフト一覧（転載）'!"&amp;AQ18&amp;":AK100")&lt;&gt;"休み"),1,0),0)),0),"")</f>
        <v>0</v>
      </c>
      <c r="AS19" s="22">
        <f ca="1">IF(AR18=0,0,
IF(OR(AR18="",COUNTIF(AR18,"*保育無し*")),"",
IF(MOD(AR19-AR18,1)*24&gt;=8,1,
IF(MOD(AR19-AR18,1)*24&gt;=6,0.75,0))))</f>
        <v>0</v>
      </c>
      <c r="AT19" s="22">
        <f t="array" aca="1" ref="AT19" ca="1">IFERROR(IF(AS18&lt;&gt;0,INDEX(
INDIRECT("'シフト一覧（転載）'!"&amp;AS18&amp;":AK100"),1+1,
MATCH(1,INDEX((LEN(INDIRECT("'シフト一覧（転載）'!"&amp;AS18&amp;":AK100"))&gt;0)
*(INDIRECT("'シフト一覧（転載）'!"&amp;AS18&amp;":AK100")&lt;&gt;"休み"),1,0),0)),0),"")</f>
        <v>0</v>
      </c>
      <c r="AU19" s="22">
        <f ca="1">IF(AT18=0,0,
IF(OR(AT18="",COUNTIF(AT18,"*保育無し*")),"",
IF(MOD(AT19-AT18,1)*24&gt;=8,1,
IF(MOD(AT19-AT18,1)*24&gt;=6,0.75,0))))</f>
        <v>0</v>
      </c>
      <c r="AV19" s="22">
        <f t="array" aca="1" ref="AV19" ca="1">IFERROR(IF(AU18&lt;&gt;0,INDEX(
INDIRECT("'シフト一覧（転載）'!"&amp;AU18&amp;":AK100"),1+1,
MATCH(1,INDEX((LEN(INDIRECT("'シフト一覧（転載）'!"&amp;AU18&amp;":AK100"))&gt;0)
*(INDIRECT("'シフト一覧（転載）'!"&amp;AU18&amp;":AK100")&lt;&gt;"休み"),1,0),0)),0),"")</f>
        <v>0</v>
      </c>
      <c r="AW19" s="22">
        <f ca="1">IF(AV18=0,0,
IF(OR(AV18="",COUNTIF(AV18,"*保育無し*")),"",
IF(MOD(AV19-AV18,1)*24&gt;=8,1,
IF(MOD(AV19-AV18,1)*24&gt;=6,0.75,0))))</f>
        <v>0</v>
      </c>
      <c r="AX19" s="22">
        <f t="array" aca="1" ref="AX19" ca="1">IFERROR(IF(AW18&lt;&gt;0,INDEX(
INDIRECT("'シフト一覧（転載）'!"&amp;AW18&amp;":AK100"),1+1,
MATCH(1,INDEX((LEN(INDIRECT("'シフト一覧（転載）'!"&amp;AW18&amp;":AK100"))&gt;0)
*(INDIRECT("'シフト一覧（転載）'!"&amp;AW18&amp;":AK100")&lt;&gt;"休み"),1,0),0)),0),"")</f>
        <v>0</v>
      </c>
      <c r="AY19" s="22">
        <f ca="1">IF(AX18=0,0,
IF(OR(AX18="",COUNTIF(AX18,"*保育無し*")),"",
IF(MOD(AX19-AX18,1)*24&gt;=8,1,
IF(MOD(AX19-AX18,1)*24&gt;=6,0.75,0))))</f>
        <v>0</v>
      </c>
      <c r="AZ19" s="22">
        <f t="array" aca="1" ref="AZ19" ca="1">IFERROR(IF(AY18&lt;&gt;0,INDEX(
INDIRECT("'シフト一覧（転載）'!"&amp;AY18&amp;":AK100"),1+1,
MATCH(1,INDEX((LEN(INDIRECT("'シフト一覧（転載）'!"&amp;AY18&amp;":AK100"))&gt;0)
*(INDIRECT("'シフト一覧（転載）'!"&amp;AY18&amp;":AK100")&lt;&gt;"休み"),1,0),0)),0),"")</f>
        <v>0</v>
      </c>
      <c r="BA19" s="22">
        <f ca="1">IF(AZ18=0,0,
IF(OR(AZ18="",COUNTIF(AZ18,"*保育無し*")),"",
IF(MOD(AZ19-AZ18,1)*24&gt;=8,1,
IF(MOD(AZ19-AZ18,1)*24&gt;=6,0.75,0))))</f>
        <v>0</v>
      </c>
      <c r="BB19" s="22">
        <f t="array" aca="1" ref="BB19" ca="1">IFERROR(IF(BA18&lt;&gt;0,INDEX(
INDIRECT("'シフト一覧（転載）'!"&amp;BA18&amp;":AK100"),1+1,
MATCH(1,INDEX((LEN(INDIRECT("'シフト一覧（転載）'!"&amp;BA18&amp;":AK100"))&gt;0)
*(INDIRECT("'シフト一覧（転載）'!"&amp;BA18&amp;":AK100")&lt;&gt;"休み"),1,0),0)),0),"")</f>
        <v>0</v>
      </c>
      <c r="BC19" s="22">
        <f ca="1">IF(BB18=0,0,
IF(OR(BB18="",COUNTIF(BB18,"*保育無し*")),"",
IF(MOD(BB19-BB18,1)*24&gt;=8,1,
IF(MOD(BB19-BB18,1)*24&gt;=6,0.75,0))))</f>
        <v>0</v>
      </c>
      <c r="BD19" s="22">
        <f t="array" aca="1" ref="BD19" ca="1">IFERROR(IF(BC18&lt;&gt;0,INDEX(
INDIRECT("'シフト一覧（転載）'!"&amp;BC18&amp;":AK100"),1+1,
MATCH(1,INDEX((LEN(INDIRECT("'シフト一覧（転載）'!"&amp;BC18&amp;":AK100"))&gt;0)
*(INDIRECT("'シフト一覧（転載）'!"&amp;BC18&amp;":AK100")&lt;&gt;"休み"),1,0),0)),0),"")</f>
        <v>0</v>
      </c>
      <c r="BE19" s="22">
        <f ca="1">IF(BD18=0,0,
IF(OR(BD18="",COUNTIF(BD18,"*保育無し*")),"",
IF(MOD(BD19-BD18,1)*24&gt;=8,1,
IF(MOD(BD19-BD18,1)*24&gt;=6,0.75,0))))</f>
        <v>0</v>
      </c>
      <c r="BF19" s="22">
        <f t="array" aca="1" ref="BF19" ca="1">IFERROR(IF(BE18&lt;&gt;0,INDEX(
INDIRECT("'シフト一覧（転載）'!"&amp;BE18&amp;":AK100"),1+1,
MATCH(1,INDEX((LEN(INDIRECT("'シフト一覧（転載）'!"&amp;BE18&amp;":AK100"))&gt;0)
*(INDIRECT("'シフト一覧（転載）'!"&amp;BE18&amp;":AK100")&lt;&gt;"休み"),1,0),0)),0),"")</f>
        <v>0</v>
      </c>
      <c r="BG19" s="22">
        <f ca="1">IF(BF18=0,0,
IF(OR(BF18="",COUNTIF(BF18,"*保育無し*")),"",
IF(MOD(BF19-BF18,1)*24&gt;=8,1,
IF(MOD(BF19-BF18,1)*24&gt;=6,0.75,0))))</f>
        <v>0</v>
      </c>
      <c r="BH19" s="22">
        <f t="array" aca="1" ref="BH19" ca="1">IFERROR(IF(BG18&lt;&gt;0,INDEX(
INDIRECT("'シフト一覧（転載）'!"&amp;BG18&amp;":AK100"),1+1,
MATCH(1,INDEX((LEN(INDIRECT("'シフト一覧（転載）'!"&amp;BG18&amp;":AK100"))&gt;0)
*(INDIRECT("'シフト一覧（転載）'!"&amp;BG18&amp;":AK100")&lt;&gt;"休み"),1,0),0)),0),"")</f>
        <v>0</v>
      </c>
      <c r="BI19" s="22">
        <f ca="1">IF(BH18=0,0,
IF(OR(BH18="",COUNTIF(BH18,"*保育無し*")),"",
IF(MOD(BH19-BH18,1)*24&gt;=8,1,
IF(MOD(BH19-BH18,1)*24&gt;=6,0.75,0))))</f>
        <v>0</v>
      </c>
      <c r="BJ19" s="22">
        <f t="array" aca="1" ref="BJ19" ca="1">IFERROR(IF(BI18&lt;&gt;0,INDEX(
INDIRECT("'シフト一覧（転載）'!"&amp;BI18&amp;":AK100"),1+1,
MATCH(1,INDEX((LEN(INDIRECT("'シフト一覧（転載）'!"&amp;BI18&amp;":AK100"))&gt;0)
*(INDIRECT("'シフト一覧（転載）'!"&amp;BI18&amp;":AK100")&lt;&gt;"休み"),1,0),0)),0),"")</f>
        <v>0</v>
      </c>
      <c r="BK19" s="22">
        <f ca="1">IF(BJ18=0,0,
IF(OR(BJ18="",COUNTIF(BJ18,"*保育無し*")),"",
IF(MOD(BJ19-BJ18,1)*24&gt;=8,1,
IF(MOD(BJ19-BJ18,1)*24&gt;=6,0.75,0))))</f>
        <v>0</v>
      </c>
      <c r="BL19" s="22">
        <f t="array" aca="1" ref="BL19" ca="1">IFERROR(IF(BK18&lt;&gt;0,INDEX(
INDIRECT("'シフト一覧（転載）'!"&amp;BK18&amp;":AK100"),1+1,
MATCH(1,INDEX((LEN(INDIRECT("'シフト一覧（転載）'!"&amp;BK18&amp;":AK100"))&gt;0)
*(INDIRECT("'シフト一覧（転載）'!"&amp;BK18&amp;":AK100")&lt;&gt;"休み"),1,0),0)),0),"")</f>
        <v>0</v>
      </c>
      <c r="BM19" s="22">
        <f ca="1">IF(BL18=0,0,
IF(OR(BL18="",COUNTIF(BL18,"*保育無し*")),"",
IF(MOD(BL19-BL18,1)*24&gt;=8,1,
IF(MOD(BL19-BL18,1)*24&gt;=6,0.75,0))))</f>
        <v>0</v>
      </c>
      <c r="BN19" s="22">
        <f t="array" aca="1" ref="BN19" ca="1">IFERROR(IF(BM18&lt;&gt;0,INDEX(
INDIRECT("'シフト一覧（転載）'!"&amp;BM18&amp;":AK100"),1+1,
MATCH(1,INDEX((LEN(INDIRECT("'シフト一覧（転載）'!"&amp;BM18&amp;":AK100"))&gt;0)
*(INDIRECT("'シフト一覧（転載）'!"&amp;BM18&amp;":AK100")&lt;&gt;"休み"),1,0),0)),0),"")</f>
        <v>0</v>
      </c>
      <c r="BO19" s="22">
        <f ca="1">IF(BN18=0,0,
IF(OR(BN18="",COUNTIF(BN18,"*保育無し*")),"",
IF(MOD(BN19-BN18,1)*24&gt;=8,1,
IF(MOD(BN19-BN18,1)*24&gt;=6,0.75,0))))</f>
        <v>0</v>
      </c>
      <c r="BP19" s="22">
        <f t="array" aca="1" ref="BP19" ca="1">IFERROR(IF(BO18&lt;&gt;0,INDEX(
INDIRECT("'シフト一覧（転載）'!"&amp;BO18&amp;":AK100"),1+1,
MATCH(1,INDEX((LEN(INDIRECT("'シフト一覧（転載）'!"&amp;BO18&amp;":AK100"))&gt;0)
*(INDIRECT("'シフト一覧（転載）'!"&amp;BO18&amp;":AK100")&lt;&gt;"休み"),1,0),0)),0),"")</f>
        <v>0</v>
      </c>
      <c r="BQ19" s="22">
        <f ca="1">IF(BP18=0,0,
IF(OR(BP18="",COUNTIF(BP18,"*保育無し*")),"",
IF(MOD(BP19-BP18,1)*24&gt;=8,1,
IF(MOD(BP19-BP18,1)*24&gt;=6,0.75,0))))</f>
        <v>0</v>
      </c>
      <c r="BR19" s="22">
        <f t="array" aca="1" ref="BR19" ca="1">IFERROR(IF(BQ18&lt;&gt;0,INDEX(
INDIRECT("'シフト一覧（転載）'!"&amp;BQ18&amp;":AK100"),1+1,
MATCH(1,INDEX((LEN(INDIRECT("'シフト一覧（転載）'!"&amp;BQ18&amp;":AK100"))&gt;0)
*(INDIRECT("'シフト一覧（転載）'!"&amp;BQ18&amp;":AK100")&lt;&gt;"休み"),1,0),0)),0),"")</f>
        <v>0</v>
      </c>
      <c r="BS19" s="22">
        <f ca="1">IF(BR18=0,0,
IF(OR(BR18="",COUNTIF(BR18,"*保育無し*")),"",
IF(MOD(BR19-BR18,1)*24&gt;=8,1,
IF(MOD(BR19-BR18,1)*24&gt;=6,0.75,0))))</f>
        <v>0</v>
      </c>
      <c r="BT19" s="22">
        <f t="array" aca="1" ref="BT19" ca="1">IFERROR(IF(BS18&lt;&gt;0,INDEX(
INDIRECT("'シフト一覧（転載）'!"&amp;BS18&amp;":AK100"),1+1,
MATCH(1,INDEX((LEN(INDIRECT("'シフト一覧（転載）'!"&amp;BS18&amp;":AK100"))&gt;0)
*(INDIRECT("'シフト一覧（転載）'!"&amp;BS18&amp;":AK100")&lt;&gt;"休み"),1,0),0)),0),"")</f>
        <v>0</v>
      </c>
      <c r="BU19" s="22">
        <f ca="1">IF(BT18=0,0,
IF(OR(BT18="",COUNTIF(BT18,"*保育無し*")),"",
IF(MOD(BT19-BT18,1)*24&gt;=8,1,
IF(MOD(BT19-BT18,1)*24&gt;=6,0.75,0))))</f>
        <v>0</v>
      </c>
      <c r="BV19" s="22">
        <f t="array" aca="1" ref="BV19" ca="1">IFERROR(IF(BU18&lt;&gt;0,INDEX(
INDIRECT("'シフト一覧（転載）'!"&amp;BU18&amp;":AK100"),1+1,
MATCH(1,INDEX((LEN(INDIRECT("'シフト一覧（転載）'!"&amp;BU18&amp;":AK100"))&gt;0)
*(INDIRECT("'シフト一覧（転載）'!"&amp;BU18&amp;":AK100")&lt;&gt;"休み"),1,0),0)),0),"")</f>
        <v>0</v>
      </c>
      <c r="BW19" s="22">
        <f ca="1">IF(BV18=0,0,
IF(OR(BV18="",COUNTIF(BV18,"*保育無し*")),"",
IF(MOD(BV19-BV18,1)*24&gt;=8,1,
IF(MOD(BV19-BV18,1)*24&gt;=6,0.75,0))))</f>
        <v>0</v>
      </c>
      <c r="BX19" s="22">
        <f t="array" aca="1" ref="BX19" ca="1">IFERROR(IF(BW18&lt;&gt;0,INDEX(
INDIRECT("'シフト一覧（転載）'!"&amp;BW18&amp;":AK100"),1+1,
MATCH(1,INDEX((LEN(INDIRECT("'シフト一覧（転載）'!"&amp;BW18&amp;":AK100"))&gt;0)
*(INDIRECT("'シフト一覧（転載）'!"&amp;BW18&amp;":AK100")&lt;&gt;"休み"),1,0),0)),0),"")</f>
        <v>0</v>
      </c>
      <c r="BY19" s="22">
        <f ca="1">IF(BX18=0,0,
IF(OR(BX18="",COUNTIF(BX18,"*保育無し*")),"",
IF(MOD(BX19-BX18,1)*24&gt;=8,1,
IF(MOD(BX19-BX18,1)*24&gt;=6,0.75,0))))</f>
        <v>0</v>
      </c>
    </row>
    <row r="20" spans="1:77" ht="19.2" customHeight="1" x14ac:dyDescent="0.2">
      <c r="A20" s="46">
        <f t="shared" si="4"/>
        <v>0</v>
      </c>
      <c r="B20" s="64">
        <f t="array" aca="1" ref="B20" ca="1">IFERROR(IF(INDIRECT("'Page_" &amp; A20 &amp; "'!Q3")&lt;&gt;"",INDIRECT("'Page_" &amp; A20 &amp; "'!Q3"),INDIRECT("'Page_" &amp; A20 &amp; "'!P3")),0)</f>
        <v>0</v>
      </c>
      <c r="C20" s="42">
        <f t="shared" ca="1" si="0"/>
        <v>0</v>
      </c>
      <c r="D20" s="31">
        <f t="shared" ca="1" si="1"/>
        <v>0</v>
      </c>
      <c r="E20" s="28">
        <f t="shared" ca="1" si="2"/>
        <v>0</v>
      </c>
      <c r="F20" s="69" t="str">
        <f t="array" aca="1" ref="F20" ca="1">IFERROR(INDEX('シフト一覧（転載）'!$C$8:$C$100,
MATCH(1, (ISNUMBER(SEARCH(I20,'シフト一覧（転載）'!$A$8:$A$100)))
*(ISNUMBER(SEARCH($E$9,'シフト一覧（転載）'!$B$8:$B$100))), 0)),"")</f>
        <v/>
      </c>
      <c r="G20" s="60">
        <f t="shared" ca="1" si="3"/>
        <v>0</v>
      </c>
      <c r="H20" s="28">
        <f t="array" aca="1" ref="H20" ca="1">IFERROR(SUM(INDIRECT("'Page_" &amp; A20 &amp; "'!K"&amp;MATCH("有休",INDIRECT("'Page_" &amp; A20 &amp; "'!K:K"),0)+2&amp;"")
+INDIRECT("'Page_" &amp; A20 &amp; "'!L"&amp;MATCH("特休",INDIRECT("'Page_" &amp; A20 &amp; "'!L:L"),0)+2&amp;""))*24,0)</f>
        <v>0</v>
      </c>
      <c r="I20" s="51">
        <f t="array" aca="1" ref="I20" ca="1">IFERROR(_xlfn.TEXTJOIN("", TRUE, IF(ISERR(MID(INDIRECT("'Page_" &amp; A20 &amp; "'!C2"), ROW(INDIRECT("1:" &amp; LEN(INDIRECT("'Page_" &amp; A20 &amp; "'!C2")))), 1)*1), MID(INDIRECT("'Page_" &amp; A20 &amp; "'!C2"), ROW(INDIRECT("1:" &amp; LEN(INDIRECT("'Page_" &amp; A20 &amp; "'!C2")))), 1), "")),0)</f>
        <v>0</v>
      </c>
      <c r="J20" s="52">
        <f t="array" aca="1" ref="J20" ca="1">IFERROR(IF(INDIRECT("'Page_" &amp; A20 &amp; "'!E2")&lt;&gt;"",INDIRECT("'Page_" &amp; A20 &amp; "'!E2"),INDIRECT("'Page_" &amp; A20 &amp; "'!D2")),0)</f>
        <v>0</v>
      </c>
      <c r="K20" s="65"/>
      <c r="M20" s="92" t="str">
        <f t="array" aca="1" ref="M20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0" s="90" t="str">
        <f ca="1">IF(M20&lt;&gt;"",VLOOKUP(M20,$I$12:$J$27,2,FALSE),"")</f>
        <v/>
      </c>
      <c r="O20" s="94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21">
        <f t="array" aca="1" ref="P20" ca="1">IFERROR(IF(M20&lt;&gt;"",INDEX('シフト一覧（転載）'!$F$8:$AK$100,
    MATCH(1,(ISNUMBER(SEARCH(M20,'シフト一覧（転載）'!$A$8:$A$100)))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MATCH(1,(ISNUMBER(SEARCH(M20,'シフト一覧（転載）'!$A$8:$A$100)))
                *(ISNUMBER(SEARCH($E$9,'シフト一覧（転載）'!$B$8:$B$100))),
                0),0),0)),0),$E$9&amp;"保育無し")</f>
        <v>0</v>
      </c>
      <c r="Q20" s="21">
        <f t="array" aca="1" ref="Q20" ca="1">IFERROR(IF(COUNTIF(P20,"*無*"),"",IF(M20&lt;&gt;"",ADDRESS(
    MATCH(1,(ISNUMBER(SEARCH(M20,'シフト一覧（転載）'!$A$8:$A$100)))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MATCH(1,(ISNUMBER(SEARCH(M20,'シフト一覧（転載）'!$A$8:$A$100)))
                *(ISNUMBER(SEARCH($E$9,'シフト一覧（転載）'!$B$8:$B$100))),0),0),0) + 6,4),0)),0)</f>
        <v>0</v>
      </c>
      <c r="R20" s="21">
        <f t="array" aca="1" ref="R20" ca="1">IFERROR(IF(Q20&lt;&gt;"",IF(Q20&lt;&gt;0,INDEX(
INDIRECT("'シフト一覧（転載）'!"&amp;Q20&amp;":AK100"),1,
MATCH(1,INDEX((LEN(INDIRECT("'シフト一覧（転載）'!"&amp;Q20&amp;":AK100"))&gt;0)
*(INDIRECT("'シフト一覧（転載）'!"&amp;Q20&amp;":AK100")&lt;&gt;"休み"),1,0),0)),0),""),$E$9&amp;"保育無し")</f>
        <v>0</v>
      </c>
      <c r="S20" s="21">
        <f t="array" aca="1" ref="S20" ca="1">IFERROR(IF(Q20&lt;&gt;0,ADDRESS(ROW(INDIRECT(Q20)),
    COLUMN(INDIRECT(Q20)) - 1 +
    MATCH(1,INDEX((LEN(INDIRECT("'シフト一覧（転載）'!"&amp;Q20&amp;":AK100"))&gt;0)
            *(INDIRECT("'シフト一覧（転載）'!"&amp;Q20&amp;":AK100")&lt;&gt;"休み"),
            1,0),0)+1,4),0),"")</f>
        <v>0</v>
      </c>
      <c r="T20" s="21">
        <f t="array" aca="1" ref="T20" ca="1">IFERROR(IF(S20&lt;&gt;"",IF(S20&lt;&gt;0,INDEX(
INDIRECT("'シフト一覧（転載）'!"&amp;S20&amp;":AK100"),1,
MATCH(1,INDEX((LEN(INDIRECT("'シフト一覧（転載）'!"&amp;S20&amp;":AK100"))&gt;0)
*(INDIRECT("'シフト一覧（転載）'!"&amp;S20&amp;":AK100")&lt;&gt;"休み"),1,0),0)),0),""),$E$9&amp;"保育無し")</f>
        <v>0</v>
      </c>
      <c r="U20" s="21">
        <f t="array" aca="1" ref="U20" ca="1">IFERROR(IF(S20&lt;&gt;0,ADDRESS(ROW(INDIRECT(S20)),
    COLUMN(INDIRECT(S20)) - 1 +
    MATCH(1,INDEX((LEN(INDIRECT("'シフト一覧（転載）'!"&amp;S20&amp;":AK100"))&gt;0)
            *(INDIRECT("'シフト一覧（転載）'!"&amp;S20&amp;":AK100")&lt;&gt;"休み"),
            1,0),0)+1,4),0),"")</f>
        <v>0</v>
      </c>
      <c r="V20" s="21">
        <f t="array" aca="1" ref="V20" ca="1">IFERROR(IF(U20&lt;&gt;"",IF(U20&lt;&gt;0,INDEX(
INDIRECT("'シフト一覧（転載）'!"&amp;U20&amp;":AK100"),1,
MATCH(1,INDEX((LEN(INDIRECT("'シフト一覧（転載）'!"&amp;U20&amp;":AK100"))&gt;0)
*(INDIRECT("'シフト一覧（転載）'!"&amp;U20&amp;":AK100")&lt;&gt;"休み"),1,0),0)),0),""),$E$9&amp;"保育無し")</f>
        <v>0</v>
      </c>
      <c r="W20" s="21">
        <f t="array" aca="1" ref="W20" ca="1">IFERROR(IF(U20&lt;&gt;0,ADDRESS(ROW(INDIRECT(U20)),
    COLUMN(INDIRECT(U20)) - 1 +
    MATCH(1,INDEX((LEN(INDIRECT("'シフト一覧（転載）'!"&amp;U20&amp;":AK100"))&gt;0)
            *(INDIRECT("'シフト一覧（転載）'!"&amp;U20&amp;":AK100")&lt;&gt;"休み"),
            1,0),0)+1,4),0),"")</f>
        <v>0</v>
      </c>
      <c r="X20" s="21">
        <f t="array" aca="1" ref="X20" ca="1">IFERROR(IF(W20&lt;&gt;"",IF(W20&lt;&gt;0,INDEX(
INDIRECT("'シフト一覧（転載）'!"&amp;W20&amp;":AK100"),1,
MATCH(1,INDEX((LEN(INDIRECT("'シフト一覧（転載）'!"&amp;W20&amp;":AK100"))&gt;0)
*(INDIRECT("'シフト一覧（転載）'!"&amp;W20&amp;":AK100")&lt;&gt;"休み"),1,0),0)),0),""),$E$9&amp;"保育無し")</f>
        <v>0</v>
      </c>
      <c r="Y20" s="21">
        <f t="array" aca="1" ref="Y20" ca="1">IFERROR(IF(W20&lt;&gt;0,ADDRESS(ROW(INDIRECT(W20)),
    COLUMN(INDIRECT(W20)) - 1 +
    MATCH(1,INDEX((LEN(INDIRECT("'シフト一覧（転載）'!"&amp;W20&amp;":AK100"))&gt;0)
            *(INDIRECT("'シフト一覧（転載）'!"&amp;W20&amp;":AK100")&lt;&gt;"休み"),
            1,0),0)+1,4),0),"")</f>
        <v>0</v>
      </c>
      <c r="Z20" s="21">
        <f t="array" aca="1" ref="Z20" ca="1">IFERROR(IF(Y20&lt;&gt;"",IF(Y20&lt;&gt;0,INDEX(
INDIRECT("'シフト一覧（転載）'!"&amp;Y20&amp;":AK100"),1,
MATCH(1,INDEX((LEN(INDIRECT("'シフト一覧（転載）'!"&amp;Y20&amp;":AK100"))&gt;0)
*(INDIRECT("'シフト一覧（転載）'!"&amp;Y20&amp;":AK100")&lt;&gt;"休み"),1,0),0)),0),""),$E$9&amp;"保育無し")</f>
        <v>0</v>
      </c>
      <c r="AA20" s="21">
        <f t="array" aca="1" ref="AA20" ca="1">IFERROR(IF(Y20&lt;&gt;0,ADDRESS(ROW(INDIRECT(Y20)),
    COLUMN(INDIRECT(Y20)) - 1 +
    MATCH(1,INDEX((LEN(INDIRECT("'シフト一覧（転載）'!"&amp;Y20&amp;":AK100"))&gt;0)
            *(INDIRECT("'シフト一覧（転載）'!"&amp;Y20&amp;":AK100")&lt;&gt;"休み"),
            1,0),0)+1,4),0),"")</f>
        <v>0</v>
      </c>
      <c r="AB20" s="21">
        <f t="array" aca="1" ref="AB20" ca="1">IFERROR(IF(AA20&lt;&gt;"",IF(AA20&lt;&gt;0,INDEX(
INDIRECT("'シフト一覧（転載）'!"&amp;AA20&amp;":AK100"),1,
MATCH(1,INDEX((LEN(INDIRECT("'シフト一覧（転載）'!"&amp;AA20&amp;":AK100"))&gt;0)
*(INDIRECT("'シフト一覧（転載）'!"&amp;AA20&amp;":AK100")&lt;&gt;"休み"),1,0),0)),0),""),$E$9&amp;"保育無し")</f>
        <v>0</v>
      </c>
      <c r="AC20" s="21">
        <f t="array" aca="1" ref="AC20" ca="1">IFERROR(IF(AA20&lt;&gt;0,ADDRESS(ROW(INDIRECT(AA20)),
    COLUMN(INDIRECT(AA20)) - 1 +
    MATCH(1,INDEX((LEN(INDIRECT("'シフト一覧（転載）'!"&amp;AA20&amp;":AK100"))&gt;0)
            *(INDIRECT("'シフト一覧（転載）'!"&amp;AA20&amp;":AK100")&lt;&gt;"休み"),
            1,0),0)+1,4),0),"")</f>
        <v>0</v>
      </c>
      <c r="AD20" s="21">
        <f t="array" aca="1" ref="AD20" ca="1">IFERROR(IF(AC20&lt;&gt;"",IF(AC20&lt;&gt;0,INDEX(
INDIRECT("'シフト一覧（転載）'!"&amp;AC20&amp;":AK100"),1,
MATCH(1,INDEX((LEN(INDIRECT("'シフト一覧（転載）'!"&amp;AC20&amp;":AK100"))&gt;0)
*(INDIRECT("'シフト一覧（転載）'!"&amp;AC20&amp;":AK100")&lt;&gt;"休み"),1,0),0)),0),""),$E$9&amp;"保育無し")</f>
        <v>0</v>
      </c>
      <c r="AE20" s="21">
        <f t="array" aca="1" ref="AE20" ca="1">IFERROR(IF(AC20&lt;&gt;0,ADDRESS(ROW(INDIRECT(AC20)),
    COLUMN(INDIRECT(AC20)) - 1 +
    MATCH(1,INDEX((LEN(INDIRECT("'シフト一覧（転載）'!"&amp;AC20&amp;":AK100"))&gt;0)
            *(INDIRECT("'シフト一覧（転載）'!"&amp;AC20&amp;":AK100")&lt;&gt;"休み"),
            1,0),0)+1,4),0),"")</f>
        <v>0</v>
      </c>
      <c r="AF20" s="21">
        <f t="array" aca="1" ref="AF20" ca="1">IFERROR(IF(AE20&lt;&gt;"",IF(AE20&lt;&gt;0,INDEX(
INDIRECT("'シフト一覧（転載）'!"&amp;AE20&amp;":AK100"),1,
MATCH(1,INDEX((LEN(INDIRECT("'シフト一覧（転載）'!"&amp;AE20&amp;":AK100"))&gt;0)
*(INDIRECT("'シフト一覧（転載）'!"&amp;AE20&amp;":AK100")&lt;&gt;"休み"),1,0),0)),0),""),$E$9&amp;"保育無し")</f>
        <v>0</v>
      </c>
      <c r="AG20" s="21">
        <f t="array" aca="1" ref="AG20" ca="1">IFERROR(IF(AE20&lt;&gt;0,ADDRESS(ROW(INDIRECT(AE20)),
    COLUMN(INDIRECT(AE20)) - 1 +
    MATCH(1,INDEX((LEN(INDIRECT("'シフト一覧（転載）'!"&amp;AE20&amp;":AK100"))&gt;0)
            *(INDIRECT("'シフト一覧（転載）'!"&amp;AE20&amp;":AK100")&lt;&gt;"休み"),
            1,0),0)+1,4),0),"")</f>
        <v>0</v>
      </c>
      <c r="AH20" s="21">
        <f t="array" aca="1" ref="AH20" ca="1">IFERROR(IF(AG20&lt;&gt;"",IF(AG20&lt;&gt;0,INDEX(
INDIRECT("'シフト一覧（転載）'!"&amp;AG20&amp;":AK100"),1,
MATCH(1,INDEX((LEN(INDIRECT("'シフト一覧（転載）'!"&amp;AG20&amp;":AK100"))&gt;0)
*(INDIRECT("'シフト一覧（転載）'!"&amp;AG20&amp;":AK100")&lt;&gt;"休み"),1,0),0)),0),""),$E$9&amp;"保育無し")</f>
        <v>0</v>
      </c>
      <c r="AI20" s="21">
        <f t="array" aca="1" ref="AI20" ca="1">IFERROR(IF(AG20&lt;&gt;0,ADDRESS(ROW(INDIRECT(AG20)),
    COLUMN(INDIRECT(AG20)) - 1 +
    MATCH(1,INDEX((LEN(INDIRECT("'シフト一覧（転載）'!"&amp;AG20&amp;":AK100"))&gt;0)
            *(INDIRECT("'シフト一覧（転載）'!"&amp;AG20&amp;":AK100")&lt;&gt;"休み"),
            1,0),0)+1,4),0),"")</f>
        <v>0</v>
      </c>
      <c r="AJ20" s="21">
        <f t="array" aca="1" ref="AJ20" ca="1">IFERROR(IF(AI20&lt;&gt;"",IF(AI20&lt;&gt;0,INDEX(
INDIRECT("'シフト一覧（転載）'!"&amp;AI20&amp;":AK100"),1,
MATCH(1,INDEX((LEN(INDIRECT("'シフト一覧（転載）'!"&amp;AI20&amp;":AK100"))&gt;0)
*(INDIRECT("'シフト一覧（転載）'!"&amp;AI20&amp;":AK100")&lt;&gt;"休み"),1,0),0)),0),""),$E$9&amp;"保育無し")</f>
        <v>0</v>
      </c>
      <c r="AK20" s="21">
        <f t="array" aca="1" ref="AK20" ca="1">IFERROR(IF(AI20&lt;&gt;0,ADDRESS(ROW(INDIRECT(AI20)),
    COLUMN(INDIRECT(AI20)) - 1 +
    MATCH(1,INDEX((LEN(INDIRECT("'シフト一覧（転載）'!"&amp;AI20&amp;":AK100"))&gt;0)
            *(INDIRECT("'シフト一覧（転載）'!"&amp;AI20&amp;":AK100")&lt;&gt;"休み"),
            1,0),0)+1,4),0),"")</f>
        <v>0</v>
      </c>
      <c r="AL20" s="21">
        <f t="array" aca="1" ref="AL20" ca="1">IFERROR(IF(AK20&lt;&gt;"",IF(AK20&lt;&gt;0,INDEX(
INDIRECT("'シフト一覧（転載）'!"&amp;AK20&amp;":AK100"),1,
MATCH(1,INDEX((LEN(INDIRECT("'シフト一覧（転載）'!"&amp;AK20&amp;":AK100"))&gt;0)
*(INDIRECT("'シフト一覧（転載）'!"&amp;AK20&amp;":AK100")&lt;&gt;"休み"),1,0),0)),0),""),$E$9&amp;"保育無し")</f>
        <v>0</v>
      </c>
      <c r="AM20" s="21">
        <f t="array" aca="1" ref="AM20" ca="1">IFERROR(IF(AK20&lt;&gt;0,ADDRESS(ROW(INDIRECT(AK20)),
    COLUMN(INDIRECT(AK20)) - 1 +
    MATCH(1,INDEX((LEN(INDIRECT("'シフト一覧（転載）'!"&amp;AK20&amp;":AK100"))&gt;0)
            *(INDIRECT("'シフト一覧（転載）'!"&amp;AK20&amp;":AK100")&lt;&gt;"休み"),
            1,0),0)+1,4),0),"")</f>
        <v>0</v>
      </c>
      <c r="AN20" s="21">
        <f t="array" aca="1" ref="AN20" ca="1">IFERROR(IF(AM20&lt;&gt;"",IF(AM20&lt;&gt;0,INDEX(
INDIRECT("'シフト一覧（転載）'!"&amp;AM20&amp;":AK100"),1,
MATCH(1,INDEX((LEN(INDIRECT("'シフト一覧（転載）'!"&amp;AM20&amp;":AK100"))&gt;0)
*(INDIRECT("'シフト一覧（転載）'!"&amp;AM20&amp;":AK100")&lt;&gt;"休み"),1,0),0)),0),""),$E$9&amp;"保育無し")</f>
        <v>0</v>
      </c>
      <c r="AO20" s="21">
        <f t="array" aca="1" ref="AO20" ca="1">IFERROR(IF(AM20&lt;&gt;0,ADDRESS(ROW(INDIRECT(AM20)),
    COLUMN(INDIRECT(AM20)) - 1 +
    MATCH(1,INDEX((LEN(INDIRECT("'シフト一覧（転載）'!"&amp;AM20&amp;":AK100"))&gt;0)
            *(INDIRECT("'シフト一覧（転載）'!"&amp;AM20&amp;":AK100")&lt;&gt;"休み"),
            1,0),0)+1,4),0),"")</f>
        <v>0</v>
      </c>
      <c r="AP20" s="21">
        <f t="array" aca="1" ref="AP20" ca="1">IFERROR(IF(AO20&lt;&gt;"",IF(AO20&lt;&gt;0,INDEX(
INDIRECT("'シフト一覧（転載）'!"&amp;AO20&amp;":AK100"),1,
MATCH(1,INDEX((LEN(INDIRECT("'シフト一覧（転載）'!"&amp;AO20&amp;":AK100"))&gt;0)
*(INDIRECT("'シフト一覧（転載）'!"&amp;AO20&amp;":AK100")&lt;&gt;"休み"),1,0),0)),0),""),$E$9&amp;"保育無し")</f>
        <v>0</v>
      </c>
      <c r="AQ20" s="21">
        <f t="array" aca="1" ref="AQ20" ca="1">IFERROR(IF(AO20&lt;&gt;0,ADDRESS(ROW(INDIRECT(AO20)),
    COLUMN(INDIRECT(AO20)) - 1 +
    MATCH(1,INDEX((LEN(INDIRECT("'シフト一覧（転載）'!"&amp;AO20&amp;":AK100"))&gt;0)
            *(INDIRECT("'シフト一覧（転載）'!"&amp;AO20&amp;":AK100")&lt;&gt;"休み"),
            1,0),0)+1,4),0),"")</f>
        <v>0</v>
      </c>
      <c r="AR20" s="21">
        <f t="array" aca="1" ref="AR20" ca="1">IFERROR(IF(AQ20&lt;&gt;"",IF(AQ20&lt;&gt;0,INDEX(
INDIRECT("'シフト一覧（転載）'!"&amp;AQ20&amp;":AK100"),1,
MATCH(1,INDEX((LEN(INDIRECT("'シフト一覧（転載）'!"&amp;AQ20&amp;":AK100"))&gt;0)
*(INDIRECT("'シフト一覧（転載）'!"&amp;AQ20&amp;":AK100")&lt;&gt;"休み"),1,0),0)),0),""),$E$9&amp;"保育無し")</f>
        <v>0</v>
      </c>
      <c r="AS20" s="21">
        <f t="array" aca="1" ref="AS20" ca="1">IFERROR(IF(AQ20&lt;&gt;0,ADDRESS(ROW(INDIRECT(AQ20)),
    COLUMN(INDIRECT(AQ20)) - 1 +
    MATCH(1,INDEX((LEN(INDIRECT("'シフト一覧（転載）'!"&amp;AQ20&amp;":AK100"))&gt;0)
            *(INDIRECT("'シフト一覧（転載）'!"&amp;AQ20&amp;":AK100")&lt;&gt;"休み"),
            1,0),0)+1,4),0),"")</f>
        <v>0</v>
      </c>
      <c r="AT20" s="21">
        <f t="array" aca="1" ref="AT20" ca="1">IFERROR(IF(AS20&lt;&gt;"",IF(AS20&lt;&gt;0,INDEX(
INDIRECT("'シフト一覧（転載）'!"&amp;AS20&amp;":AK100"),1,
MATCH(1,INDEX((LEN(INDIRECT("'シフト一覧（転載）'!"&amp;AS20&amp;":AK100"))&gt;0)
*(INDIRECT("'シフト一覧（転載）'!"&amp;AS20&amp;":AK100")&lt;&gt;"休み"),1,0),0)),0),""),$E$9&amp;"保育無し")</f>
        <v>0</v>
      </c>
      <c r="AU20" s="21">
        <f t="array" aca="1" ref="AU20" ca="1">IFERROR(IF(AS20&lt;&gt;0,ADDRESS(ROW(INDIRECT(AS20)),
    COLUMN(INDIRECT(AS20)) - 1 +
    MATCH(1,INDEX((LEN(INDIRECT("'シフト一覧（転載）'!"&amp;AS20&amp;":AK100"))&gt;0)
            *(INDIRECT("'シフト一覧（転載）'!"&amp;AS20&amp;":AK100")&lt;&gt;"休み"),
            1,0),0)+1,4),0),"")</f>
        <v>0</v>
      </c>
      <c r="AV20" s="21">
        <f t="array" aca="1" ref="AV20" ca="1">IFERROR(IF(AU20&lt;&gt;"",IF(AU20&lt;&gt;0,INDEX(
INDIRECT("'シフト一覧（転載）'!"&amp;AU20&amp;":AK100"),1,
MATCH(1,INDEX((LEN(INDIRECT("'シフト一覧（転載）'!"&amp;AU20&amp;":AK100"))&gt;0)
*(INDIRECT("'シフト一覧（転載）'!"&amp;AU20&amp;":AK100")&lt;&gt;"休み"),1,0),0)),0),""),$E$9&amp;"保育無し")</f>
        <v>0</v>
      </c>
      <c r="AW20" s="21">
        <f t="array" aca="1" ref="AW20" ca="1">IFERROR(IF(AU20&lt;&gt;0,ADDRESS(ROW(INDIRECT(AU20)),
    COLUMN(INDIRECT(AU20)) - 1 +
    MATCH(1,INDEX((LEN(INDIRECT("'シフト一覧（転載）'!"&amp;AU20&amp;":AK100"))&gt;0)
            *(INDIRECT("'シフト一覧（転載）'!"&amp;AU20&amp;":AK100")&lt;&gt;"休み"),
            1,0),0)+1,4),0),"")</f>
        <v>0</v>
      </c>
      <c r="AX20" s="21">
        <f t="array" aca="1" ref="AX20" ca="1">IFERROR(IF(AW20&lt;&gt;"",IF(AW20&lt;&gt;0,INDEX(
INDIRECT("'シフト一覧（転載）'!"&amp;AW20&amp;":AK100"),1,
MATCH(1,INDEX((LEN(INDIRECT("'シフト一覧（転載）'!"&amp;AW20&amp;":AK100"))&gt;0)
*(INDIRECT("'シフト一覧（転載）'!"&amp;AW20&amp;":AK100")&lt;&gt;"休み"),1,0),0)),0),""),$E$9&amp;"保育無し")</f>
        <v>0</v>
      </c>
      <c r="AY20" s="21">
        <f t="array" aca="1" ref="AY20" ca="1">IFERROR(IF(AW20&lt;&gt;0,ADDRESS(ROW(INDIRECT(AW20)),
    COLUMN(INDIRECT(AW20)) - 1 +
    MATCH(1,INDEX((LEN(INDIRECT("'シフト一覧（転載）'!"&amp;AW20&amp;":AK100"))&gt;0)
            *(INDIRECT("'シフト一覧（転載）'!"&amp;AW20&amp;":AK100")&lt;&gt;"休み"),
            1,0),0)+1,4),0),"")</f>
        <v>0</v>
      </c>
      <c r="AZ20" s="21">
        <f t="array" aca="1" ref="AZ20" ca="1">IFERROR(IF(AY20&lt;&gt;"",IF(AY20&lt;&gt;0,INDEX(
INDIRECT("'シフト一覧（転載）'!"&amp;AY20&amp;":AK100"),1,
MATCH(1,INDEX((LEN(INDIRECT("'シフト一覧（転載）'!"&amp;AY20&amp;":AK100"))&gt;0)
*(INDIRECT("'シフト一覧（転載）'!"&amp;AY20&amp;":AK100")&lt;&gt;"休み"),1,0),0)),0),""),$E$9&amp;"保育無し")</f>
        <v>0</v>
      </c>
      <c r="BA20" s="21">
        <f t="array" aca="1" ref="BA20" ca="1">IFERROR(IF(AY20&lt;&gt;0,ADDRESS(ROW(INDIRECT(AY20)),
    COLUMN(INDIRECT(AY20)) - 1 +
    MATCH(1,INDEX((LEN(INDIRECT("'シフト一覧（転載）'!"&amp;AY20&amp;":AK100"))&gt;0)
            *(INDIRECT("'シフト一覧（転載）'!"&amp;AY20&amp;":AK100")&lt;&gt;"休み"),
            1,0),0)+1,4),0),"")</f>
        <v>0</v>
      </c>
      <c r="BB20" s="21">
        <f t="array" aca="1" ref="BB20" ca="1">IFERROR(IF(BA20&lt;&gt;"",IF(BA20&lt;&gt;0,INDEX(
INDIRECT("'シフト一覧（転載）'!"&amp;BA20&amp;":AK100"),1,
MATCH(1,INDEX((LEN(INDIRECT("'シフト一覧（転載）'!"&amp;BA20&amp;":AK100"))&gt;0)
*(INDIRECT("'シフト一覧（転載）'!"&amp;BA20&amp;":AK100")&lt;&gt;"休み"),1,0),0)),0),""),$E$9&amp;"保育無し")</f>
        <v>0</v>
      </c>
      <c r="BC20" s="21">
        <f t="array" aca="1" ref="BC20" ca="1">IFERROR(IF(BA20&lt;&gt;0,ADDRESS(ROW(INDIRECT(BA20)),
    COLUMN(INDIRECT(BA20)) - 1 +
    MATCH(1,INDEX((LEN(INDIRECT("'シフト一覧（転載）'!"&amp;BA20&amp;":AK100"))&gt;0)
            *(INDIRECT("'シフト一覧（転載）'!"&amp;BA20&amp;":AK100")&lt;&gt;"休み"),
            1,0),0)+1,4),0),"")</f>
        <v>0</v>
      </c>
      <c r="BD20" s="21">
        <f t="array" aca="1" ref="BD20" ca="1">IFERROR(IF(BC20&lt;&gt;"",IF(BC20&lt;&gt;0,INDEX(
INDIRECT("'シフト一覧（転載）'!"&amp;BC20&amp;":AK100"),1,
MATCH(1,INDEX((LEN(INDIRECT("'シフト一覧（転載）'!"&amp;BC20&amp;":AK100"))&gt;0)
*(INDIRECT("'シフト一覧（転載）'!"&amp;BC20&amp;":AK100")&lt;&gt;"休み"),1,0),0)),0),""),$E$9&amp;"保育無し")</f>
        <v>0</v>
      </c>
      <c r="BE20" s="21">
        <f t="array" aca="1" ref="BE20" ca="1">IFERROR(IF(BC20&lt;&gt;0,ADDRESS(ROW(INDIRECT(BC20)),
    COLUMN(INDIRECT(BC20)) - 1 +
    MATCH(1,INDEX((LEN(INDIRECT("'シフト一覧（転載）'!"&amp;BC20&amp;":AK100"))&gt;0)
            *(INDIRECT("'シフト一覧（転載）'!"&amp;BC20&amp;":AK100")&lt;&gt;"休み"),
            1,0),0)+1,4),0),"")</f>
        <v>0</v>
      </c>
      <c r="BF20" s="21">
        <f t="array" aca="1" ref="BF20" ca="1">IFERROR(IF(BE20&lt;&gt;"",IF(BE20&lt;&gt;0,INDEX(
INDIRECT("'シフト一覧（転載）'!"&amp;BE20&amp;":AK100"),1,
MATCH(1,INDEX((LEN(INDIRECT("'シフト一覧（転載）'!"&amp;BE20&amp;":AK100"))&gt;0)
*(INDIRECT("'シフト一覧（転載）'!"&amp;BE20&amp;":AK100")&lt;&gt;"休み"),1,0),0)),0),""),$E$9&amp;"保育無し")</f>
        <v>0</v>
      </c>
      <c r="BG20" s="21">
        <f t="array" aca="1" ref="BG20" ca="1">IFERROR(IF(BE20&lt;&gt;0,ADDRESS(ROW(INDIRECT(BE20)),
    COLUMN(INDIRECT(BE20)) - 1 +
    MATCH(1,INDEX((LEN(INDIRECT("'シフト一覧（転載）'!"&amp;BE20&amp;":AK100"))&gt;0)
            *(INDIRECT("'シフト一覧（転載）'!"&amp;BE20&amp;":AK100")&lt;&gt;"休み"),
            1,0),0)+1,4),0),"")</f>
        <v>0</v>
      </c>
      <c r="BH20" s="21">
        <f t="array" aca="1" ref="BH20" ca="1">IFERROR(IF(BG20&lt;&gt;"",IF(BG20&lt;&gt;0,INDEX(
INDIRECT("'シフト一覧（転載）'!"&amp;BG20&amp;":AK100"),1,
MATCH(1,INDEX((LEN(INDIRECT("'シフト一覧（転載）'!"&amp;BG20&amp;":AK100"))&gt;0)
*(INDIRECT("'シフト一覧（転載）'!"&amp;BG20&amp;":AK100")&lt;&gt;"休み"),1,0),0)),0),""),$E$9&amp;"保育無し")</f>
        <v>0</v>
      </c>
      <c r="BI20" s="21">
        <f t="array" aca="1" ref="BI20" ca="1">IFERROR(IF(BG20&lt;&gt;0,ADDRESS(ROW(INDIRECT(BG20)),
    COLUMN(INDIRECT(BG20)) - 1 +
    MATCH(1,INDEX((LEN(INDIRECT("'シフト一覧（転載）'!"&amp;BG20&amp;":AK100"))&gt;0)
            *(INDIRECT("'シフト一覧（転載）'!"&amp;BG20&amp;":AK100")&lt;&gt;"休み"),
            1,0),0)+1,4),0),"")</f>
        <v>0</v>
      </c>
      <c r="BJ20" s="21">
        <f t="array" aca="1" ref="BJ20" ca="1">IFERROR(IF(BI20&lt;&gt;"",IF(BI20&lt;&gt;0,INDEX(
INDIRECT("'シフト一覧（転載）'!"&amp;BI20&amp;":AK100"),1,
MATCH(1,INDEX((LEN(INDIRECT("'シフト一覧（転載）'!"&amp;BI20&amp;":AK100"))&gt;0)
*(INDIRECT("'シフト一覧（転載）'!"&amp;BI20&amp;":AK100")&lt;&gt;"休み"),1,0),0)),0),""),$E$9&amp;"保育無し")</f>
        <v>0</v>
      </c>
      <c r="BK20" s="21">
        <f t="array" aca="1" ref="BK20" ca="1">IFERROR(IF(BI20&lt;&gt;0,ADDRESS(ROW(INDIRECT(BI20)),
    COLUMN(INDIRECT(BI20)) - 1 +
    MATCH(1,INDEX((LEN(INDIRECT("'シフト一覧（転載）'!"&amp;BI20&amp;":AK100"))&gt;0)
            *(INDIRECT("'シフト一覧（転載）'!"&amp;BI20&amp;":AK100")&lt;&gt;"休み"),
            1,0),0)+1,4),0),"")</f>
        <v>0</v>
      </c>
      <c r="BL20" s="21">
        <f t="array" aca="1" ref="BL20" ca="1">IFERROR(IF(BK20&lt;&gt;"",IF(BK20&lt;&gt;0,INDEX(
INDIRECT("'シフト一覧（転載）'!"&amp;BK20&amp;":AK100"),1,
MATCH(1,INDEX((LEN(INDIRECT("'シフト一覧（転載）'!"&amp;BK20&amp;":AK100"))&gt;0)
*(INDIRECT("'シフト一覧（転載）'!"&amp;BK20&amp;":AK100")&lt;&gt;"休み"),1,0),0)),0),""),$E$9&amp;"保育無し")</f>
        <v>0</v>
      </c>
      <c r="BM20" s="21">
        <f t="array" aca="1" ref="BM20" ca="1">IFERROR(IF(BK20&lt;&gt;0,ADDRESS(ROW(INDIRECT(BK20)),
    COLUMN(INDIRECT(BK20)) - 1 +
    MATCH(1,INDEX((LEN(INDIRECT("'シフト一覧（転載）'!"&amp;BK20&amp;":AK100"))&gt;0)
            *(INDIRECT("'シフト一覧（転載）'!"&amp;BK20&amp;":AK100")&lt;&gt;"休み"),
            1,0),0)+1,4),0),"")</f>
        <v>0</v>
      </c>
      <c r="BN20" s="21">
        <f t="array" aca="1" ref="BN20" ca="1">IFERROR(IF(BM20&lt;&gt;"",IF(BM20&lt;&gt;0,INDEX(
INDIRECT("'シフト一覧（転載）'!"&amp;BM20&amp;":AK100"),1,
MATCH(1,INDEX((LEN(INDIRECT("'シフト一覧（転載）'!"&amp;BM20&amp;":AK100"))&gt;0)
*(INDIRECT("'シフト一覧（転載）'!"&amp;BM20&amp;":AK100")&lt;&gt;"休み"),1,0),0)),0),""),$E$9&amp;"保育無し")</f>
        <v>0</v>
      </c>
      <c r="BO20" s="21">
        <f t="array" aca="1" ref="BO20" ca="1">IFERROR(IF(BM20&lt;&gt;0,ADDRESS(ROW(INDIRECT(BM20)),
    COLUMN(INDIRECT(BM20)) - 1 +
    MATCH(1,INDEX((LEN(INDIRECT("'シフト一覧（転載）'!"&amp;BM20&amp;":AK100"))&gt;0)
            *(INDIRECT("'シフト一覧（転載）'!"&amp;BM20&amp;":AK100")&lt;&gt;"休み"),
            1,0),0)+1,4),0),"")</f>
        <v>0</v>
      </c>
      <c r="BP20" s="21">
        <f t="array" aca="1" ref="BP20" ca="1">IFERROR(IF(BO20&lt;&gt;"",IF(BO20&lt;&gt;0,INDEX(
INDIRECT("'シフト一覧（転載）'!"&amp;BO20&amp;":AK100"),1,
MATCH(1,INDEX((LEN(INDIRECT("'シフト一覧（転載）'!"&amp;BO20&amp;":AK100"))&gt;0)
*(INDIRECT("'シフト一覧（転載）'!"&amp;BO20&amp;":AK100")&lt;&gt;"休み"),1,0),0)),0),""),$E$9&amp;"保育無し")</f>
        <v>0</v>
      </c>
      <c r="BQ20" s="21">
        <f t="array" aca="1" ref="BQ20" ca="1">IFERROR(IF(BO20&lt;&gt;0,ADDRESS(ROW(INDIRECT(BO20)),
    COLUMN(INDIRECT(BO20)) - 1 +
    MATCH(1,INDEX((LEN(INDIRECT("'シフト一覧（転載）'!"&amp;BO20&amp;":AK100"))&gt;0)
            *(INDIRECT("'シフト一覧（転載）'!"&amp;BO20&amp;":AK100")&lt;&gt;"休み"),
            1,0),0)+1,4),0),"")</f>
        <v>0</v>
      </c>
      <c r="BR20" s="21">
        <f t="array" aca="1" ref="BR20" ca="1">IFERROR(IF(BQ20&lt;&gt;"",IF(BQ20&lt;&gt;0,INDEX(
INDIRECT("'シフト一覧（転載）'!"&amp;BQ20&amp;":AK100"),1,
MATCH(1,INDEX((LEN(INDIRECT("'シフト一覧（転載）'!"&amp;BQ20&amp;":AK100"))&gt;0)
*(INDIRECT("'シフト一覧（転載）'!"&amp;BQ20&amp;":AK100")&lt;&gt;"休み"),1,0),0)),0),""),$E$9&amp;"保育無し")</f>
        <v>0</v>
      </c>
      <c r="BS20" s="21">
        <f t="array" aca="1" ref="BS20" ca="1">IFERROR(IF(BQ20&lt;&gt;0,ADDRESS(ROW(INDIRECT(BQ20)),
    COLUMN(INDIRECT(BQ20)) - 1 +
    MATCH(1,INDEX((LEN(INDIRECT("'シフト一覧（転載）'!"&amp;BQ20&amp;":AK100"))&gt;0)
            *(INDIRECT("'シフト一覧（転載）'!"&amp;BQ20&amp;":AK100")&lt;&gt;"休み"),
            1,0),0)+1,4),0),"")</f>
        <v>0</v>
      </c>
      <c r="BT20" s="21">
        <f t="array" aca="1" ref="BT20" ca="1">IFERROR(IF(BS20&lt;&gt;"",IF(BS20&lt;&gt;0,INDEX(
INDIRECT("'シフト一覧（転載）'!"&amp;BS20&amp;":AK100"),1,
MATCH(1,INDEX((LEN(INDIRECT("'シフト一覧（転載）'!"&amp;BS20&amp;":AK100"))&gt;0)
*(INDIRECT("'シフト一覧（転載）'!"&amp;BS20&amp;":AK100")&lt;&gt;"休み"),1,0),0)),0),""),$E$9&amp;"保育無し")</f>
        <v>0</v>
      </c>
      <c r="BU20" s="21">
        <f t="array" aca="1" ref="BU20" ca="1">IFERROR(IF(BS20&lt;&gt;0,ADDRESS(ROW(INDIRECT(BS20)),
    COLUMN(INDIRECT(BS20)) - 1 +
    MATCH(1,INDEX((LEN(INDIRECT("'シフト一覧（転載）'!"&amp;BS20&amp;":AK100"))&gt;0)
            *(INDIRECT("'シフト一覧（転載）'!"&amp;BS20&amp;":AK100")&lt;&gt;"休み"),
            1,0),0)+1,4),0),"")</f>
        <v>0</v>
      </c>
      <c r="BV20" s="21">
        <f t="array" aca="1" ref="BV20" ca="1">IFERROR(IF(BU20&lt;&gt;"",IF(BU20&lt;&gt;0,INDEX(
INDIRECT("'シフト一覧（転載）'!"&amp;BU20&amp;":AK100"),1,
MATCH(1,INDEX((LEN(INDIRECT("'シフト一覧（転載）'!"&amp;BU20&amp;":AK100"))&gt;0)
*(INDIRECT("'シフト一覧（転載）'!"&amp;BU20&amp;":AK100")&lt;&gt;"休み"),1,0),0)),0),""),$E$9&amp;"保育無し")</f>
        <v>0</v>
      </c>
      <c r="BW20" s="21">
        <f t="array" aca="1" ref="BW20" ca="1">IFERROR(IF(BU20&lt;&gt;0,ADDRESS(ROW(INDIRECT(BU20)),
    COLUMN(INDIRECT(BU20)) - 1 +
    MATCH(1,INDEX((LEN(INDIRECT("'シフト一覧（転載）'!"&amp;BU20&amp;":AK100"))&gt;0)
            *(INDIRECT("'シフト一覧（転載）'!"&amp;BU20&amp;":AK100")&lt;&gt;"休み"),
            1,0),0)+1,4),0),"")</f>
        <v>0</v>
      </c>
      <c r="BX20" s="21">
        <f t="array" aca="1" ref="BX20" ca="1">IFERROR(IF(BW20&lt;&gt;"",IF(BW20&lt;&gt;0,INDEX(
INDIRECT("'シフト一覧（転載）'!"&amp;BW20&amp;":AK100"),1,
MATCH(1,INDEX((LEN(INDIRECT("'シフト一覧（転載）'!"&amp;BW20&amp;":AK100"))&gt;0)
*(INDIRECT("'シフト一覧（転載）'!"&amp;BW20&amp;":AK100")&lt;&gt;"休み"),1,0),0)),0),""),$E$9&amp;"保育無し")</f>
        <v>0</v>
      </c>
      <c r="BY20" s="21">
        <f t="array" aca="1" ref="BY20" ca="1">IFERROR(IF(BW20&lt;&gt;0,ADDRESS(ROW(INDIRECT(BW20)),
    COLUMN(INDIRECT(BW20)) - 1 +
    MATCH(1,INDEX((LEN(INDIRECT("'シフト一覧（転載）'!"&amp;BW20&amp;":AK100"))&gt;0)
            *(INDIRECT("'シフト一覧（転載）'!"&amp;BW20&amp;":AK100")&lt;&gt;"休み"),
            1,0),0)+1,4),0),"")</f>
        <v>0</v>
      </c>
    </row>
    <row r="21" spans="1:77" ht="19.2" customHeight="1" x14ac:dyDescent="0.2">
      <c r="A21" s="46">
        <f t="shared" si="4"/>
        <v>0</v>
      </c>
      <c r="B21" s="64">
        <f t="array" aca="1" ref="B21" ca="1">IFERROR(IF(INDIRECT("'Page_" &amp; A21 &amp; "'!Q3")&lt;&gt;"",INDIRECT("'Page_" &amp; A21 &amp; "'!Q3"),INDIRECT("'Page_" &amp; A21 &amp; "'!P3")),0)</f>
        <v>0</v>
      </c>
      <c r="C21" s="42">
        <f t="shared" ca="1" si="0"/>
        <v>0</v>
      </c>
      <c r="D21" s="31">
        <f t="shared" ca="1" si="1"/>
        <v>0</v>
      </c>
      <c r="E21" s="28">
        <f t="shared" ca="1" si="2"/>
        <v>0</v>
      </c>
      <c r="F21" s="69" t="str">
        <f t="array" aca="1" ref="F21" ca="1">IFERROR(INDEX('シフト一覧（転載）'!$C$8:$C$100,
MATCH(1, (ISNUMBER(SEARCH(I21,'シフト一覧（転載）'!$A$8:$A$100)))
*(ISNUMBER(SEARCH($E$9,'シフト一覧（転載）'!$B$8:$B$100))), 0)),"")</f>
        <v/>
      </c>
      <c r="G21" s="60">
        <f t="shared" ca="1" si="3"/>
        <v>0</v>
      </c>
      <c r="H21" s="28">
        <f t="array" aca="1" ref="H21" ca="1">IFERROR(SUM(INDIRECT("'Page_" &amp; A21 &amp; "'!K"&amp;MATCH("有休",INDIRECT("'Page_" &amp; A21 &amp; "'!K:K"),0)+2&amp;"")
+INDIRECT("'Page_" &amp; A21 &amp; "'!L"&amp;MATCH("特休",INDIRECT("'Page_" &amp; A21 &amp; "'!L:L"),0)+2&amp;""))*24,0)</f>
        <v>0</v>
      </c>
      <c r="I21" s="51">
        <f t="array" aca="1" ref="I21" ca="1">IFERROR(_xlfn.TEXTJOIN("", TRUE, IF(ISERR(MID(INDIRECT("'Page_" &amp; A21 &amp; "'!C2"), ROW(INDIRECT("1:" &amp; LEN(INDIRECT("'Page_" &amp; A21 &amp; "'!C2")))), 1)*1), MID(INDIRECT("'Page_" &amp; A21 &amp; "'!C2"), ROW(INDIRECT("1:" &amp; LEN(INDIRECT("'Page_" &amp; A21 &amp; "'!C2")))), 1), "")),0)</f>
        <v>0</v>
      </c>
      <c r="J21" s="52">
        <f t="array" aca="1" ref="J21" ca="1">IFERROR(IF(INDIRECT("'Page_" &amp; A21 &amp; "'!E2")&lt;&gt;"",INDIRECT("'Page_" &amp; A21 &amp; "'!E2"),INDIRECT("'Page_" &amp; A21 &amp; "'!D2")),0)</f>
        <v>0</v>
      </c>
      <c r="K21" s="65"/>
      <c r="M21" s="93"/>
      <c r="N21" s="91"/>
      <c r="O21" s="95"/>
      <c r="P21" s="22">
        <f t="array" aca="1" ref="P21" ca="1">IFERROR(IF(M20&lt;&gt;"",INDEX('シフト一覧（転載）'!$F$8:$AK$100,
    MATCH(1,(ISNUMBER(SEARCH(M20,'シフト一覧（転載）'!$A$8:$A$100)))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MATCH(1,(ISNUMBER(SEARCH(M20,'シフト一覧（転載）'!$A$8:$A$100)))
                *(ISNUMBER(SEARCH($E$9,'シフト一覧（転載）'!$B$8:$B$100))),
                0),0),0)),0),"")</f>
        <v>0</v>
      </c>
      <c r="Q21" s="22">
        <f ca="1">IF(P20=0,0,
IF(OR(P20="",COUNTIF(P20,"*保育無し*")),"",
IF(MOD(P21-P20,1)*24&gt;=8,1,
IF(MOD(P21-P20,1)*24&gt;=6,0.75,0))))</f>
        <v>0</v>
      </c>
      <c r="R21" s="22">
        <f t="array" aca="1" ref="R21" ca="1">IFERROR(IF(Q20&lt;&gt;0,INDEX(
INDIRECT("'シフト一覧（転載）'!"&amp;Q20&amp;":AK100"),1+1,
MATCH(1,INDEX((LEN(INDIRECT("'シフト一覧（転載）'!"&amp;Q20&amp;":AK100"))&gt;0)
*(INDIRECT("'シフト一覧（転載）'!"&amp;Q20&amp;":AK100")&lt;&gt;"休み"),1,0),0)),0),"")</f>
        <v>0</v>
      </c>
      <c r="S21" s="22">
        <f ca="1">IF(R20=0,0,
IF(OR(R20="",COUNTIF(R20,"*保育無し*")),"",
IF(MOD(R21-R20,1)*24&gt;=8,1,
IF(MOD(R21-R20,1)*24&gt;=6,0.75,0))))</f>
        <v>0</v>
      </c>
      <c r="T21" s="22">
        <f t="array" aca="1" ref="T21" ca="1">IFERROR(IF(S20&lt;&gt;0,INDEX(
INDIRECT("'シフト一覧（転載）'!"&amp;S20&amp;":AK100"),1+1,
MATCH(1,INDEX((LEN(INDIRECT("'シフト一覧（転載）'!"&amp;S20&amp;":AK100"))&gt;0)
*(INDIRECT("'シフト一覧（転載）'!"&amp;S20&amp;":AK100")&lt;&gt;"休み"),1,0),0)),0),"")</f>
        <v>0</v>
      </c>
      <c r="U21" s="22">
        <f ca="1">IF(T20=0,0,
IF(OR(T20="",COUNTIF(T20,"*保育無し*")),"",
IF(MOD(T21-T20,1)*24&gt;=8,1,
IF(MOD(T21-T20,1)*24&gt;=6,0.75,0))))</f>
        <v>0</v>
      </c>
      <c r="V21" s="22">
        <f t="array" aca="1" ref="V21" ca="1">IFERROR(IF(U20&lt;&gt;0,INDEX(
INDIRECT("'シフト一覧（転載）'!"&amp;U20&amp;":AK100"),1+1,
MATCH(1,INDEX((LEN(INDIRECT("'シフト一覧（転載）'!"&amp;U20&amp;":AK100"))&gt;0)
*(INDIRECT("'シフト一覧（転載）'!"&amp;U20&amp;":AK100")&lt;&gt;"休み"),1,0),0)),0),"")</f>
        <v>0</v>
      </c>
      <c r="W21" s="22">
        <f ca="1">IF(V20=0,0,
IF(OR(V20="",COUNTIF(V20,"*保育無し*")),"",
IF(MOD(V21-V20,1)*24&gt;=8,1,
IF(MOD(V21-V20,1)*24&gt;=6,0.75,0))))</f>
        <v>0</v>
      </c>
      <c r="X21" s="22">
        <f t="array" aca="1" ref="X21" ca="1">IFERROR(IF(W20&lt;&gt;0,INDEX(
INDIRECT("'シフト一覧（転載）'!"&amp;W20&amp;":AK100"),1+1,
MATCH(1,INDEX((LEN(INDIRECT("'シフト一覧（転載）'!"&amp;W20&amp;":AK100"))&gt;0)
*(INDIRECT("'シフト一覧（転載）'!"&amp;W20&amp;":AK100")&lt;&gt;"休み"),1,0),0)),0),"")</f>
        <v>0</v>
      </c>
      <c r="Y21" s="22">
        <f ca="1">IF(X20=0,0,
IF(OR(X20="",COUNTIF(X20,"*保育無し*")),"",
IF(MOD(X21-X20,1)*24&gt;=8,1,
IF(MOD(X21-X20,1)*24&gt;=6,0.75,0))))</f>
        <v>0</v>
      </c>
      <c r="Z21" s="22">
        <f t="array" aca="1" ref="Z21" ca="1">IFERROR(IF(Y20&lt;&gt;0,INDEX(
INDIRECT("'シフト一覧（転載）'!"&amp;Y20&amp;":AK100"),1+1,
MATCH(1,INDEX((LEN(INDIRECT("'シフト一覧（転載）'!"&amp;Y20&amp;":AK100"))&gt;0)
*(INDIRECT("'シフト一覧（転載）'!"&amp;Y20&amp;":AK100")&lt;&gt;"休み"),1,0),0)),0),"")</f>
        <v>0</v>
      </c>
      <c r="AA21" s="22">
        <f ca="1">IF(Z20=0,0,
IF(OR(Z20="",COUNTIF(Z20,"*保育無し*")),"",
IF(MOD(Z21-Z20,1)*24&gt;=8,1,
IF(MOD(Z21-Z20,1)*24&gt;=6,0.75,0))))</f>
        <v>0</v>
      </c>
      <c r="AB21" s="22">
        <f t="array" aca="1" ref="AB21" ca="1">IFERROR(IF(AA20&lt;&gt;0,INDEX(
INDIRECT("'シフト一覧（転載）'!"&amp;AA20&amp;":AK100"),1+1,
MATCH(1,INDEX((LEN(INDIRECT("'シフト一覧（転載）'!"&amp;AA20&amp;":AK100"))&gt;0)
*(INDIRECT("'シフト一覧（転載）'!"&amp;AA20&amp;":AK100")&lt;&gt;"休み"),1,0),0)),0),"")</f>
        <v>0</v>
      </c>
      <c r="AC21" s="22">
        <f ca="1">IF(AB20=0,0,
IF(OR(AB20="",COUNTIF(AB20,"*保育無し*")),"",
IF(MOD(AB21-AB20,1)*24&gt;=8,1,
IF(MOD(AB21-AB20,1)*24&gt;=6,0.75,0))))</f>
        <v>0</v>
      </c>
      <c r="AD21" s="22">
        <f t="array" aca="1" ref="AD21" ca="1">IFERROR(IF(AC20&lt;&gt;0,INDEX(
INDIRECT("'シフト一覧（転載）'!"&amp;AC20&amp;":AK100"),1+1,
MATCH(1,INDEX((LEN(INDIRECT("'シフト一覧（転載）'!"&amp;AC20&amp;":AK100"))&gt;0)
*(INDIRECT("'シフト一覧（転載）'!"&amp;AC20&amp;":AK100")&lt;&gt;"休み"),1,0),0)),0),"")</f>
        <v>0</v>
      </c>
      <c r="AE21" s="22">
        <f ca="1">IF(AD20=0,0,
IF(OR(AD20="",COUNTIF(AD20,"*保育無し*")),"",
IF(MOD(AD21-AD20,1)*24&gt;=8,1,
IF(MOD(AD21-AD20,1)*24&gt;=6,0.75,0))))</f>
        <v>0</v>
      </c>
      <c r="AF21" s="22">
        <f t="array" aca="1" ref="AF21" ca="1">IFERROR(IF(AE20&lt;&gt;0,INDEX(
INDIRECT("'シフト一覧（転載）'!"&amp;AE20&amp;":AK100"),1+1,
MATCH(1,INDEX((LEN(INDIRECT("'シフト一覧（転載）'!"&amp;AE20&amp;":AK100"))&gt;0)
*(INDIRECT("'シフト一覧（転載）'!"&amp;AE20&amp;":AK100")&lt;&gt;"休み"),1,0),0)),0),"")</f>
        <v>0</v>
      </c>
      <c r="AG21" s="22">
        <f ca="1">IF(AF20=0,0,
IF(OR(AF20="",COUNTIF(AF20,"*保育無し*")),"",
IF(MOD(AF21-AF20,1)*24&gt;=8,1,
IF(MOD(AF21-AF20,1)*24&gt;=6,0.75,0))))</f>
        <v>0</v>
      </c>
      <c r="AH21" s="22">
        <f t="array" aca="1" ref="AH21" ca="1">IFERROR(IF(AG20&lt;&gt;0,INDEX(
INDIRECT("'シフト一覧（転載）'!"&amp;AG20&amp;":AK100"),1+1,
MATCH(1,INDEX((LEN(INDIRECT("'シフト一覧（転載）'!"&amp;AG20&amp;":AK100"))&gt;0)
*(INDIRECT("'シフト一覧（転載）'!"&amp;AG20&amp;":AK100")&lt;&gt;"休み"),1,0),0)),0),"")</f>
        <v>0</v>
      </c>
      <c r="AI21" s="22">
        <f ca="1">IF(AH20=0,0,
IF(OR(AH20="",COUNTIF(AH20,"*保育無し*")),"",
IF(MOD(AH21-AH20,1)*24&gt;=8,1,
IF(MOD(AH21-AH20,1)*24&gt;=6,0.75,0))))</f>
        <v>0</v>
      </c>
      <c r="AJ21" s="22">
        <f t="array" aca="1" ref="AJ21" ca="1">IFERROR(IF(AI20&lt;&gt;0,INDEX(
INDIRECT("'シフト一覧（転載）'!"&amp;AI20&amp;":AK100"),1+1,
MATCH(1,INDEX((LEN(INDIRECT("'シフト一覧（転載）'!"&amp;AI20&amp;":AK100"))&gt;0)
*(INDIRECT("'シフト一覧（転載）'!"&amp;AI20&amp;":AK100")&lt;&gt;"休み"),1,0),0)),0),"")</f>
        <v>0</v>
      </c>
      <c r="AK21" s="22">
        <f ca="1">IF(AJ20=0,0,
IF(OR(AJ20="",COUNTIF(AJ20,"*保育無し*")),"",
IF(MOD(AJ21-AJ20,1)*24&gt;=8,1,
IF(MOD(AJ21-AJ20,1)*24&gt;=6,0.75,0))))</f>
        <v>0</v>
      </c>
      <c r="AL21" s="22">
        <f t="array" aca="1" ref="AL21" ca="1">IFERROR(IF(AK20&lt;&gt;0,INDEX(
INDIRECT("'シフト一覧（転載）'!"&amp;AK20&amp;":AK100"),1+1,
MATCH(1,INDEX((LEN(INDIRECT("'シフト一覧（転載）'!"&amp;AK20&amp;":AK100"))&gt;0)
*(INDIRECT("'シフト一覧（転載）'!"&amp;AK20&amp;":AK100")&lt;&gt;"休み"),1,0),0)),0),"")</f>
        <v>0</v>
      </c>
      <c r="AM21" s="22">
        <f ca="1">IF(AL20=0,0,
IF(OR(AL20="",COUNTIF(AL20,"*保育無し*")),"",
IF(MOD(AL21-AL20,1)*24&gt;=8,1,
IF(MOD(AL21-AL20,1)*24&gt;=6,0.75,0))))</f>
        <v>0</v>
      </c>
      <c r="AN21" s="22">
        <f t="array" aca="1" ref="AN21" ca="1">IFERROR(IF(AM20&lt;&gt;0,INDEX(
INDIRECT("'シフト一覧（転載）'!"&amp;AM20&amp;":AK100"),1+1,
MATCH(1,INDEX((LEN(INDIRECT("'シフト一覧（転載）'!"&amp;AM20&amp;":AK100"))&gt;0)
*(INDIRECT("'シフト一覧（転載）'!"&amp;AM20&amp;":AK100")&lt;&gt;"休み"),1,0),0)),0),"")</f>
        <v>0</v>
      </c>
      <c r="AO21" s="22">
        <f ca="1">IF(AN20=0,0,
IF(OR(AN20="",COUNTIF(AN20,"*保育無し*")),"",
IF(MOD(AN21-AN20,1)*24&gt;=8,1,
IF(MOD(AN21-AN20,1)*24&gt;=6,0.75,0))))</f>
        <v>0</v>
      </c>
      <c r="AP21" s="22">
        <f t="array" aca="1" ref="AP21" ca="1">IFERROR(IF(AO20&lt;&gt;0,INDEX(
INDIRECT("'シフト一覧（転載）'!"&amp;AO20&amp;":AK100"),1+1,
MATCH(1,INDEX((LEN(INDIRECT("'シフト一覧（転載）'!"&amp;AO20&amp;":AK100"))&gt;0)
*(INDIRECT("'シフト一覧（転載）'!"&amp;AO20&amp;":AK100")&lt;&gt;"休み"),1,0),0)),0),"")</f>
        <v>0</v>
      </c>
      <c r="AQ21" s="22">
        <f ca="1">IF(AP20=0,0,
IF(OR(AP20="",COUNTIF(AP20,"*保育無し*")),"",
IF(MOD(AP21-AP20,1)*24&gt;=8,1,
IF(MOD(AP21-AP20,1)*24&gt;=6,0.75,0))))</f>
        <v>0</v>
      </c>
      <c r="AR21" s="22">
        <f t="array" aca="1" ref="AR21" ca="1">IFERROR(IF(AQ20&lt;&gt;0,INDEX(
INDIRECT("'シフト一覧（転載）'!"&amp;AQ20&amp;":AK100"),1+1,
MATCH(1,INDEX((LEN(INDIRECT("'シフト一覧（転載）'!"&amp;AQ20&amp;":AK100"))&gt;0)
*(INDIRECT("'シフト一覧（転載）'!"&amp;AQ20&amp;":AK100")&lt;&gt;"休み"),1,0),0)),0),"")</f>
        <v>0</v>
      </c>
      <c r="AS21" s="22">
        <f ca="1">IF(AR20=0,0,
IF(OR(AR20="",COUNTIF(AR20,"*保育無し*")),"",
IF(MOD(AR21-AR20,1)*24&gt;=8,1,
IF(MOD(AR21-AR20,1)*24&gt;=6,0.75,0))))</f>
        <v>0</v>
      </c>
      <c r="AT21" s="22">
        <f t="array" aca="1" ref="AT21" ca="1">IFERROR(IF(AS20&lt;&gt;0,INDEX(
INDIRECT("'シフト一覧（転載）'!"&amp;AS20&amp;":AK100"),1+1,
MATCH(1,INDEX((LEN(INDIRECT("'シフト一覧（転載）'!"&amp;AS20&amp;":AK100"))&gt;0)
*(INDIRECT("'シフト一覧（転載）'!"&amp;AS20&amp;":AK100")&lt;&gt;"休み"),1,0),0)),0),"")</f>
        <v>0</v>
      </c>
      <c r="AU21" s="22">
        <f ca="1">IF(AT20=0,0,
IF(OR(AT20="",COUNTIF(AT20,"*保育無し*")),"",
IF(MOD(AT21-AT20,1)*24&gt;=8,1,
IF(MOD(AT21-AT20,1)*24&gt;=6,0.75,0))))</f>
        <v>0</v>
      </c>
      <c r="AV21" s="22">
        <f t="array" aca="1" ref="AV21" ca="1">IFERROR(IF(AU20&lt;&gt;0,INDEX(
INDIRECT("'シフト一覧（転載）'!"&amp;AU20&amp;":AK100"),1+1,
MATCH(1,INDEX((LEN(INDIRECT("'シフト一覧（転載）'!"&amp;AU20&amp;":AK100"))&gt;0)
*(INDIRECT("'シフト一覧（転載）'!"&amp;AU20&amp;":AK100")&lt;&gt;"休み"),1,0),0)),0),"")</f>
        <v>0</v>
      </c>
      <c r="AW21" s="22">
        <f ca="1">IF(AV20=0,0,
IF(OR(AV20="",COUNTIF(AV20,"*保育無し*")),"",
IF(MOD(AV21-AV20,1)*24&gt;=8,1,
IF(MOD(AV21-AV20,1)*24&gt;=6,0.75,0))))</f>
        <v>0</v>
      </c>
      <c r="AX21" s="22">
        <f t="array" aca="1" ref="AX21" ca="1">IFERROR(IF(AW20&lt;&gt;0,INDEX(
INDIRECT("'シフト一覧（転載）'!"&amp;AW20&amp;":AK100"),1+1,
MATCH(1,INDEX((LEN(INDIRECT("'シフト一覧（転載）'!"&amp;AW20&amp;":AK100"))&gt;0)
*(INDIRECT("'シフト一覧（転載）'!"&amp;AW20&amp;":AK100")&lt;&gt;"休み"),1,0),0)),0),"")</f>
        <v>0</v>
      </c>
      <c r="AY21" s="22">
        <f ca="1">IF(AX20=0,0,
IF(OR(AX20="",COUNTIF(AX20,"*保育無し*")),"",
IF(MOD(AX21-AX20,1)*24&gt;=8,1,
IF(MOD(AX21-AX20,1)*24&gt;=6,0.75,0))))</f>
        <v>0</v>
      </c>
      <c r="AZ21" s="22">
        <f t="array" aca="1" ref="AZ21" ca="1">IFERROR(IF(AY20&lt;&gt;0,INDEX(
INDIRECT("'シフト一覧（転載）'!"&amp;AY20&amp;":AK100"),1+1,
MATCH(1,INDEX((LEN(INDIRECT("'シフト一覧（転載）'!"&amp;AY20&amp;":AK100"))&gt;0)
*(INDIRECT("'シフト一覧（転載）'!"&amp;AY20&amp;":AK100")&lt;&gt;"休み"),1,0),0)),0),"")</f>
        <v>0</v>
      </c>
      <c r="BA21" s="22">
        <f ca="1">IF(AZ20=0,0,
IF(OR(AZ20="",COUNTIF(AZ20,"*保育無し*")),"",
IF(MOD(AZ21-AZ20,1)*24&gt;=8,1,
IF(MOD(AZ21-AZ20,1)*24&gt;=6,0.75,0))))</f>
        <v>0</v>
      </c>
      <c r="BB21" s="22">
        <f t="array" aca="1" ref="BB21" ca="1">IFERROR(IF(BA20&lt;&gt;0,INDEX(
INDIRECT("'シフト一覧（転載）'!"&amp;BA20&amp;":AK100"),1+1,
MATCH(1,INDEX((LEN(INDIRECT("'シフト一覧（転載）'!"&amp;BA20&amp;":AK100"))&gt;0)
*(INDIRECT("'シフト一覧（転載）'!"&amp;BA20&amp;":AK100")&lt;&gt;"休み"),1,0),0)),0),"")</f>
        <v>0</v>
      </c>
      <c r="BC21" s="22">
        <f ca="1">IF(BB20=0,0,
IF(OR(BB20="",COUNTIF(BB20,"*保育無し*")),"",
IF(MOD(BB21-BB20,1)*24&gt;=8,1,
IF(MOD(BB21-BB20,1)*24&gt;=6,0.75,0))))</f>
        <v>0</v>
      </c>
      <c r="BD21" s="22">
        <f t="array" aca="1" ref="BD21" ca="1">IFERROR(IF(BC20&lt;&gt;0,INDEX(
INDIRECT("'シフト一覧（転載）'!"&amp;BC20&amp;":AK100"),1+1,
MATCH(1,INDEX((LEN(INDIRECT("'シフト一覧（転載）'!"&amp;BC20&amp;":AK100"))&gt;0)
*(INDIRECT("'シフト一覧（転載）'!"&amp;BC20&amp;":AK100")&lt;&gt;"休み"),1,0),0)),0),"")</f>
        <v>0</v>
      </c>
      <c r="BE21" s="22">
        <f ca="1">IF(BD20=0,0,
IF(OR(BD20="",COUNTIF(BD20,"*保育無し*")),"",
IF(MOD(BD21-BD20,1)*24&gt;=8,1,
IF(MOD(BD21-BD20,1)*24&gt;=6,0.75,0))))</f>
        <v>0</v>
      </c>
      <c r="BF21" s="22">
        <f t="array" aca="1" ref="BF21" ca="1">IFERROR(IF(BE20&lt;&gt;0,INDEX(
INDIRECT("'シフト一覧（転載）'!"&amp;BE20&amp;":AK100"),1+1,
MATCH(1,INDEX((LEN(INDIRECT("'シフト一覧（転載）'!"&amp;BE20&amp;":AK100"))&gt;0)
*(INDIRECT("'シフト一覧（転載）'!"&amp;BE20&amp;":AK100")&lt;&gt;"休み"),1,0),0)),0),"")</f>
        <v>0</v>
      </c>
      <c r="BG21" s="22">
        <f ca="1">IF(BF20=0,0,
IF(OR(BF20="",COUNTIF(BF20,"*保育無し*")),"",
IF(MOD(BF21-BF20,1)*24&gt;=8,1,
IF(MOD(BF21-BF20,1)*24&gt;=6,0.75,0))))</f>
        <v>0</v>
      </c>
      <c r="BH21" s="22">
        <f t="array" aca="1" ref="BH21" ca="1">IFERROR(IF(BG20&lt;&gt;0,INDEX(
INDIRECT("'シフト一覧（転載）'!"&amp;BG20&amp;":AK100"),1+1,
MATCH(1,INDEX((LEN(INDIRECT("'シフト一覧（転載）'!"&amp;BG20&amp;":AK100"))&gt;0)
*(INDIRECT("'シフト一覧（転載）'!"&amp;BG20&amp;":AK100")&lt;&gt;"休み"),1,0),0)),0),"")</f>
        <v>0</v>
      </c>
      <c r="BI21" s="22">
        <f ca="1">IF(BH20=0,0,
IF(OR(BH20="",COUNTIF(BH20,"*保育無し*")),"",
IF(MOD(BH21-BH20,1)*24&gt;=8,1,
IF(MOD(BH21-BH20,1)*24&gt;=6,0.75,0))))</f>
        <v>0</v>
      </c>
      <c r="BJ21" s="22">
        <f t="array" aca="1" ref="BJ21" ca="1">IFERROR(IF(BI20&lt;&gt;0,INDEX(
INDIRECT("'シフト一覧（転載）'!"&amp;BI20&amp;":AK100"),1+1,
MATCH(1,INDEX((LEN(INDIRECT("'シフト一覧（転載）'!"&amp;BI20&amp;":AK100"))&gt;0)
*(INDIRECT("'シフト一覧（転載）'!"&amp;BI20&amp;":AK100")&lt;&gt;"休み"),1,0),0)),0),"")</f>
        <v>0</v>
      </c>
      <c r="BK21" s="22">
        <f ca="1">IF(BJ20=0,0,
IF(OR(BJ20="",COUNTIF(BJ20,"*保育無し*")),"",
IF(MOD(BJ21-BJ20,1)*24&gt;=8,1,
IF(MOD(BJ21-BJ20,1)*24&gt;=6,0.75,0))))</f>
        <v>0</v>
      </c>
      <c r="BL21" s="22">
        <f t="array" aca="1" ref="BL21" ca="1">IFERROR(IF(BK20&lt;&gt;0,INDEX(
INDIRECT("'シフト一覧（転載）'!"&amp;BK20&amp;":AK100"),1+1,
MATCH(1,INDEX((LEN(INDIRECT("'シフト一覧（転載）'!"&amp;BK20&amp;":AK100"))&gt;0)
*(INDIRECT("'シフト一覧（転載）'!"&amp;BK20&amp;":AK100")&lt;&gt;"休み"),1,0),0)),0),"")</f>
        <v>0</v>
      </c>
      <c r="BM21" s="22">
        <f ca="1">IF(BL20=0,0,
IF(OR(BL20="",COUNTIF(BL20,"*保育無し*")),"",
IF(MOD(BL21-BL20,1)*24&gt;=8,1,
IF(MOD(BL21-BL20,1)*24&gt;=6,0.75,0))))</f>
        <v>0</v>
      </c>
      <c r="BN21" s="22">
        <f t="array" aca="1" ref="BN21" ca="1">IFERROR(IF(BM20&lt;&gt;0,INDEX(
INDIRECT("'シフト一覧（転載）'!"&amp;BM20&amp;":AK100"),1+1,
MATCH(1,INDEX((LEN(INDIRECT("'シフト一覧（転載）'!"&amp;BM20&amp;":AK100"))&gt;0)
*(INDIRECT("'シフト一覧（転載）'!"&amp;BM20&amp;":AK100")&lt;&gt;"休み"),1,0),0)),0),"")</f>
        <v>0</v>
      </c>
      <c r="BO21" s="22">
        <f ca="1">IF(BN20=0,0,
IF(OR(BN20="",COUNTIF(BN20,"*保育無し*")),"",
IF(MOD(BN21-BN20,1)*24&gt;=8,1,
IF(MOD(BN21-BN20,1)*24&gt;=6,0.75,0))))</f>
        <v>0</v>
      </c>
      <c r="BP21" s="22">
        <f t="array" aca="1" ref="BP21" ca="1">IFERROR(IF(BO20&lt;&gt;0,INDEX(
INDIRECT("'シフト一覧（転載）'!"&amp;BO20&amp;":AK100"),1+1,
MATCH(1,INDEX((LEN(INDIRECT("'シフト一覧（転載）'!"&amp;BO20&amp;":AK100"))&gt;0)
*(INDIRECT("'シフト一覧（転載）'!"&amp;BO20&amp;":AK100")&lt;&gt;"休み"),1,0),0)),0),"")</f>
        <v>0</v>
      </c>
      <c r="BQ21" s="22">
        <f ca="1">IF(BP20=0,0,
IF(OR(BP20="",COUNTIF(BP20,"*保育無し*")),"",
IF(MOD(BP21-BP20,1)*24&gt;=8,1,
IF(MOD(BP21-BP20,1)*24&gt;=6,0.75,0))))</f>
        <v>0</v>
      </c>
      <c r="BR21" s="22">
        <f t="array" aca="1" ref="BR21" ca="1">IFERROR(IF(BQ20&lt;&gt;0,INDEX(
INDIRECT("'シフト一覧（転載）'!"&amp;BQ20&amp;":AK100"),1+1,
MATCH(1,INDEX((LEN(INDIRECT("'シフト一覧（転載）'!"&amp;BQ20&amp;":AK100"))&gt;0)
*(INDIRECT("'シフト一覧（転載）'!"&amp;BQ20&amp;":AK100")&lt;&gt;"休み"),1,0),0)),0),"")</f>
        <v>0</v>
      </c>
      <c r="BS21" s="22">
        <f ca="1">IF(BR20=0,0,
IF(OR(BR20="",COUNTIF(BR20,"*保育無し*")),"",
IF(MOD(BR21-BR20,1)*24&gt;=8,1,
IF(MOD(BR21-BR20,1)*24&gt;=6,0.75,0))))</f>
        <v>0</v>
      </c>
      <c r="BT21" s="22">
        <f t="array" aca="1" ref="BT21" ca="1">IFERROR(IF(BS20&lt;&gt;0,INDEX(
INDIRECT("'シフト一覧（転載）'!"&amp;BS20&amp;":AK100"),1+1,
MATCH(1,INDEX((LEN(INDIRECT("'シフト一覧（転載）'!"&amp;BS20&amp;":AK100"))&gt;0)
*(INDIRECT("'シフト一覧（転載）'!"&amp;BS20&amp;":AK100")&lt;&gt;"休み"),1,0),0)),0),"")</f>
        <v>0</v>
      </c>
      <c r="BU21" s="22">
        <f ca="1">IF(BT20=0,0,
IF(OR(BT20="",COUNTIF(BT20,"*保育無し*")),"",
IF(MOD(BT21-BT20,1)*24&gt;=8,1,
IF(MOD(BT21-BT20,1)*24&gt;=6,0.75,0))))</f>
        <v>0</v>
      </c>
      <c r="BV21" s="22">
        <f t="array" aca="1" ref="BV21" ca="1">IFERROR(IF(BU20&lt;&gt;0,INDEX(
INDIRECT("'シフト一覧（転載）'!"&amp;BU20&amp;":AK100"),1+1,
MATCH(1,INDEX((LEN(INDIRECT("'シフト一覧（転載）'!"&amp;BU20&amp;":AK100"))&gt;0)
*(INDIRECT("'シフト一覧（転載）'!"&amp;BU20&amp;":AK100")&lt;&gt;"休み"),1,0),0)),0),"")</f>
        <v>0</v>
      </c>
      <c r="BW21" s="22">
        <f ca="1">IF(BV20=0,0,
IF(OR(BV20="",COUNTIF(BV20,"*保育無し*")),"",
IF(MOD(BV21-BV20,1)*24&gt;=8,1,
IF(MOD(BV21-BV20,1)*24&gt;=6,0.75,0))))</f>
        <v>0</v>
      </c>
      <c r="BX21" s="22">
        <f t="array" aca="1" ref="BX21" ca="1">IFERROR(IF(BW20&lt;&gt;0,INDEX(
INDIRECT("'シフト一覧（転載）'!"&amp;BW20&amp;":AK100"),1+1,
MATCH(1,INDEX((LEN(INDIRECT("'シフト一覧（転載）'!"&amp;BW20&amp;":AK100"))&gt;0)
*(INDIRECT("'シフト一覧（転載）'!"&amp;BW20&amp;":AK100")&lt;&gt;"休み"),1,0),0)),0),"")</f>
        <v>0</v>
      </c>
      <c r="BY21" s="22">
        <f ca="1">IF(BX20=0,0,
IF(OR(BX20="",COUNTIF(BX20,"*保育無し*")),"",
IF(MOD(BX21-BX20,1)*24&gt;=8,1,
IF(MOD(BX21-BX20,1)*24&gt;=6,0.75,0))))</f>
        <v>0</v>
      </c>
    </row>
    <row r="22" spans="1:77" ht="19.2" customHeight="1" x14ac:dyDescent="0.2">
      <c r="A22" s="46">
        <f t="shared" si="4"/>
        <v>0</v>
      </c>
      <c r="B22" s="64">
        <f t="array" aca="1" ref="B22" ca="1">IFERROR(IF(INDIRECT("'Page_" &amp; A22 &amp; "'!Q3")&lt;&gt;"",INDIRECT("'Page_" &amp; A22 &amp; "'!Q3"),INDIRECT("'Page_" &amp; A22 &amp; "'!P3")),0)</f>
        <v>0</v>
      </c>
      <c r="C22" s="42">
        <f t="shared" ca="1" si="0"/>
        <v>0</v>
      </c>
      <c r="D22" s="31">
        <f t="shared" ca="1" si="1"/>
        <v>0</v>
      </c>
      <c r="E22" s="28">
        <f t="shared" ca="1" si="2"/>
        <v>0</v>
      </c>
      <c r="F22" s="69" t="str">
        <f t="array" aca="1" ref="F22" ca="1">IFERROR(INDEX('シフト一覧（転載）'!$C$8:$C$100,
MATCH(1, (ISNUMBER(SEARCH(I22,'シフト一覧（転載）'!$A$8:$A$100)))
*(ISNUMBER(SEARCH($E$9,'シフト一覧（転載）'!$B$8:$B$100))), 0)),"")</f>
        <v/>
      </c>
      <c r="G22" s="60">
        <f t="shared" ca="1" si="3"/>
        <v>0</v>
      </c>
      <c r="H22" s="28">
        <f t="array" aca="1" ref="H22" ca="1">IFERROR(SUM(INDIRECT("'Page_" &amp; A22 &amp; "'!K"&amp;MATCH("有休",INDIRECT("'Page_" &amp; A22 &amp; "'!K:K"),0)+2&amp;"")
+INDIRECT("'Page_" &amp; A22 &amp; "'!L"&amp;MATCH("特休",INDIRECT("'Page_" &amp; A22 &amp; "'!L:L"),0)+2&amp;""))*24,0)</f>
        <v>0</v>
      </c>
      <c r="I22" s="51">
        <f t="array" aca="1" ref="I22" ca="1">IFERROR(_xlfn.TEXTJOIN("", TRUE, IF(ISERR(MID(INDIRECT("'Page_" &amp; A22 &amp; "'!C2"), ROW(INDIRECT("1:" &amp; LEN(INDIRECT("'Page_" &amp; A22 &amp; "'!C2")))), 1)*1), MID(INDIRECT("'Page_" &amp; A22 &amp; "'!C2"), ROW(INDIRECT("1:" &amp; LEN(INDIRECT("'Page_" &amp; A22 &amp; "'!C2")))), 1), "")),0)</f>
        <v>0</v>
      </c>
      <c r="J22" s="52">
        <f t="array" aca="1" ref="J22" ca="1">IFERROR(IF(INDIRECT("'Page_" &amp; A22 &amp; "'!E2")&lt;&gt;"",INDIRECT("'Page_" &amp; A22 &amp; "'!E2"),INDIRECT("'Page_" &amp; A22 &amp; "'!D2")),0)</f>
        <v>0</v>
      </c>
      <c r="K22" s="65"/>
      <c r="M22" s="92" t="str">
        <f t="array" aca="1" ref="M22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2" s="90" t="str">
        <f ca="1">IF(M22&lt;&gt;"",VLOOKUP(M22,$I$12:$J$27,2,FALSE),"")</f>
        <v/>
      </c>
      <c r="O22" s="94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21">
        <f t="array" aca="1" ref="P22" ca="1">IFERROR(IF(M22&lt;&gt;"",INDEX('シフト一覧（転載）'!$F$8:$AK$100,
    MATCH(1,(ISNUMBER(SEARCH(M22,'シフト一覧（転載）'!$A$8:$A$100)))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MATCH(1,(ISNUMBER(SEARCH(M22,'シフト一覧（転載）'!$A$8:$A$100)))
                *(ISNUMBER(SEARCH($E$9,'シフト一覧（転載）'!$B$8:$B$100))),
                0),0),0)),0),$E$9&amp;"保育無し")</f>
        <v>0</v>
      </c>
      <c r="Q22" s="21">
        <f t="array" aca="1" ref="Q22" ca="1">IFERROR(IF(COUNTIF(P22,"*無*"),"",IF(M22&lt;&gt;"",ADDRESS(
    MATCH(1,(ISNUMBER(SEARCH(M22,'シフト一覧（転載）'!$A$8:$A$100)))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MATCH(1,(ISNUMBER(SEARCH(M22,'シフト一覧（転載）'!$A$8:$A$100)))
                *(ISNUMBER(SEARCH($E$9,'シフト一覧（転載）'!$B$8:$B$100))),0),0),0) + 6,4),0)),0)</f>
        <v>0</v>
      </c>
      <c r="R22" s="21">
        <f t="array" aca="1" ref="R22" ca="1">IFERROR(IF(Q22&lt;&gt;"",IF(Q22&lt;&gt;0,INDEX(
INDIRECT("'シフト一覧（転載）'!"&amp;Q22&amp;":AK100"),1,
MATCH(1,INDEX((LEN(INDIRECT("'シフト一覧（転載）'!"&amp;Q22&amp;":AK100"))&gt;0)
*(INDIRECT("'シフト一覧（転載）'!"&amp;Q22&amp;":AK100")&lt;&gt;"休み"),1,0),0)),0),""),$E$9&amp;"保育無し")</f>
        <v>0</v>
      </c>
      <c r="S22" s="21">
        <f t="array" aca="1" ref="S22" ca="1">IFERROR(IF(Q22&lt;&gt;0,ADDRESS(ROW(INDIRECT(Q22)),
    COLUMN(INDIRECT(Q22)) - 1 +
    MATCH(1,INDEX((LEN(INDIRECT("'シフト一覧（転載）'!"&amp;Q22&amp;":AK100"))&gt;0)
            *(INDIRECT("'シフト一覧（転載）'!"&amp;Q22&amp;":AK100")&lt;&gt;"休み"),
            1,0),0)+1,4),0),"")</f>
        <v>0</v>
      </c>
      <c r="T22" s="21">
        <f t="array" aca="1" ref="T22" ca="1">IFERROR(IF(S22&lt;&gt;"",IF(S22&lt;&gt;0,INDEX(
INDIRECT("'シフト一覧（転載）'!"&amp;S22&amp;":AK100"),1,
MATCH(1,INDEX((LEN(INDIRECT("'シフト一覧（転載）'!"&amp;S22&amp;":AK100"))&gt;0)
*(INDIRECT("'シフト一覧（転載）'!"&amp;S22&amp;":AK100")&lt;&gt;"休み"),1,0),0)),0),""),$E$9&amp;"保育無し")</f>
        <v>0</v>
      </c>
      <c r="U22" s="21">
        <f t="array" aca="1" ref="U22" ca="1">IFERROR(IF(S22&lt;&gt;0,ADDRESS(ROW(INDIRECT(S22)),
    COLUMN(INDIRECT(S22)) - 1 +
    MATCH(1,INDEX((LEN(INDIRECT("'シフト一覧（転載）'!"&amp;S22&amp;":AK100"))&gt;0)
            *(INDIRECT("'シフト一覧（転載）'!"&amp;S22&amp;":AK100")&lt;&gt;"休み"),
            1,0),0)+1,4),0),"")</f>
        <v>0</v>
      </c>
      <c r="V22" s="21">
        <f t="array" aca="1" ref="V22" ca="1">IFERROR(IF(U22&lt;&gt;"",IF(U22&lt;&gt;0,INDEX(
INDIRECT("'シフト一覧（転載）'!"&amp;U22&amp;":AK100"),1,
MATCH(1,INDEX((LEN(INDIRECT("'シフト一覧（転載）'!"&amp;U22&amp;":AK100"))&gt;0)
*(INDIRECT("'シフト一覧（転載）'!"&amp;U22&amp;":AK100")&lt;&gt;"休み"),1,0),0)),0),""),$E$9&amp;"保育無し")</f>
        <v>0</v>
      </c>
      <c r="W22" s="21">
        <f t="array" aca="1" ref="W22" ca="1">IFERROR(IF(U22&lt;&gt;0,ADDRESS(ROW(INDIRECT(U22)),
    COLUMN(INDIRECT(U22)) - 1 +
    MATCH(1,INDEX((LEN(INDIRECT("'シフト一覧（転載）'!"&amp;U22&amp;":AK100"))&gt;0)
            *(INDIRECT("'シフト一覧（転載）'!"&amp;U22&amp;":AK100")&lt;&gt;"休み"),
            1,0),0)+1,4),0),"")</f>
        <v>0</v>
      </c>
      <c r="X22" s="21">
        <f t="array" aca="1" ref="X22" ca="1">IFERROR(IF(W22&lt;&gt;"",IF(W22&lt;&gt;0,INDEX(
INDIRECT("'シフト一覧（転載）'!"&amp;W22&amp;":AK100"),1,
MATCH(1,INDEX((LEN(INDIRECT("'シフト一覧（転載）'!"&amp;W22&amp;":AK100"))&gt;0)
*(INDIRECT("'シフト一覧（転載）'!"&amp;W22&amp;":AK100")&lt;&gt;"休み"),1,0),0)),0),""),$E$9&amp;"保育無し")</f>
        <v>0</v>
      </c>
      <c r="Y22" s="21">
        <f t="array" aca="1" ref="Y22" ca="1">IFERROR(IF(W22&lt;&gt;0,ADDRESS(ROW(INDIRECT(W22)),
    COLUMN(INDIRECT(W22)) - 1 +
    MATCH(1,INDEX((LEN(INDIRECT("'シフト一覧（転載）'!"&amp;W22&amp;":AK100"))&gt;0)
            *(INDIRECT("'シフト一覧（転載）'!"&amp;W22&amp;":AK100")&lt;&gt;"休み"),
            1,0),0)+1,4),0),"")</f>
        <v>0</v>
      </c>
      <c r="Z22" s="21">
        <f t="array" aca="1" ref="Z22" ca="1">IFERROR(IF(Y22&lt;&gt;"",IF(Y22&lt;&gt;0,INDEX(
INDIRECT("'シフト一覧（転載）'!"&amp;Y22&amp;":AK100"),1,
MATCH(1,INDEX((LEN(INDIRECT("'シフト一覧（転載）'!"&amp;Y22&amp;":AK100"))&gt;0)
*(INDIRECT("'シフト一覧（転載）'!"&amp;Y22&amp;":AK100")&lt;&gt;"休み"),1,0),0)),0),""),$E$9&amp;"保育無し")</f>
        <v>0</v>
      </c>
      <c r="AA22" s="21">
        <f t="array" aca="1" ref="AA22" ca="1">IFERROR(IF(Y22&lt;&gt;0,ADDRESS(ROW(INDIRECT(Y22)),
    COLUMN(INDIRECT(Y22)) - 1 +
    MATCH(1,INDEX((LEN(INDIRECT("'シフト一覧（転載）'!"&amp;Y22&amp;":AK100"))&gt;0)
            *(INDIRECT("'シフト一覧（転載）'!"&amp;Y22&amp;":AK100")&lt;&gt;"休み"),
            1,0),0)+1,4),0),"")</f>
        <v>0</v>
      </c>
      <c r="AB22" s="21">
        <f t="array" aca="1" ref="AB22" ca="1">IFERROR(IF(AA22&lt;&gt;"",IF(AA22&lt;&gt;0,INDEX(
INDIRECT("'シフト一覧（転載）'!"&amp;AA22&amp;":AK100"),1,
MATCH(1,INDEX((LEN(INDIRECT("'シフト一覧（転載）'!"&amp;AA22&amp;":AK100"))&gt;0)
*(INDIRECT("'シフト一覧（転載）'!"&amp;AA22&amp;":AK100")&lt;&gt;"休み"),1,0),0)),0),""),$E$9&amp;"保育無し")</f>
        <v>0</v>
      </c>
      <c r="AC22" s="21">
        <f t="array" aca="1" ref="AC22" ca="1">IFERROR(IF(AA22&lt;&gt;0,ADDRESS(ROW(INDIRECT(AA22)),
    COLUMN(INDIRECT(AA22)) - 1 +
    MATCH(1,INDEX((LEN(INDIRECT("'シフト一覧（転載）'!"&amp;AA22&amp;":AK100"))&gt;0)
            *(INDIRECT("'シフト一覧（転載）'!"&amp;AA22&amp;":AK100")&lt;&gt;"休み"),
            1,0),0)+1,4),0),"")</f>
        <v>0</v>
      </c>
      <c r="AD22" s="21">
        <f t="array" aca="1" ref="AD22" ca="1">IFERROR(IF(AC22&lt;&gt;"",IF(AC22&lt;&gt;0,INDEX(
INDIRECT("'シフト一覧（転載）'!"&amp;AC22&amp;":AK100"),1,
MATCH(1,INDEX((LEN(INDIRECT("'シフト一覧（転載）'!"&amp;AC22&amp;":AK100"))&gt;0)
*(INDIRECT("'シフト一覧（転載）'!"&amp;AC22&amp;":AK100")&lt;&gt;"休み"),1,0),0)),0),""),$E$9&amp;"保育無し")</f>
        <v>0</v>
      </c>
      <c r="AE22" s="21">
        <f t="array" aca="1" ref="AE22" ca="1">IFERROR(IF(AC22&lt;&gt;0,ADDRESS(ROW(INDIRECT(AC22)),
    COLUMN(INDIRECT(AC22)) - 1 +
    MATCH(1,INDEX((LEN(INDIRECT("'シフト一覧（転載）'!"&amp;AC22&amp;":AK100"))&gt;0)
            *(INDIRECT("'シフト一覧（転載）'!"&amp;AC22&amp;":AK100")&lt;&gt;"休み"),
            1,0),0)+1,4),0),"")</f>
        <v>0</v>
      </c>
      <c r="AF22" s="21">
        <f t="array" aca="1" ref="AF22" ca="1">IFERROR(IF(AE22&lt;&gt;"",IF(AE22&lt;&gt;0,INDEX(
INDIRECT("'シフト一覧（転載）'!"&amp;AE22&amp;":AK100"),1,
MATCH(1,INDEX((LEN(INDIRECT("'シフト一覧（転載）'!"&amp;AE22&amp;":AK100"))&gt;0)
*(INDIRECT("'シフト一覧（転載）'!"&amp;AE22&amp;":AK100")&lt;&gt;"休み"),1,0),0)),0),""),$E$9&amp;"保育無し")</f>
        <v>0</v>
      </c>
      <c r="AG22" s="21">
        <f t="array" aca="1" ref="AG22" ca="1">IFERROR(IF(AE22&lt;&gt;0,ADDRESS(ROW(INDIRECT(AE22)),
    COLUMN(INDIRECT(AE22)) - 1 +
    MATCH(1,INDEX((LEN(INDIRECT("'シフト一覧（転載）'!"&amp;AE22&amp;":AK100"))&gt;0)
            *(INDIRECT("'シフト一覧（転載）'!"&amp;AE22&amp;":AK100")&lt;&gt;"休み"),
            1,0),0)+1,4),0),"")</f>
        <v>0</v>
      </c>
      <c r="AH22" s="21">
        <f t="array" aca="1" ref="AH22" ca="1">IFERROR(IF(AG22&lt;&gt;"",IF(AG22&lt;&gt;0,INDEX(
INDIRECT("'シフト一覧（転載）'!"&amp;AG22&amp;":AK100"),1,
MATCH(1,INDEX((LEN(INDIRECT("'シフト一覧（転載）'!"&amp;AG22&amp;":AK100"))&gt;0)
*(INDIRECT("'シフト一覧（転載）'!"&amp;AG22&amp;":AK100")&lt;&gt;"休み"),1,0),0)),0),""),$E$9&amp;"保育無し")</f>
        <v>0</v>
      </c>
      <c r="AI22" s="21">
        <f t="array" aca="1" ref="AI22" ca="1">IFERROR(IF(AG22&lt;&gt;0,ADDRESS(ROW(INDIRECT(AG22)),
    COLUMN(INDIRECT(AG22)) - 1 +
    MATCH(1,INDEX((LEN(INDIRECT("'シフト一覧（転載）'!"&amp;AG22&amp;":AK100"))&gt;0)
            *(INDIRECT("'シフト一覧（転載）'!"&amp;AG22&amp;":AK100")&lt;&gt;"休み"),
            1,0),0)+1,4),0),"")</f>
        <v>0</v>
      </c>
      <c r="AJ22" s="21">
        <f t="array" aca="1" ref="AJ22" ca="1">IFERROR(IF(AI22&lt;&gt;"",IF(AI22&lt;&gt;0,INDEX(
INDIRECT("'シフト一覧（転載）'!"&amp;AI22&amp;":AK100"),1,
MATCH(1,INDEX((LEN(INDIRECT("'シフト一覧（転載）'!"&amp;AI22&amp;":AK100"))&gt;0)
*(INDIRECT("'シフト一覧（転載）'!"&amp;AI22&amp;":AK100")&lt;&gt;"休み"),1,0),0)),0),""),$E$9&amp;"保育無し")</f>
        <v>0</v>
      </c>
      <c r="AK22" s="21">
        <f t="array" aca="1" ref="AK22" ca="1">IFERROR(IF(AI22&lt;&gt;0,ADDRESS(ROW(INDIRECT(AI22)),
    COLUMN(INDIRECT(AI22)) - 1 +
    MATCH(1,INDEX((LEN(INDIRECT("'シフト一覧（転載）'!"&amp;AI22&amp;":AK100"))&gt;0)
            *(INDIRECT("'シフト一覧（転載）'!"&amp;AI22&amp;":AK100")&lt;&gt;"休み"),
            1,0),0)+1,4),0),"")</f>
        <v>0</v>
      </c>
      <c r="AL22" s="21">
        <f t="array" aca="1" ref="AL22" ca="1">IFERROR(IF(AK22&lt;&gt;"",IF(AK22&lt;&gt;0,INDEX(
INDIRECT("'シフト一覧（転載）'!"&amp;AK22&amp;":AK100"),1,
MATCH(1,INDEX((LEN(INDIRECT("'シフト一覧（転載）'!"&amp;AK22&amp;":AK100"))&gt;0)
*(INDIRECT("'シフト一覧（転載）'!"&amp;AK22&amp;":AK100")&lt;&gt;"休み"),1,0),0)),0),""),$E$9&amp;"保育無し")</f>
        <v>0</v>
      </c>
      <c r="AM22" s="21">
        <f t="array" aca="1" ref="AM22" ca="1">IFERROR(IF(AK22&lt;&gt;0,ADDRESS(ROW(INDIRECT(AK22)),
    COLUMN(INDIRECT(AK22)) - 1 +
    MATCH(1,INDEX((LEN(INDIRECT("'シフト一覧（転載）'!"&amp;AK22&amp;":AK100"))&gt;0)
            *(INDIRECT("'シフト一覧（転載）'!"&amp;AK22&amp;":AK100")&lt;&gt;"休み"),
            1,0),0)+1,4),0),"")</f>
        <v>0</v>
      </c>
      <c r="AN22" s="21">
        <f t="array" aca="1" ref="AN22" ca="1">IFERROR(IF(AM22&lt;&gt;"",IF(AM22&lt;&gt;0,INDEX(
INDIRECT("'シフト一覧（転載）'!"&amp;AM22&amp;":AK100"),1,
MATCH(1,INDEX((LEN(INDIRECT("'シフト一覧（転載）'!"&amp;AM22&amp;":AK100"))&gt;0)
*(INDIRECT("'シフト一覧（転載）'!"&amp;AM22&amp;":AK100")&lt;&gt;"休み"),1,0),0)),0),""),$E$9&amp;"保育無し")</f>
        <v>0</v>
      </c>
      <c r="AO22" s="21">
        <f t="array" aca="1" ref="AO22" ca="1">IFERROR(IF(AM22&lt;&gt;0,ADDRESS(ROW(INDIRECT(AM22)),
    COLUMN(INDIRECT(AM22)) - 1 +
    MATCH(1,INDEX((LEN(INDIRECT("'シフト一覧（転載）'!"&amp;AM22&amp;":AK100"))&gt;0)
            *(INDIRECT("'シフト一覧（転載）'!"&amp;AM22&amp;":AK100")&lt;&gt;"休み"),
            1,0),0)+1,4),0),"")</f>
        <v>0</v>
      </c>
      <c r="AP22" s="21">
        <f t="array" aca="1" ref="AP22" ca="1">IFERROR(IF(AO22&lt;&gt;"",IF(AO22&lt;&gt;0,INDEX(
INDIRECT("'シフト一覧（転載）'!"&amp;AO22&amp;":AK100"),1,
MATCH(1,INDEX((LEN(INDIRECT("'シフト一覧（転載）'!"&amp;AO22&amp;":AK100"))&gt;0)
*(INDIRECT("'シフト一覧（転載）'!"&amp;AO22&amp;":AK100")&lt;&gt;"休み"),1,0),0)),0),""),$E$9&amp;"保育無し")</f>
        <v>0</v>
      </c>
      <c r="AQ22" s="21">
        <f t="array" aca="1" ref="AQ22" ca="1">IFERROR(IF(AO22&lt;&gt;0,ADDRESS(ROW(INDIRECT(AO22)),
    COLUMN(INDIRECT(AO22)) - 1 +
    MATCH(1,INDEX((LEN(INDIRECT("'シフト一覧（転載）'!"&amp;AO22&amp;":AK100"))&gt;0)
            *(INDIRECT("'シフト一覧（転載）'!"&amp;AO22&amp;":AK100")&lt;&gt;"休み"),
            1,0),0)+1,4),0),"")</f>
        <v>0</v>
      </c>
      <c r="AR22" s="21">
        <f t="array" aca="1" ref="AR22" ca="1">IFERROR(IF(AQ22&lt;&gt;"",IF(AQ22&lt;&gt;0,INDEX(
INDIRECT("'シフト一覧（転載）'!"&amp;AQ22&amp;":AK100"),1,
MATCH(1,INDEX((LEN(INDIRECT("'シフト一覧（転載）'!"&amp;AQ22&amp;":AK100"))&gt;0)
*(INDIRECT("'シフト一覧（転載）'!"&amp;AQ22&amp;":AK100")&lt;&gt;"休み"),1,0),0)),0),""),$E$9&amp;"保育無し")</f>
        <v>0</v>
      </c>
      <c r="AS22" s="21">
        <f t="array" aca="1" ref="AS22" ca="1">IFERROR(IF(AQ22&lt;&gt;0,ADDRESS(ROW(INDIRECT(AQ22)),
    COLUMN(INDIRECT(AQ22)) - 1 +
    MATCH(1,INDEX((LEN(INDIRECT("'シフト一覧（転載）'!"&amp;AQ22&amp;":AK100"))&gt;0)
            *(INDIRECT("'シフト一覧（転載）'!"&amp;AQ22&amp;":AK100")&lt;&gt;"休み"),
            1,0),0)+1,4),0),"")</f>
        <v>0</v>
      </c>
      <c r="AT22" s="21">
        <f t="array" aca="1" ref="AT22" ca="1">IFERROR(IF(AS22&lt;&gt;"",IF(AS22&lt;&gt;0,INDEX(
INDIRECT("'シフト一覧（転載）'!"&amp;AS22&amp;":AK100"),1,
MATCH(1,INDEX((LEN(INDIRECT("'シフト一覧（転載）'!"&amp;AS22&amp;":AK100"))&gt;0)
*(INDIRECT("'シフト一覧（転載）'!"&amp;AS22&amp;":AK100")&lt;&gt;"休み"),1,0),0)),0),""),$E$9&amp;"保育無し")</f>
        <v>0</v>
      </c>
      <c r="AU22" s="21">
        <f t="array" aca="1" ref="AU22" ca="1">IFERROR(IF(AS22&lt;&gt;0,ADDRESS(ROW(INDIRECT(AS22)),
    COLUMN(INDIRECT(AS22)) - 1 +
    MATCH(1,INDEX((LEN(INDIRECT("'シフト一覧（転載）'!"&amp;AS22&amp;":AK100"))&gt;0)
            *(INDIRECT("'シフト一覧（転載）'!"&amp;AS22&amp;":AK100")&lt;&gt;"休み"),
            1,0),0)+1,4),0),"")</f>
        <v>0</v>
      </c>
      <c r="AV22" s="21">
        <f t="array" aca="1" ref="AV22" ca="1">IFERROR(IF(AU22&lt;&gt;"",IF(AU22&lt;&gt;0,INDEX(
INDIRECT("'シフト一覧（転載）'!"&amp;AU22&amp;":AK100"),1,
MATCH(1,INDEX((LEN(INDIRECT("'シフト一覧（転載）'!"&amp;AU22&amp;":AK100"))&gt;0)
*(INDIRECT("'シフト一覧（転載）'!"&amp;AU22&amp;":AK100")&lt;&gt;"休み"),1,0),0)),0),""),$E$9&amp;"保育無し")</f>
        <v>0</v>
      </c>
      <c r="AW22" s="21">
        <f t="array" aca="1" ref="AW22" ca="1">IFERROR(IF(AU22&lt;&gt;0,ADDRESS(ROW(INDIRECT(AU22)),
    COLUMN(INDIRECT(AU22)) - 1 +
    MATCH(1,INDEX((LEN(INDIRECT("'シフト一覧（転載）'!"&amp;AU22&amp;":AK100"))&gt;0)
            *(INDIRECT("'シフト一覧（転載）'!"&amp;AU22&amp;":AK100")&lt;&gt;"休み"),
            1,0),0)+1,4),0),"")</f>
        <v>0</v>
      </c>
      <c r="AX22" s="21">
        <f t="array" aca="1" ref="AX22" ca="1">IFERROR(IF(AW22&lt;&gt;"",IF(AW22&lt;&gt;0,INDEX(
INDIRECT("'シフト一覧（転載）'!"&amp;AW22&amp;":AK100"),1,
MATCH(1,INDEX((LEN(INDIRECT("'シフト一覧（転載）'!"&amp;AW22&amp;":AK100"))&gt;0)
*(INDIRECT("'シフト一覧（転載）'!"&amp;AW22&amp;":AK100")&lt;&gt;"休み"),1,0),0)),0),""),$E$9&amp;"保育無し")</f>
        <v>0</v>
      </c>
      <c r="AY22" s="21">
        <f t="array" aca="1" ref="AY22" ca="1">IFERROR(IF(AW22&lt;&gt;0,ADDRESS(ROW(INDIRECT(AW22)),
    COLUMN(INDIRECT(AW22)) - 1 +
    MATCH(1,INDEX((LEN(INDIRECT("'シフト一覧（転載）'!"&amp;AW22&amp;":AK100"))&gt;0)
            *(INDIRECT("'シフト一覧（転載）'!"&amp;AW22&amp;":AK100")&lt;&gt;"休み"),
            1,0),0)+1,4),0),"")</f>
        <v>0</v>
      </c>
      <c r="AZ22" s="21">
        <f t="array" aca="1" ref="AZ22" ca="1">IFERROR(IF(AY22&lt;&gt;"",IF(AY22&lt;&gt;0,INDEX(
INDIRECT("'シフト一覧（転載）'!"&amp;AY22&amp;":AK100"),1,
MATCH(1,INDEX((LEN(INDIRECT("'シフト一覧（転載）'!"&amp;AY22&amp;":AK100"))&gt;0)
*(INDIRECT("'シフト一覧（転載）'!"&amp;AY22&amp;":AK100")&lt;&gt;"休み"),1,0),0)),0),""),$E$9&amp;"保育無し")</f>
        <v>0</v>
      </c>
      <c r="BA22" s="21">
        <f t="array" aca="1" ref="BA22" ca="1">IFERROR(IF(AY22&lt;&gt;0,ADDRESS(ROW(INDIRECT(AY22)),
    COLUMN(INDIRECT(AY22)) - 1 +
    MATCH(1,INDEX((LEN(INDIRECT("'シフト一覧（転載）'!"&amp;AY22&amp;":AK100"))&gt;0)
            *(INDIRECT("'シフト一覧（転載）'!"&amp;AY22&amp;":AK100")&lt;&gt;"休み"),
            1,0),0)+1,4),0),"")</f>
        <v>0</v>
      </c>
      <c r="BB22" s="21">
        <f t="array" aca="1" ref="BB22" ca="1">IFERROR(IF(BA22&lt;&gt;"",IF(BA22&lt;&gt;0,INDEX(
INDIRECT("'シフト一覧（転載）'!"&amp;BA22&amp;":AK100"),1,
MATCH(1,INDEX((LEN(INDIRECT("'シフト一覧（転載）'!"&amp;BA22&amp;":AK100"))&gt;0)
*(INDIRECT("'シフト一覧（転載）'!"&amp;BA22&amp;":AK100")&lt;&gt;"休み"),1,0),0)),0),""),$E$9&amp;"保育無し")</f>
        <v>0</v>
      </c>
      <c r="BC22" s="21">
        <f t="array" aca="1" ref="BC22" ca="1">IFERROR(IF(BA22&lt;&gt;0,ADDRESS(ROW(INDIRECT(BA22)),
    COLUMN(INDIRECT(BA22)) - 1 +
    MATCH(1,INDEX((LEN(INDIRECT("'シフト一覧（転載）'!"&amp;BA22&amp;":AK100"))&gt;0)
            *(INDIRECT("'シフト一覧（転載）'!"&amp;BA22&amp;":AK100")&lt;&gt;"休み"),
            1,0),0)+1,4),0),"")</f>
        <v>0</v>
      </c>
      <c r="BD22" s="21">
        <f t="array" aca="1" ref="BD22" ca="1">IFERROR(IF(BC22&lt;&gt;"",IF(BC22&lt;&gt;0,INDEX(
INDIRECT("'シフト一覧（転載）'!"&amp;BC22&amp;":AK100"),1,
MATCH(1,INDEX((LEN(INDIRECT("'シフト一覧（転載）'!"&amp;BC22&amp;":AK100"))&gt;0)
*(INDIRECT("'シフト一覧（転載）'!"&amp;BC22&amp;":AK100")&lt;&gt;"休み"),1,0),0)),0),""),$E$9&amp;"保育無し")</f>
        <v>0</v>
      </c>
      <c r="BE22" s="21">
        <f t="array" aca="1" ref="BE22" ca="1">IFERROR(IF(BC22&lt;&gt;0,ADDRESS(ROW(INDIRECT(BC22)),
    COLUMN(INDIRECT(BC22)) - 1 +
    MATCH(1,INDEX((LEN(INDIRECT("'シフト一覧（転載）'!"&amp;BC22&amp;":AK100"))&gt;0)
            *(INDIRECT("'シフト一覧（転載）'!"&amp;BC22&amp;":AK100")&lt;&gt;"休み"),
            1,0),0)+1,4),0),"")</f>
        <v>0</v>
      </c>
      <c r="BF22" s="21">
        <f t="array" aca="1" ref="BF22" ca="1">IFERROR(IF(BE22&lt;&gt;"",IF(BE22&lt;&gt;0,INDEX(
INDIRECT("'シフト一覧（転載）'!"&amp;BE22&amp;":AK100"),1,
MATCH(1,INDEX((LEN(INDIRECT("'シフト一覧（転載）'!"&amp;BE22&amp;":AK100"))&gt;0)
*(INDIRECT("'シフト一覧（転載）'!"&amp;BE22&amp;":AK100")&lt;&gt;"休み"),1,0),0)),0),""),$E$9&amp;"保育無し")</f>
        <v>0</v>
      </c>
      <c r="BG22" s="21">
        <f t="array" aca="1" ref="BG22" ca="1">IFERROR(IF(BE22&lt;&gt;0,ADDRESS(ROW(INDIRECT(BE22)),
    COLUMN(INDIRECT(BE22)) - 1 +
    MATCH(1,INDEX((LEN(INDIRECT("'シフト一覧（転載）'!"&amp;BE22&amp;":AK100"))&gt;0)
            *(INDIRECT("'シフト一覧（転載）'!"&amp;BE22&amp;":AK100")&lt;&gt;"休み"),
            1,0),0)+1,4),0),"")</f>
        <v>0</v>
      </c>
      <c r="BH22" s="21">
        <f t="array" aca="1" ref="BH22" ca="1">IFERROR(IF(BG22&lt;&gt;"",IF(BG22&lt;&gt;0,INDEX(
INDIRECT("'シフト一覧（転載）'!"&amp;BG22&amp;":AK100"),1,
MATCH(1,INDEX((LEN(INDIRECT("'シフト一覧（転載）'!"&amp;BG22&amp;":AK100"))&gt;0)
*(INDIRECT("'シフト一覧（転載）'!"&amp;BG22&amp;":AK100")&lt;&gt;"休み"),1,0),0)),0),""),$E$9&amp;"保育無し")</f>
        <v>0</v>
      </c>
      <c r="BI22" s="21">
        <f t="array" aca="1" ref="BI22" ca="1">IFERROR(IF(BG22&lt;&gt;0,ADDRESS(ROW(INDIRECT(BG22)),
    COLUMN(INDIRECT(BG22)) - 1 +
    MATCH(1,INDEX((LEN(INDIRECT("'シフト一覧（転載）'!"&amp;BG22&amp;":AK100"))&gt;0)
            *(INDIRECT("'シフト一覧（転載）'!"&amp;BG22&amp;":AK100")&lt;&gt;"休み"),
            1,0),0)+1,4),0),"")</f>
        <v>0</v>
      </c>
      <c r="BJ22" s="21">
        <f t="array" aca="1" ref="BJ22" ca="1">IFERROR(IF(BI22&lt;&gt;"",IF(BI22&lt;&gt;0,INDEX(
INDIRECT("'シフト一覧（転載）'!"&amp;BI22&amp;":AK100"),1,
MATCH(1,INDEX((LEN(INDIRECT("'シフト一覧（転載）'!"&amp;BI22&amp;":AK100"))&gt;0)
*(INDIRECT("'シフト一覧（転載）'!"&amp;BI22&amp;":AK100")&lt;&gt;"休み"),1,0),0)),0),""),$E$9&amp;"保育無し")</f>
        <v>0</v>
      </c>
      <c r="BK22" s="21">
        <f t="array" aca="1" ref="BK22" ca="1">IFERROR(IF(BI22&lt;&gt;0,ADDRESS(ROW(INDIRECT(BI22)),
    COLUMN(INDIRECT(BI22)) - 1 +
    MATCH(1,INDEX((LEN(INDIRECT("'シフト一覧（転載）'!"&amp;BI22&amp;":AK100"))&gt;0)
            *(INDIRECT("'シフト一覧（転載）'!"&amp;BI22&amp;":AK100")&lt;&gt;"休み"),
            1,0),0)+1,4),0),"")</f>
        <v>0</v>
      </c>
      <c r="BL22" s="21">
        <f t="array" aca="1" ref="BL22" ca="1">IFERROR(IF(BK22&lt;&gt;"",IF(BK22&lt;&gt;0,INDEX(
INDIRECT("'シフト一覧（転載）'!"&amp;BK22&amp;":AK100"),1,
MATCH(1,INDEX((LEN(INDIRECT("'シフト一覧（転載）'!"&amp;BK22&amp;":AK100"))&gt;0)
*(INDIRECT("'シフト一覧（転載）'!"&amp;BK22&amp;":AK100")&lt;&gt;"休み"),1,0),0)),0),""),$E$9&amp;"保育無し")</f>
        <v>0</v>
      </c>
      <c r="BM22" s="21">
        <f t="array" aca="1" ref="BM22" ca="1">IFERROR(IF(BK22&lt;&gt;0,ADDRESS(ROW(INDIRECT(BK22)),
    COLUMN(INDIRECT(BK22)) - 1 +
    MATCH(1,INDEX((LEN(INDIRECT("'シフト一覧（転載）'!"&amp;BK22&amp;":AK100"))&gt;0)
            *(INDIRECT("'シフト一覧（転載）'!"&amp;BK22&amp;":AK100")&lt;&gt;"休み"),
            1,0),0)+1,4),0),"")</f>
        <v>0</v>
      </c>
      <c r="BN22" s="21">
        <f t="array" aca="1" ref="BN22" ca="1">IFERROR(IF(BM22&lt;&gt;"",IF(BM22&lt;&gt;0,INDEX(
INDIRECT("'シフト一覧（転載）'!"&amp;BM22&amp;":AK100"),1,
MATCH(1,INDEX((LEN(INDIRECT("'シフト一覧（転載）'!"&amp;BM22&amp;":AK100"))&gt;0)
*(INDIRECT("'シフト一覧（転載）'!"&amp;BM22&amp;":AK100")&lt;&gt;"休み"),1,0),0)),0),""),$E$9&amp;"保育無し")</f>
        <v>0</v>
      </c>
      <c r="BO22" s="21">
        <f t="array" aca="1" ref="BO22" ca="1">IFERROR(IF(BM22&lt;&gt;0,ADDRESS(ROW(INDIRECT(BM22)),
    COLUMN(INDIRECT(BM22)) - 1 +
    MATCH(1,INDEX((LEN(INDIRECT("'シフト一覧（転載）'!"&amp;BM22&amp;":AK100"))&gt;0)
            *(INDIRECT("'シフト一覧（転載）'!"&amp;BM22&amp;":AK100")&lt;&gt;"休み"),
            1,0),0)+1,4),0),"")</f>
        <v>0</v>
      </c>
      <c r="BP22" s="21">
        <f t="array" aca="1" ref="BP22" ca="1">IFERROR(IF(BO22&lt;&gt;"",IF(BO22&lt;&gt;0,INDEX(
INDIRECT("'シフト一覧（転載）'!"&amp;BO22&amp;":AK100"),1,
MATCH(1,INDEX((LEN(INDIRECT("'シフト一覧（転載）'!"&amp;BO22&amp;":AK100"))&gt;0)
*(INDIRECT("'シフト一覧（転載）'!"&amp;BO22&amp;":AK100")&lt;&gt;"休み"),1,0),0)),0),""),$E$9&amp;"保育無し")</f>
        <v>0</v>
      </c>
      <c r="BQ22" s="21">
        <f t="array" aca="1" ref="BQ22" ca="1">IFERROR(IF(BO22&lt;&gt;0,ADDRESS(ROW(INDIRECT(BO22)),
    COLUMN(INDIRECT(BO22)) - 1 +
    MATCH(1,INDEX((LEN(INDIRECT("'シフト一覧（転載）'!"&amp;BO22&amp;":AK100"))&gt;0)
            *(INDIRECT("'シフト一覧（転載）'!"&amp;BO22&amp;":AK100")&lt;&gt;"休み"),
            1,0),0)+1,4),0),"")</f>
        <v>0</v>
      </c>
      <c r="BR22" s="21">
        <f t="array" aca="1" ref="BR22" ca="1">IFERROR(IF(BQ22&lt;&gt;"",IF(BQ22&lt;&gt;0,INDEX(
INDIRECT("'シフト一覧（転載）'!"&amp;BQ22&amp;":AK100"),1,
MATCH(1,INDEX((LEN(INDIRECT("'シフト一覧（転載）'!"&amp;BQ22&amp;":AK100"))&gt;0)
*(INDIRECT("'シフト一覧（転載）'!"&amp;BQ22&amp;":AK100")&lt;&gt;"休み"),1,0),0)),0),""),$E$9&amp;"保育無し")</f>
        <v>0</v>
      </c>
      <c r="BS22" s="21">
        <f t="array" aca="1" ref="BS22" ca="1">IFERROR(IF(BQ22&lt;&gt;0,ADDRESS(ROW(INDIRECT(BQ22)),
    COLUMN(INDIRECT(BQ22)) - 1 +
    MATCH(1,INDEX((LEN(INDIRECT("'シフト一覧（転載）'!"&amp;BQ22&amp;":AK100"))&gt;0)
            *(INDIRECT("'シフト一覧（転載）'!"&amp;BQ22&amp;":AK100")&lt;&gt;"休み"),
            1,0),0)+1,4),0),"")</f>
        <v>0</v>
      </c>
      <c r="BT22" s="21">
        <f t="array" aca="1" ref="BT22" ca="1">IFERROR(IF(BS22&lt;&gt;"",IF(BS22&lt;&gt;0,INDEX(
INDIRECT("'シフト一覧（転載）'!"&amp;BS22&amp;":AK100"),1,
MATCH(1,INDEX((LEN(INDIRECT("'シフト一覧（転載）'!"&amp;BS22&amp;":AK100"))&gt;0)
*(INDIRECT("'シフト一覧（転載）'!"&amp;BS22&amp;":AK100")&lt;&gt;"休み"),1,0),0)),0),""),$E$9&amp;"保育無し")</f>
        <v>0</v>
      </c>
      <c r="BU22" s="21">
        <f t="array" aca="1" ref="BU22" ca="1">IFERROR(IF(BS22&lt;&gt;0,ADDRESS(ROW(INDIRECT(BS22)),
    COLUMN(INDIRECT(BS22)) - 1 +
    MATCH(1,INDEX((LEN(INDIRECT("'シフト一覧（転載）'!"&amp;BS22&amp;":AK100"))&gt;0)
            *(INDIRECT("'シフト一覧（転載）'!"&amp;BS22&amp;":AK100")&lt;&gt;"休み"),
            1,0),0)+1,4),0),"")</f>
        <v>0</v>
      </c>
      <c r="BV22" s="21">
        <f t="array" aca="1" ref="BV22" ca="1">IFERROR(IF(BU22&lt;&gt;"",IF(BU22&lt;&gt;0,INDEX(
INDIRECT("'シフト一覧（転載）'!"&amp;BU22&amp;":AK100"),1,
MATCH(1,INDEX((LEN(INDIRECT("'シフト一覧（転載）'!"&amp;BU22&amp;":AK100"))&gt;0)
*(INDIRECT("'シフト一覧（転載）'!"&amp;BU22&amp;":AK100")&lt;&gt;"休み"),1,0),0)),0),""),$E$9&amp;"保育無し")</f>
        <v>0</v>
      </c>
      <c r="BW22" s="21">
        <f t="array" aca="1" ref="BW22" ca="1">IFERROR(IF(BU22&lt;&gt;0,ADDRESS(ROW(INDIRECT(BU22)),
    COLUMN(INDIRECT(BU22)) - 1 +
    MATCH(1,INDEX((LEN(INDIRECT("'シフト一覧（転載）'!"&amp;BU22&amp;":AK100"))&gt;0)
            *(INDIRECT("'シフト一覧（転載）'!"&amp;BU22&amp;":AK100")&lt;&gt;"休み"),
            1,0),0)+1,4),0),"")</f>
        <v>0</v>
      </c>
      <c r="BX22" s="21">
        <f t="array" aca="1" ref="BX22" ca="1">IFERROR(IF(BW22&lt;&gt;"",IF(BW22&lt;&gt;0,INDEX(
INDIRECT("'シフト一覧（転載）'!"&amp;BW22&amp;":AK100"),1,
MATCH(1,INDEX((LEN(INDIRECT("'シフト一覧（転載）'!"&amp;BW22&amp;":AK100"))&gt;0)
*(INDIRECT("'シフト一覧（転載）'!"&amp;BW22&amp;":AK100")&lt;&gt;"休み"),1,0),0)),0),""),$E$9&amp;"保育無し")</f>
        <v>0</v>
      </c>
      <c r="BY22" s="21">
        <f t="array" aca="1" ref="BY22" ca="1">IFERROR(IF(BW22&lt;&gt;0,ADDRESS(ROW(INDIRECT(BW22)),
    COLUMN(INDIRECT(BW22)) - 1 +
    MATCH(1,INDEX((LEN(INDIRECT("'シフト一覧（転載）'!"&amp;BW22&amp;":AK100"))&gt;0)
            *(INDIRECT("'シフト一覧（転載）'!"&amp;BW22&amp;":AK100")&lt;&gt;"休み"),
            1,0),0)+1,4),0),"")</f>
        <v>0</v>
      </c>
    </row>
    <row r="23" spans="1:77" ht="19.2" customHeight="1" x14ac:dyDescent="0.2">
      <c r="A23" s="46">
        <f t="shared" si="4"/>
        <v>0</v>
      </c>
      <c r="B23" s="64">
        <f t="array" aca="1" ref="B23" ca="1">IFERROR(IF(INDIRECT("'Page_" &amp; A23 &amp; "'!Q3")&lt;&gt;"",INDIRECT("'Page_" &amp; A23 &amp; "'!Q3"),INDIRECT("'Page_" &amp; A23 &amp; "'!P3")),0)</f>
        <v>0</v>
      </c>
      <c r="C23" s="42">
        <f t="shared" ca="1" si="0"/>
        <v>0</v>
      </c>
      <c r="D23" s="31">
        <f t="shared" ca="1" si="1"/>
        <v>0</v>
      </c>
      <c r="E23" s="28">
        <f t="shared" ca="1" si="2"/>
        <v>0</v>
      </c>
      <c r="F23" s="69" t="str">
        <f t="array" aca="1" ref="F23" ca="1">IFERROR(INDEX('シフト一覧（転載）'!$C$8:$C$100,
MATCH(1, (ISNUMBER(SEARCH(I23,'シフト一覧（転載）'!$A$8:$A$100)))
*(ISNUMBER(SEARCH($E$9,'シフト一覧（転載）'!$B$8:$B$100))), 0)),"")</f>
        <v/>
      </c>
      <c r="G23" s="60">
        <f t="shared" ca="1" si="3"/>
        <v>0</v>
      </c>
      <c r="H23" s="28">
        <f t="array" aca="1" ref="H23" ca="1">IFERROR(SUM(INDIRECT("'Page_" &amp; A23 &amp; "'!K"&amp;MATCH("有休",INDIRECT("'Page_" &amp; A23 &amp; "'!K:K"),0)+2&amp;"")
+INDIRECT("'Page_" &amp; A23 &amp; "'!L"&amp;MATCH("特休",INDIRECT("'Page_" &amp; A23 &amp; "'!L:L"),0)+2&amp;""))*24,0)</f>
        <v>0</v>
      </c>
      <c r="I23" s="51">
        <f t="array" aca="1" ref="I23" ca="1">IFERROR(_xlfn.TEXTJOIN("", TRUE, IF(ISERR(MID(INDIRECT("'Page_" &amp; A23 &amp; "'!C2"), ROW(INDIRECT("1:" &amp; LEN(INDIRECT("'Page_" &amp; A23 &amp; "'!C2")))), 1)*1), MID(INDIRECT("'Page_" &amp; A23 &amp; "'!C2"), ROW(INDIRECT("1:" &amp; LEN(INDIRECT("'Page_" &amp; A23 &amp; "'!C2")))), 1), "")),0)</f>
        <v>0</v>
      </c>
      <c r="J23" s="52">
        <f t="array" aca="1" ref="J23" ca="1">IFERROR(IF(INDIRECT("'Page_" &amp; A23 &amp; "'!E2")&lt;&gt;"",INDIRECT("'Page_" &amp; A23 &amp; "'!E2"),INDIRECT("'Page_" &amp; A23 &amp; "'!D2")),0)</f>
        <v>0</v>
      </c>
      <c r="K23" s="65"/>
      <c r="M23" s="93"/>
      <c r="N23" s="91"/>
      <c r="O23" s="95"/>
      <c r="P23" s="22">
        <f t="array" aca="1" ref="P23" ca="1">IFERROR(IF(M22&lt;&gt;"",INDEX('シフト一覧（転載）'!$F$8:$AK$100,
    MATCH(1,(ISNUMBER(SEARCH(M22,'シフト一覧（転載）'!$A$8:$A$100)))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MATCH(1,(ISNUMBER(SEARCH(M22,'シフト一覧（転載）'!$A$8:$A$100)))
                *(ISNUMBER(SEARCH($E$9,'シフト一覧（転載）'!$B$8:$B$100))),
                0),0),0)),0),"")</f>
        <v>0</v>
      </c>
      <c r="Q23" s="22">
        <f ca="1">IF(P22=0,0,
IF(OR(P22="",COUNTIF(P22,"*保育無し*")),"",
IF(MOD(P23-P22,1)*24&gt;=8,1,
IF(MOD(P23-P22,1)*24&gt;=6,0.75,0))))</f>
        <v>0</v>
      </c>
      <c r="R23" s="22">
        <f t="array" aca="1" ref="R23" ca="1">IFERROR(IF(Q22&lt;&gt;0,INDEX(
INDIRECT("'シフト一覧（転載）'!"&amp;Q22&amp;":AK100"),1+1,
MATCH(1,INDEX((LEN(INDIRECT("'シフト一覧（転載）'!"&amp;Q22&amp;":AK100"))&gt;0)
*(INDIRECT("'シフト一覧（転載）'!"&amp;Q22&amp;":AK100")&lt;&gt;"休み"),1,0),0)),0),"")</f>
        <v>0</v>
      </c>
      <c r="S23" s="22">
        <f ca="1">IF(R22=0,0,
IF(OR(R22="",COUNTIF(R22,"*保育無し*")),"",
IF(MOD(R23-R22,1)*24&gt;=8,1,
IF(MOD(R23-R22,1)*24&gt;=6,0.75,0))))</f>
        <v>0</v>
      </c>
      <c r="T23" s="22">
        <f t="array" aca="1" ref="T23" ca="1">IFERROR(IF(S22&lt;&gt;0,INDEX(
INDIRECT("'シフト一覧（転載）'!"&amp;S22&amp;":AK100"),1+1,
MATCH(1,INDEX((LEN(INDIRECT("'シフト一覧（転載）'!"&amp;S22&amp;":AK100"))&gt;0)
*(INDIRECT("'シフト一覧（転載）'!"&amp;S22&amp;":AK100")&lt;&gt;"休み"),1,0),0)),0),"")</f>
        <v>0</v>
      </c>
      <c r="U23" s="22">
        <f ca="1">IF(T22=0,0,
IF(OR(T22="",COUNTIF(T22,"*保育無し*")),"",
IF(MOD(T23-T22,1)*24&gt;=8,1,
IF(MOD(T23-T22,1)*24&gt;=6,0.75,0))))</f>
        <v>0</v>
      </c>
      <c r="V23" s="22">
        <f t="array" aca="1" ref="V23" ca="1">IFERROR(IF(U22&lt;&gt;0,INDEX(
INDIRECT("'シフト一覧（転載）'!"&amp;U22&amp;":AK100"),1+1,
MATCH(1,INDEX((LEN(INDIRECT("'シフト一覧（転載）'!"&amp;U22&amp;":AK100"))&gt;0)
*(INDIRECT("'シフト一覧（転載）'!"&amp;U22&amp;":AK100")&lt;&gt;"休み"),1,0),0)),0),"")</f>
        <v>0</v>
      </c>
      <c r="W23" s="22">
        <f ca="1">IF(V22=0,0,
IF(OR(V22="",COUNTIF(V22,"*保育無し*")),"",
IF(MOD(V23-V22,1)*24&gt;=8,1,
IF(MOD(V23-V22,1)*24&gt;=6,0.75,0))))</f>
        <v>0</v>
      </c>
      <c r="X23" s="22">
        <f t="array" aca="1" ref="X23" ca="1">IFERROR(IF(W22&lt;&gt;0,INDEX(
INDIRECT("'シフト一覧（転載）'!"&amp;W22&amp;":AK100"),1+1,
MATCH(1,INDEX((LEN(INDIRECT("'シフト一覧（転載）'!"&amp;W22&amp;":AK100"))&gt;0)
*(INDIRECT("'シフト一覧（転載）'!"&amp;W22&amp;":AK100")&lt;&gt;"休み"),1,0),0)),0),"")</f>
        <v>0</v>
      </c>
      <c r="Y23" s="22">
        <f ca="1">IF(X22=0,0,
IF(OR(X22="",COUNTIF(X22,"*保育無し*")),"",
IF(MOD(X23-X22,1)*24&gt;=8,1,
IF(MOD(X23-X22,1)*24&gt;=6,0.75,0))))</f>
        <v>0</v>
      </c>
      <c r="Z23" s="22">
        <f t="array" aca="1" ref="Z23" ca="1">IFERROR(IF(Y22&lt;&gt;0,INDEX(
INDIRECT("'シフト一覧（転載）'!"&amp;Y22&amp;":AK100"),1+1,
MATCH(1,INDEX((LEN(INDIRECT("'シフト一覧（転載）'!"&amp;Y22&amp;":AK100"))&gt;0)
*(INDIRECT("'シフト一覧（転載）'!"&amp;Y22&amp;":AK100")&lt;&gt;"休み"),1,0),0)),0),"")</f>
        <v>0</v>
      </c>
      <c r="AA23" s="22">
        <f ca="1">IF(Z22=0,0,
IF(OR(Z22="",COUNTIF(Z22,"*保育無し*")),"",
IF(MOD(Z23-Z22,1)*24&gt;=8,1,
IF(MOD(Z23-Z22,1)*24&gt;=6,0.75,0))))</f>
        <v>0</v>
      </c>
      <c r="AB23" s="22">
        <f t="array" aca="1" ref="AB23" ca="1">IFERROR(IF(AA22&lt;&gt;0,INDEX(
INDIRECT("'シフト一覧（転載）'!"&amp;AA22&amp;":AK100"),1+1,
MATCH(1,INDEX((LEN(INDIRECT("'シフト一覧（転載）'!"&amp;AA22&amp;":AK100"))&gt;0)
*(INDIRECT("'シフト一覧（転載）'!"&amp;AA22&amp;":AK100")&lt;&gt;"休み"),1,0),0)),0),"")</f>
        <v>0</v>
      </c>
      <c r="AC23" s="22">
        <f ca="1">IF(AB22=0,0,
IF(OR(AB22="",COUNTIF(AB22,"*保育無し*")),"",
IF(MOD(AB23-AB22,1)*24&gt;=8,1,
IF(MOD(AB23-AB22,1)*24&gt;=6,0.75,0))))</f>
        <v>0</v>
      </c>
      <c r="AD23" s="22">
        <f t="array" aca="1" ref="AD23" ca="1">IFERROR(IF(AC22&lt;&gt;0,INDEX(
INDIRECT("'シフト一覧（転載）'!"&amp;AC22&amp;":AK100"),1+1,
MATCH(1,INDEX((LEN(INDIRECT("'シフト一覧（転載）'!"&amp;AC22&amp;":AK100"))&gt;0)
*(INDIRECT("'シフト一覧（転載）'!"&amp;AC22&amp;":AK100")&lt;&gt;"休み"),1,0),0)),0),"")</f>
        <v>0</v>
      </c>
      <c r="AE23" s="22">
        <f ca="1">IF(AD22=0,0,
IF(OR(AD22="",COUNTIF(AD22,"*保育無し*")),"",
IF(MOD(AD23-AD22,1)*24&gt;=8,1,
IF(MOD(AD23-AD22,1)*24&gt;=6,0.75,0))))</f>
        <v>0</v>
      </c>
      <c r="AF23" s="22">
        <f t="array" aca="1" ref="AF23" ca="1">IFERROR(IF(AE22&lt;&gt;0,INDEX(
INDIRECT("'シフト一覧（転載）'!"&amp;AE22&amp;":AK100"),1+1,
MATCH(1,INDEX((LEN(INDIRECT("'シフト一覧（転載）'!"&amp;AE22&amp;":AK100"))&gt;0)
*(INDIRECT("'シフト一覧（転載）'!"&amp;AE22&amp;":AK100")&lt;&gt;"休み"),1,0),0)),0),"")</f>
        <v>0</v>
      </c>
      <c r="AG23" s="22">
        <f ca="1">IF(AF22=0,0,
IF(OR(AF22="",COUNTIF(AF22,"*保育無し*")),"",
IF(MOD(AF23-AF22,1)*24&gt;=8,1,
IF(MOD(AF23-AF22,1)*24&gt;=6,0.75,0))))</f>
        <v>0</v>
      </c>
      <c r="AH23" s="22">
        <f t="array" aca="1" ref="AH23" ca="1">IFERROR(IF(AG22&lt;&gt;0,INDEX(
INDIRECT("'シフト一覧（転載）'!"&amp;AG22&amp;":AK100"),1+1,
MATCH(1,INDEX((LEN(INDIRECT("'シフト一覧（転載）'!"&amp;AG22&amp;":AK100"))&gt;0)
*(INDIRECT("'シフト一覧（転載）'!"&amp;AG22&amp;":AK100")&lt;&gt;"休み"),1,0),0)),0),"")</f>
        <v>0</v>
      </c>
      <c r="AI23" s="22">
        <f ca="1">IF(AH22=0,0,
IF(OR(AH22="",COUNTIF(AH22,"*保育無し*")),"",
IF(MOD(AH23-AH22,1)*24&gt;=8,1,
IF(MOD(AH23-AH22,1)*24&gt;=6,0.75,0))))</f>
        <v>0</v>
      </c>
      <c r="AJ23" s="22">
        <f t="array" aca="1" ref="AJ23" ca="1">IFERROR(IF(AI22&lt;&gt;0,INDEX(
INDIRECT("'シフト一覧（転載）'!"&amp;AI22&amp;":AK100"),1+1,
MATCH(1,INDEX((LEN(INDIRECT("'シフト一覧（転載）'!"&amp;AI22&amp;":AK100"))&gt;0)
*(INDIRECT("'シフト一覧（転載）'!"&amp;AI22&amp;":AK100")&lt;&gt;"休み"),1,0),0)),0),"")</f>
        <v>0</v>
      </c>
      <c r="AK23" s="22">
        <f ca="1">IF(AJ22=0,0,
IF(OR(AJ22="",COUNTIF(AJ22,"*保育無し*")),"",
IF(MOD(AJ23-AJ22,1)*24&gt;=8,1,
IF(MOD(AJ23-AJ22,1)*24&gt;=6,0.75,0))))</f>
        <v>0</v>
      </c>
      <c r="AL23" s="22">
        <f t="array" aca="1" ref="AL23" ca="1">IFERROR(IF(AK22&lt;&gt;0,INDEX(
INDIRECT("'シフト一覧（転載）'!"&amp;AK22&amp;":AK100"),1+1,
MATCH(1,INDEX((LEN(INDIRECT("'シフト一覧（転載）'!"&amp;AK22&amp;":AK100"))&gt;0)
*(INDIRECT("'シフト一覧（転載）'!"&amp;AK22&amp;":AK100")&lt;&gt;"休み"),1,0),0)),0),"")</f>
        <v>0</v>
      </c>
      <c r="AM23" s="22">
        <f ca="1">IF(AL22=0,0,
IF(OR(AL22="",COUNTIF(AL22,"*保育無し*")),"",
IF(MOD(AL23-AL22,1)*24&gt;=8,1,
IF(MOD(AL23-AL22,1)*24&gt;=6,0.75,0))))</f>
        <v>0</v>
      </c>
      <c r="AN23" s="22">
        <f t="array" aca="1" ref="AN23" ca="1">IFERROR(IF(AM22&lt;&gt;0,INDEX(
INDIRECT("'シフト一覧（転載）'!"&amp;AM22&amp;":AK100"),1+1,
MATCH(1,INDEX((LEN(INDIRECT("'シフト一覧（転載）'!"&amp;AM22&amp;":AK100"))&gt;0)
*(INDIRECT("'シフト一覧（転載）'!"&amp;AM22&amp;":AK100")&lt;&gt;"休み"),1,0),0)),0),"")</f>
        <v>0</v>
      </c>
      <c r="AO23" s="22">
        <f ca="1">IF(AN22=0,0,
IF(OR(AN22="",COUNTIF(AN22,"*保育無し*")),"",
IF(MOD(AN23-AN22,1)*24&gt;=8,1,
IF(MOD(AN23-AN22,1)*24&gt;=6,0.75,0))))</f>
        <v>0</v>
      </c>
      <c r="AP23" s="22">
        <f t="array" aca="1" ref="AP23" ca="1">IFERROR(IF(AO22&lt;&gt;0,INDEX(
INDIRECT("'シフト一覧（転載）'!"&amp;AO22&amp;":AK100"),1+1,
MATCH(1,INDEX((LEN(INDIRECT("'シフト一覧（転載）'!"&amp;AO22&amp;":AK100"))&gt;0)
*(INDIRECT("'シフト一覧（転載）'!"&amp;AO22&amp;":AK100")&lt;&gt;"休み"),1,0),0)),0),"")</f>
        <v>0</v>
      </c>
      <c r="AQ23" s="22">
        <f ca="1">IF(AP22=0,0,
IF(OR(AP22="",COUNTIF(AP22,"*保育無し*")),"",
IF(MOD(AP23-AP22,1)*24&gt;=8,1,
IF(MOD(AP23-AP22,1)*24&gt;=6,0.75,0))))</f>
        <v>0</v>
      </c>
      <c r="AR23" s="22">
        <f t="array" aca="1" ref="AR23" ca="1">IFERROR(IF(AQ22&lt;&gt;0,INDEX(
INDIRECT("'シフト一覧（転載）'!"&amp;AQ22&amp;":AK100"),1+1,
MATCH(1,INDEX((LEN(INDIRECT("'シフト一覧（転載）'!"&amp;AQ22&amp;":AK100"))&gt;0)
*(INDIRECT("'シフト一覧（転載）'!"&amp;AQ22&amp;":AK100")&lt;&gt;"休み"),1,0),0)),0),"")</f>
        <v>0</v>
      </c>
      <c r="AS23" s="22">
        <f ca="1">IF(AR22=0,0,
IF(OR(AR22="",COUNTIF(AR22,"*保育無し*")),"",
IF(MOD(AR23-AR22,1)*24&gt;=8,1,
IF(MOD(AR23-AR22,1)*24&gt;=6,0.75,0))))</f>
        <v>0</v>
      </c>
      <c r="AT23" s="22">
        <f t="array" aca="1" ref="AT23" ca="1">IFERROR(IF(AS22&lt;&gt;0,INDEX(
INDIRECT("'シフト一覧（転載）'!"&amp;AS22&amp;":AK100"),1+1,
MATCH(1,INDEX((LEN(INDIRECT("'シフト一覧（転載）'!"&amp;AS22&amp;":AK100"))&gt;0)
*(INDIRECT("'シフト一覧（転載）'!"&amp;AS22&amp;":AK100")&lt;&gt;"休み"),1,0),0)),0),"")</f>
        <v>0</v>
      </c>
      <c r="AU23" s="22">
        <f ca="1">IF(AT22=0,0,
IF(OR(AT22="",COUNTIF(AT22,"*保育無し*")),"",
IF(MOD(AT23-AT22,1)*24&gt;=8,1,
IF(MOD(AT23-AT22,1)*24&gt;=6,0.75,0))))</f>
        <v>0</v>
      </c>
      <c r="AV23" s="22">
        <f t="array" aca="1" ref="AV23" ca="1">IFERROR(IF(AU22&lt;&gt;0,INDEX(
INDIRECT("'シフト一覧（転載）'!"&amp;AU22&amp;":AK100"),1+1,
MATCH(1,INDEX((LEN(INDIRECT("'シフト一覧（転載）'!"&amp;AU22&amp;":AK100"))&gt;0)
*(INDIRECT("'シフト一覧（転載）'!"&amp;AU22&amp;":AK100")&lt;&gt;"休み"),1,0),0)),0),"")</f>
        <v>0</v>
      </c>
      <c r="AW23" s="22">
        <f ca="1">IF(AV22=0,0,
IF(OR(AV22="",COUNTIF(AV22,"*保育無し*")),"",
IF(MOD(AV23-AV22,1)*24&gt;=8,1,
IF(MOD(AV23-AV22,1)*24&gt;=6,0.75,0))))</f>
        <v>0</v>
      </c>
      <c r="AX23" s="22">
        <f t="array" aca="1" ref="AX23" ca="1">IFERROR(IF(AW22&lt;&gt;0,INDEX(
INDIRECT("'シフト一覧（転載）'!"&amp;AW22&amp;":AK100"),1+1,
MATCH(1,INDEX((LEN(INDIRECT("'シフト一覧（転載）'!"&amp;AW22&amp;":AK100"))&gt;0)
*(INDIRECT("'シフト一覧（転載）'!"&amp;AW22&amp;":AK100")&lt;&gt;"休み"),1,0),0)),0),"")</f>
        <v>0</v>
      </c>
      <c r="AY23" s="22">
        <f ca="1">IF(AX22=0,0,
IF(OR(AX22="",COUNTIF(AX22,"*保育無し*")),"",
IF(MOD(AX23-AX22,1)*24&gt;=8,1,
IF(MOD(AX23-AX22,1)*24&gt;=6,0.75,0))))</f>
        <v>0</v>
      </c>
      <c r="AZ23" s="22">
        <f t="array" aca="1" ref="AZ23" ca="1">IFERROR(IF(AY22&lt;&gt;0,INDEX(
INDIRECT("'シフト一覧（転載）'!"&amp;AY22&amp;":AK100"),1+1,
MATCH(1,INDEX((LEN(INDIRECT("'シフト一覧（転載）'!"&amp;AY22&amp;":AK100"))&gt;0)
*(INDIRECT("'シフト一覧（転載）'!"&amp;AY22&amp;":AK100")&lt;&gt;"休み"),1,0),0)),0),"")</f>
        <v>0</v>
      </c>
      <c r="BA23" s="22">
        <f ca="1">IF(AZ22=0,0,
IF(OR(AZ22="",COUNTIF(AZ22,"*保育無し*")),"",
IF(MOD(AZ23-AZ22,1)*24&gt;=8,1,
IF(MOD(AZ23-AZ22,1)*24&gt;=6,0.75,0))))</f>
        <v>0</v>
      </c>
      <c r="BB23" s="22">
        <f t="array" aca="1" ref="BB23" ca="1">IFERROR(IF(BA22&lt;&gt;0,INDEX(
INDIRECT("'シフト一覧（転載）'!"&amp;BA22&amp;":AK100"),1+1,
MATCH(1,INDEX((LEN(INDIRECT("'シフト一覧（転載）'!"&amp;BA22&amp;":AK100"))&gt;0)
*(INDIRECT("'シフト一覧（転載）'!"&amp;BA22&amp;":AK100")&lt;&gt;"休み"),1,0),0)),0),"")</f>
        <v>0</v>
      </c>
      <c r="BC23" s="22">
        <f ca="1">IF(BB22=0,0,
IF(OR(BB22="",COUNTIF(BB22,"*保育無し*")),"",
IF(MOD(BB23-BB22,1)*24&gt;=8,1,
IF(MOD(BB23-BB22,1)*24&gt;=6,0.75,0))))</f>
        <v>0</v>
      </c>
      <c r="BD23" s="22">
        <f t="array" aca="1" ref="BD23" ca="1">IFERROR(IF(BC22&lt;&gt;0,INDEX(
INDIRECT("'シフト一覧（転載）'!"&amp;BC22&amp;":AK100"),1+1,
MATCH(1,INDEX((LEN(INDIRECT("'シフト一覧（転載）'!"&amp;BC22&amp;":AK100"))&gt;0)
*(INDIRECT("'シフト一覧（転載）'!"&amp;BC22&amp;":AK100")&lt;&gt;"休み"),1,0),0)),0),"")</f>
        <v>0</v>
      </c>
      <c r="BE23" s="22">
        <f ca="1">IF(BD22=0,0,
IF(OR(BD22="",COUNTIF(BD22,"*保育無し*")),"",
IF(MOD(BD23-BD22,1)*24&gt;=8,1,
IF(MOD(BD23-BD22,1)*24&gt;=6,0.75,0))))</f>
        <v>0</v>
      </c>
      <c r="BF23" s="22">
        <f t="array" aca="1" ref="BF23" ca="1">IFERROR(IF(BE22&lt;&gt;0,INDEX(
INDIRECT("'シフト一覧（転載）'!"&amp;BE22&amp;":AK100"),1+1,
MATCH(1,INDEX((LEN(INDIRECT("'シフト一覧（転載）'!"&amp;BE22&amp;":AK100"))&gt;0)
*(INDIRECT("'シフト一覧（転載）'!"&amp;BE22&amp;":AK100")&lt;&gt;"休み"),1,0),0)),0),"")</f>
        <v>0</v>
      </c>
      <c r="BG23" s="22">
        <f ca="1">IF(BF22=0,0,
IF(OR(BF22="",COUNTIF(BF22,"*保育無し*")),"",
IF(MOD(BF23-BF22,1)*24&gt;=8,1,
IF(MOD(BF23-BF22,1)*24&gt;=6,0.75,0))))</f>
        <v>0</v>
      </c>
      <c r="BH23" s="22">
        <f t="array" aca="1" ref="BH23" ca="1">IFERROR(IF(BG22&lt;&gt;0,INDEX(
INDIRECT("'シフト一覧（転載）'!"&amp;BG22&amp;":AK100"),1+1,
MATCH(1,INDEX((LEN(INDIRECT("'シフト一覧（転載）'!"&amp;BG22&amp;":AK100"))&gt;0)
*(INDIRECT("'シフト一覧（転載）'!"&amp;BG22&amp;":AK100")&lt;&gt;"休み"),1,0),0)),0),"")</f>
        <v>0</v>
      </c>
      <c r="BI23" s="22">
        <f ca="1">IF(BH22=0,0,
IF(OR(BH22="",COUNTIF(BH22,"*保育無し*")),"",
IF(MOD(BH23-BH22,1)*24&gt;=8,1,
IF(MOD(BH23-BH22,1)*24&gt;=6,0.75,0))))</f>
        <v>0</v>
      </c>
      <c r="BJ23" s="22">
        <f t="array" aca="1" ref="BJ23" ca="1">IFERROR(IF(BI22&lt;&gt;0,INDEX(
INDIRECT("'シフト一覧（転載）'!"&amp;BI22&amp;":AK100"),1+1,
MATCH(1,INDEX((LEN(INDIRECT("'シフト一覧（転載）'!"&amp;BI22&amp;":AK100"))&gt;0)
*(INDIRECT("'シフト一覧（転載）'!"&amp;BI22&amp;":AK100")&lt;&gt;"休み"),1,0),0)),0),"")</f>
        <v>0</v>
      </c>
      <c r="BK23" s="22">
        <f ca="1">IF(BJ22=0,0,
IF(OR(BJ22="",COUNTIF(BJ22,"*保育無し*")),"",
IF(MOD(BJ23-BJ22,1)*24&gt;=8,1,
IF(MOD(BJ23-BJ22,1)*24&gt;=6,0.75,0))))</f>
        <v>0</v>
      </c>
      <c r="BL23" s="22">
        <f t="array" aca="1" ref="BL23" ca="1">IFERROR(IF(BK22&lt;&gt;0,INDEX(
INDIRECT("'シフト一覧（転載）'!"&amp;BK22&amp;":AK100"),1+1,
MATCH(1,INDEX((LEN(INDIRECT("'シフト一覧（転載）'!"&amp;BK22&amp;":AK100"))&gt;0)
*(INDIRECT("'シフト一覧（転載）'!"&amp;BK22&amp;":AK100")&lt;&gt;"休み"),1,0),0)),0),"")</f>
        <v>0</v>
      </c>
      <c r="BM23" s="22">
        <f ca="1">IF(BL22=0,0,
IF(OR(BL22="",COUNTIF(BL22,"*保育無し*")),"",
IF(MOD(BL23-BL22,1)*24&gt;=8,1,
IF(MOD(BL23-BL22,1)*24&gt;=6,0.75,0))))</f>
        <v>0</v>
      </c>
      <c r="BN23" s="22">
        <f t="array" aca="1" ref="BN23" ca="1">IFERROR(IF(BM22&lt;&gt;0,INDEX(
INDIRECT("'シフト一覧（転載）'!"&amp;BM22&amp;":AK100"),1+1,
MATCH(1,INDEX((LEN(INDIRECT("'シフト一覧（転載）'!"&amp;BM22&amp;":AK100"))&gt;0)
*(INDIRECT("'シフト一覧（転載）'!"&amp;BM22&amp;":AK100")&lt;&gt;"休み"),1,0),0)),0),"")</f>
        <v>0</v>
      </c>
      <c r="BO23" s="22">
        <f ca="1">IF(BN22=0,0,
IF(OR(BN22="",COUNTIF(BN22,"*保育無し*")),"",
IF(MOD(BN23-BN22,1)*24&gt;=8,1,
IF(MOD(BN23-BN22,1)*24&gt;=6,0.75,0))))</f>
        <v>0</v>
      </c>
      <c r="BP23" s="22">
        <f t="array" aca="1" ref="BP23" ca="1">IFERROR(IF(BO22&lt;&gt;0,INDEX(
INDIRECT("'シフト一覧（転載）'!"&amp;BO22&amp;":AK100"),1+1,
MATCH(1,INDEX((LEN(INDIRECT("'シフト一覧（転載）'!"&amp;BO22&amp;":AK100"))&gt;0)
*(INDIRECT("'シフト一覧（転載）'!"&amp;BO22&amp;":AK100")&lt;&gt;"休み"),1,0),0)),0),"")</f>
        <v>0</v>
      </c>
      <c r="BQ23" s="22">
        <f ca="1">IF(BP22=0,0,
IF(OR(BP22="",COUNTIF(BP22,"*保育無し*")),"",
IF(MOD(BP23-BP22,1)*24&gt;=8,1,
IF(MOD(BP23-BP22,1)*24&gt;=6,0.75,0))))</f>
        <v>0</v>
      </c>
      <c r="BR23" s="22">
        <f t="array" aca="1" ref="BR23" ca="1">IFERROR(IF(BQ22&lt;&gt;0,INDEX(
INDIRECT("'シフト一覧（転載）'!"&amp;BQ22&amp;":AK100"),1+1,
MATCH(1,INDEX((LEN(INDIRECT("'シフト一覧（転載）'!"&amp;BQ22&amp;":AK100"))&gt;0)
*(INDIRECT("'シフト一覧（転載）'!"&amp;BQ22&amp;":AK100")&lt;&gt;"休み"),1,0),0)),0),"")</f>
        <v>0</v>
      </c>
      <c r="BS23" s="22">
        <f ca="1">IF(BR22=0,0,
IF(OR(BR22="",COUNTIF(BR22,"*保育無し*")),"",
IF(MOD(BR23-BR22,1)*24&gt;=8,1,
IF(MOD(BR23-BR22,1)*24&gt;=6,0.75,0))))</f>
        <v>0</v>
      </c>
      <c r="BT23" s="22">
        <f t="array" aca="1" ref="BT23" ca="1">IFERROR(IF(BS22&lt;&gt;0,INDEX(
INDIRECT("'シフト一覧（転載）'!"&amp;BS22&amp;":AK100"),1+1,
MATCH(1,INDEX((LEN(INDIRECT("'シフト一覧（転載）'!"&amp;BS22&amp;":AK100"))&gt;0)
*(INDIRECT("'シフト一覧（転載）'!"&amp;BS22&amp;":AK100")&lt;&gt;"休み"),1,0),0)),0),"")</f>
        <v>0</v>
      </c>
      <c r="BU23" s="22">
        <f ca="1">IF(BT22=0,0,
IF(OR(BT22="",COUNTIF(BT22,"*保育無し*")),"",
IF(MOD(BT23-BT22,1)*24&gt;=8,1,
IF(MOD(BT23-BT22,1)*24&gt;=6,0.75,0))))</f>
        <v>0</v>
      </c>
      <c r="BV23" s="22">
        <f t="array" aca="1" ref="BV23" ca="1">IFERROR(IF(BU22&lt;&gt;0,INDEX(
INDIRECT("'シフト一覧（転載）'!"&amp;BU22&amp;":AK100"),1+1,
MATCH(1,INDEX((LEN(INDIRECT("'シフト一覧（転載）'!"&amp;BU22&amp;":AK100"))&gt;0)
*(INDIRECT("'シフト一覧（転載）'!"&amp;BU22&amp;":AK100")&lt;&gt;"休み"),1,0),0)),0),"")</f>
        <v>0</v>
      </c>
      <c r="BW23" s="22">
        <f ca="1">IF(BV22=0,0,
IF(OR(BV22="",COUNTIF(BV22,"*保育無し*")),"",
IF(MOD(BV23-BV22,1)*24&gt;=8,1,
IF(MOD(BV23-BV22,1)*24&gt;=6,0.75,0))))</f>
        <v>0</v>
      </c>
      <c r="BX23" s="22">
        <f t="array" aca="1" ref="BX23" ca="1">IFERROR(IF(BW22&lt;&gt;0,INDEX(
INDIRECT("'シフト一覧（転載）'!"&amp;BW22&amp;":AK100"),1+1,
MATCH(1,INDEX((LEN(INDIRECT("'シフト一覧（転載）'!"&amp;BW22&amp;":AK100"))&gt;0)
*(INDIRECT("'シフト一覧（転載）'!"&amp;BW22&amp;":AK100")&lt;&gt;"休み"),1,0),0)),0),"")</f>
        <v>0</v>
      </c>
      <c r="BY23" s="22">
        <f ca="1">IF(BX22=0,0,
IF(OR(BX22="",COUNTIF(BX22,"*保育無し*")),"",
IF(MOD(BX23-BX22,1)*24&gt;=8,1,
IF(MOD(BX23-BX22,1)*24&gt;=6,0.75,0))))</f>
        <v>0</v>
      </c>
    </row>
    <row r="24" spans="1:77" ht="19.2" customHeight="1" x14ac:dyDescent="0.2">
      <c r="A24" s="46">
        <f t="shared" si="4"/>
        <v>0</v>
      </c>
      <c r="B24" s="64">
        <f t="array" aca="1" ref="B24" ca="1">IFERROR(IF(INDIRECT("'Page_" &amp; A24 &amp; "'!Q3")&lt;&gt;"",INDIRECT("'Page_" &amp; A24 &amp; "'!Q3"),INDIRECT("'Page_" &amp; A24 &amp; "'!P3")),0)</f>
        <v>0</v>
      </c>
      <c r="C24" s="42">
        <f t="shared" ca="1" si="0"/>
        <v>0</v>
      </c>
      <c r="D24" s="31">
        <f t="shared" ca="1" si="1"/>
        <v>0</v>
      </c>
      <c r="E24" s="28">
        <f t="shared" ca="1" si="2"/>
        <v>0</v>
      </c>
      <c r="F24" s="69" t="str">
        <f t="array" aca="1" ref="F24" ca="1">IFERROR(INDEX('シフト一覧（転載）'!$C$8:$C$100,
MATCH(1, (ISNUMBER(SEARCH(I24,'シフト一覧（転載）'!$A$8:$A$100)))
*(ISNUMBER(SEARCH($E$9,'シフト一覧（転載）'!$B$8:$B$100))), 0)),"")</f>
        <v/>
      </c>
      <c r="G24" s="60">
        <f t="shared" ca="1" si="3"/>
        <v>0</v>
      </c>
      <c r="H24" s="28">
        <f t="array" aca="1" ref="H24" ca="1">IFERROR(SUM(INDIRECT("'Page_" &amp; A24 &amp; "'!K"&amp;MATCH("有休",INDIRECT("'Page_" &amp; A24 &amp; "'!K:K"),0)+2&amp;"")
+INDIRECT("'Page_" &amp; A24 &amp; "'!L"&amp;MATCH("特休",INDIRECT("'Page_" &amp; A24 &amp; "'!L:L"),0)+2&amp;""))*24,0)</f>
        <v>0</v>
      </c>
      <c r="I24" s="51">
        <f t="array" aca="1" ref="I24" ca="1">IFERROR(_xlfn.TEXTJOIN("", TRUE, IF(ISERR(MID(INDIRECT("'Page_" &amp; A24 &amp; "'!C2"), ROW(INDIRECT("1:" &amp; LEN(INDIRECT("'Page_" &amp; A24 &amp; "'!C2")))), 1)*1), MID(INDIRECT("'Page_" &amp; A24 &amp; "'!C2"), ROW(INDIRECT("1:" &amp; LEN(INDIRECT("'Page_" &amp; A24 &amp; "'!C2")))), 1), "")),0)</f>
        <v>0</v>
      </c>
      <c r="J24" s="52">
        <f t="array" aca="1" ref="J24" ca="1">IFERROR(IF(INDIRECT("'Page_" &amp; A24 &amp; "'!E2")&lt;&gt;"",INDIRECT("'Page_" &amp; A24 &amp; "'!E2"),INDIRECT("'Page_" &amp; A24 &amp; "'!D2")),0)</f>
        <v>0</v>
      </c>
      <c r="K24" s="65"/>
      <c r="M24" s="92" t="str">
        <f t="array" aca="1" ref="M24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4" s="90" t="str">
        <f ca="1">IF(M24&lt;&gt;"",VLOOKUP(M24,$I$12:$J$27,2,FALSE),"")</f>
        <v/>
      </c>
      <c r="O24" s="94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21">
        <f t="array" aca="1" ref="P24" ca="1">IFERROR(IF(M24&lt;&gt;"",INDEX('シフト一覧（転載）'!$F$8:$AK$100,
    MATCH(1,(ISNUMBER(SEARCH(M24,'シフト一覧（転載）'!$A$8:$A$100)))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MATCH(1,(ISNUMBER(SEARCH(M24,'シフト一覧（転載）'!$A$8:$A$100)))
                *(ISNUMBER(SEARCH($E$9,'シフト一覧（転載）'!$B$8:$B$100))),
                0),0),0)),0),$E$9&amp;"保育無し")</f>
        <v>0</v>
      </c>
      <c r="Q24" s="21">
        <f t="array" aca="1" ref="Q24" ca="1">IFERROR(IF(COUNTIF(P24,"*無*"),"",IF(M24&lt;&gt;"",ADDRESS(
    MATCH(1,(ISNUMBER(SEARCH(M24,'シフト一覧（転載）'!$A$8:$A$100)))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MATCH(1,(ISNUMBER(SEARCH(M24,'シフト一覧（転載）'!$A$8:$A$100)))
                *(ISNUMBER(SEARCH($E$9,'シフト一覧（転載）'!$B$8:$B$100))),0),0),0) + 6,4),0)),0)</f>
        <v>0</v>
      </c>
      <c r="R24" s="21">
        <f t="array" aca="1" ref="R24" ca="1">IFERROR(IF(Q24&lt;&gt;"",IF(Q24&lt;&gt;0,INDEX(
INDIRECT("'シフト一覧（転載）'!"&amp;Q24&amp;":AK100"),1,
MATCH(1,INDEX((LEN(INDIRECT("'シフト一覧（転載）'!"&amp;Q24&amp;":AK100"))&gt;0)
*(INDIRECT("'シフト一覧（転載）'!"&amp;Q24&amp;":AK100")&lt;&gt;"休み"),1,0),0)),0),""),$E$9&amp;"保育無し")</f>
        <v>0</v>
      </c>
      <c r="S24" s="21">
        <f t="array" aca="1" ref="S24" ca="1">IFERROR(IF(Q24&lt;&gt;0,ADDRESS(ROW(INDIRECT(Q24)),
    COLUMN(INDIRECT(Q24)) - 1 +
    MATCH(1,INDEX((LEN(INDIRECT("'シフト一覧（転載）'!"&amp;Q24&amp;":AK100"))&gt;0)
            *(INDIRECT("'シフト一覧（転載）'!"&amp;Q24&amp;":AK100")&lt;&gt;"休み"),
            1,0),0)+1,4),0),"")</f>
        <v>0</v>
      </c>
      <c r="T24" s="21">
        <f t="array" aca="1" ref="T24" ca="1">IFERROR(IF(S24&lt;&gt;"",IF(S24&lt;&gt;0,INDEX(
INDIRECT("'シフト一覧（転載）'!"&amp;S24&amp;":AK100"),1,
MATCH(1,INDEX((LEN(INDIRECT("'シフト一覧（転載）'!"&amp;S24&amp;":AK100"))&gt;0)
*(INDIRECT("'シフト一覧（転載）'!"&amp;S24&amp;":AK100")&lt;&gt;"休み"),1,0),0)),0),""),$E$9&amp;"保育無し")</f>
        <v>0</v>
      </c>
      <c r="U24" s="21">
        <f t="array" aca="1" ref="U24" ca="1">IFERROR(IF(S24&lt;&gt;0,ADDRESS(ROW(INDIRECT(S24)),
    COLUMN(INDIRECT(S24)) - 1 +
    MATCH(1,INDEX((LEN(INDIRECT("'シフト一覧（転載）'!"&amp;S24&amp;":AK100"))&gt;0)
            *(INDIRECT("'シフト一覧（転載）'!"&amp;S24&amp;":AK100")&lt;&gt;"休み"),
            1,0),0)+1,4),0),"")</f>
        <v>0</v>
      </c>
      <c r="V24" s="21">
        <f t="array" aca="1" ref="V24" ca="1">IFERROR(IF(U24&lt;&gt;"",IF(U24&lt;&gt;0,INDEX(
INDIRECT("'シフト一覧（転載）'!"&amp;U24&amp;":AK100"),1,
MATCH(1,INDEX((LEN(INDIRECT("'シフト一覧（転載）'!"&amp;U24&amp;":AK100"))&gt;0)
*(INDIRECT("'シフト一覧（転載）'!"&amp;U24&amp;":AK100")&lt;&gt;"休み"),1,0),0)),0),""),$E$9&amp;"保育無し")</f>
        <v>0</v>
      </c>
      <c r="W24" s="21">
        <f t="array" aca="1" ref="W24" ca="1">IFERROR(IF(U24&lt;&gt;0,ADDRESS(ROW(INDIRECT(U24)),
    COLUMN(INDIRECT(U24)) - 1 +
    MATCH(1,INDEX((LEN(INDIRECT("'シフト一覧（転載）'!"&amp;U24&amp;":AK100"))&gt;0)
            *(INDIRECT("'シフト一覧（転載）'!"&amp;U24&amp;":AK100")&lt;&gt;"休み"),
            1,0),0)+1,4),0),"")</f>
        <v>0</v>
      </c>
      <c r="X24" s="21">
        <f t="array" aca="1" ref="X24" ca="1">IFERROR(IF(W24&lt;&gt;"",IF(W24&lt;&gt;0,INDEX(
INDIRECT("'シフト一覧（転載）'!"&amp;W24&amp;":AK100"),1,
MATCH(1,INDEX((LEN(INDIRECT("'シフト一覧（転載）'!"&amp;W24&amp;":AK100"))&gt;0)
*(INDIRECT("'シフト一覧（転載）'!"&amp;W24&amp;":AK100")&lt;&gt;"休み"),1,0),0)),0),""),$E$9&amp;"保育無し")</f>
        <v>0</v>
      </c>
      <c r="Y24" s="21">
        <f t="array" aca="1" ref="Y24" ca="1">IFERROR(IF(W24&lt;&gt;0,ADDRESS(ROW(INDIRECT(W24)),
    COLUMN(INDIRECT(W24)) - 1 +
    MATCH(1,INDEX((LEN(INDIRECT("'シフト一覧（転載）'!"&amp;W24&amp;":AK100"))&gt;0)
            *(INDIRECT("'シフト一覧（転載）'!"&amp;W24&amp;":AK100")&lt;&gt;"休み"),
            1,0),0)+1,4),0),"")</f>
        <v>0</v>
      </c>
      <c r="Z24" s="21">
        <f t="array" aca="1" ref="Z24" ca="1">IFERROR(IF(Y24&lt;&gt;"",IF(Y24&lt;&gt;0,INDEX(
INDIRECT("'シフト一覧（転載）'!"&amp;Y24&amp;":AK100"),1,
MATCH(1,INDEX((LEN(INDIRECT("'シフト一覧（転載）'!"&amp;Y24&amp;":AK100"))&gt;0)
*(INDIRECT("'シフト一覧（転載）'!"&amp;Y24&amp;":AK100")&lt;&gt;"休み"),1,0),0)),0),""),$E$9&amp;"保育無し")</f>
        <v>0</v>
      </c>
      <c r="AA24" s="21">
        <f t="array" aca="1" ref="AA24" ca="1">IFERROR(IF(Y24&lt;&gt;0,ADDRESS(ROW(INDIRECT(Y24)),
    COLUMN(INDIRECT(Y24)) - 1 +
    MATCH(1,INDEX((LEN(INDIRECT("'シフト一覧（転載）'!"&amp;Y24&amp;":AK100"))&gt;0)
            *(INDIRECT("'シフト一覧（転載）'!"&amp;Y24&amp;":AK100")&lt;&gt;"休み"),
            1,0),0)+1,4),0),"")</f>
        <v>0</v>
      </c>
      <c r="AB24" s="21">
        <f t="array" aca="1" ref="AB24" ca="1">IFERROR(IF(AA24&lt;&gt;"",IF(AA24&lt;&gt;0,INDEX(
INDIRECT("'シフト一覧（転載）'!"&amp;AA24&amp;":AK100"),1,
MATCH(1,INDEX((LEN(INDIRECT("'シフト一覧（転載）'!"&amp;AA24&amp;":AK100"))&gt;0)
*(INDIRECT("'シフト一覧（転載）'!"&amp;AA24&amp;":AK100")&lt;&gt;"休み"),1,0),0)),0),""),$E$9&amp;"保育無し")</f>
        <v>0</v>
      </c>
      <c r="AC24" s="21">
        <f t="array" aca="1" ref="AC24" ca="1">IFERROR(IF(AA24&lt;&gt;0,ADDRESS(ROW(INDIRECT(AA24)),
    COLUMN(INDIRECT(AA24)) - 1 +
    MATCH(1,INDEX((LEN(INDIRECT("'シフト一覧（転載）'!"&amp;AA24&amp;":AK100"))&gt;0)
            *(INDIRECT("'シフト一覧（転載）'!"&amp;AA24&amp;":AK100")&lt;&gt;"休み"),
            1,0),0)+1,4),0),"")</f>
        <v>0</v>
      </c>
      <c r="AD24" s="21">
        <f t="array" aca="1" ref="AD24" ca="1">IFERROR(IF(AC24&lt;&gt;"",IF(AC24&lt;&gt;0,INDEX(
INDIRECT("'シフト一覧（転載）'!"&amp;AC24&amp;":AK100"),1,
MATCH(1,INDEX((LEN(INDIRECT("'シフト一覧（転載）'!"&amp;AC24&amp;":AK100"))&gt;0)
*(INDIRECT("'シフト一覧（転載）'!"&amp;AC24&amp;":AK100")&lt;&gt;"休み"),1,0),0)),0),""),$E$9&amp;"保育無し")</f>
        <v>0</v>
      </c>
      <c r="AE24" s="21">
        <f t="array" aca="1" ref="AE24" ca="1">IFERROR(IF(AC24&lt;&gt;0,ADDRESS(ROW(INDIRECT(AC24)),
    COLUMN(INDIRECT(AC24)) - 1 +
    MATCH(1,INDEX((LEN(INDIRECT("'シフト一覧（転載）'!"&amp;AC24&amp;":AK100"))&gt;0)
            *(INDIRECT("'シフト一覧（転載）'!"&amp;AC24&amp;":AK100")&lt;&gt;"休み"),
            1,0),0)+1,4),0),"")</f>
        <v>0</v>
      </c>
      <c r="AF24" s="21">
        <f t="array" aca="1" ref="AF24" ca="1">IFERROR(IF(AE24&lt;&gt;"",IF(AE24&lt;&gt;0,INDEX(
INDIRECT("'シフト一覧（転載）'!"&amp;AE24&amp;":AK100"),1,
MATCH(1,INDEX((LEN(INDIRECT("'シフト一覧（転載）'!"&amp;AE24&amp;":AK100"))&gt;0)
*(INDIRECT("'シフト一覧（転載）'!"&amp;AE24&amp;":AK100")&lt;&gt;"休み"),1,0),0)),0),""),$E$9&amp;"保育無し")</f>
        <v>0</v>
      </c>
      <c r="AG24" s="21">
        <f t="array" aca="1" ref="AG24" ca="1">IFERROR(IF(AE24&lt;&gt;0,ADDRESS(ROW(INDIRECT(AE24)),
    COLUMN(INDIRECT(AE24)) - 1 +
    MATCH(1,INDEX((LEN(INDIRECT("'シフト一覧（転載）'!"&amp;AE24&amp;":AK100"))&gt;0)
            *(INDIRECT("'シフト一覧（転載）'!"&amp;AE24&amp;":AK100")&lt;&gt;"休み"),
            1,0),0)+1,4),0),"")</f>
        <v>0</v>
      </c>
      <c r="AH24" s="21">
        <f t="array" aca="1" ref="AH24" ca="1">IFERROR(IF(AG24&lt;&gt;"",IF(AG24&lt;&gt;0,INDEX(
INDIRECT("'シフト一覧（転載）'!"&amp;AG24&amp;":AK100"),1,
MATCH(1,INDEX((LEN(INDIRECT("'シフト一覧（転載）'!"&amp;AG24&amp;":AK100"))&gt;0)
*(INDIRECT("'シフト一覧（転載）'!"&amp;AG24&amp;":AK100")&lt;&gt;"休み"),1,0),0)),0),""),$E$9&amp;"保育無し")</f>
        <v>0</v>
      </c>
      <c r="AI24" s="21">
        <f t="array" aca="1" ref="AI24" ca="1">IFERROR(IF(AG24&lt;&gt;0,ADDRESS(ROW(INDIRECT(AG24)),
    COLUMN(INDIRECT(AG24)) - 1 +
    MATCH(1,INDEX((LEN(INDIRECT("'シフト一覧（転載）'!"&amp;AG24&amp;":AK100"))&gt;0)
            *(INDIRECT("'シフト一覧（転載）'!"&amp;AG24&amp;":AK100")&lt;&gt;"休み"),
            1,0),0)+1,4),0),"")</f>
        <v>0</v>
      </c>
      <c r="AJ24" s="21">
        <f t="array" aca="1" ref="AJ24" ca="1">IFERROR(IF(AI24&lt;&gt;"",IF(AI24&lt;&gt;0,INDEX(
INDIRECT("'シフト一覧（転載）'!"&amp;AI24&amp;":AK100"),1,
MATCH(1,INDEX((LEN(INDIRECT("'シフト一覧（転載）'!"&amp;AI24&amp;":AK100"))&gt;0)
*(INDIRECT("'シフト一覧（転載）'!"&amp;AI24&amp;":AK100")&lt;&gt;"休み"),1,0),0)),0),""),$E$9&amp;"保育無し")</f>
        <v>0</v>
      </c>
      <c r="AK24" s="21">
        <f t="array" aca="1" ref="AK24" ca="1">IFERROR(IF(AI24&lt;&gt;0,ADDRESS(ROW(INDIRECT(AI24)),
    COLUMN(INDIRECT(AI24)) - 1 +
    MATCH(1,INDEX((LEN(INDIRECT("'シフト一覧（転載）'!"&amp;AI24&amp;":AK100"))&gt;0)
            *(INDIRECT("'シフト一覧（転載）'!"&amp;AI24&amp;":AK100")&lt;&gt;"休み"),
            1,0),0)+1,4),0),"")</f>
        <v>0</v>
      </c>
      <c r="AL24" s="21">
        <f t="array" aca="1" ref="AL24" ca="1">IFERROR(IF(AK24&lt;&gt;"",IF(AK24&lt;&gt;0,INDEX(
INDIRECT("'シフト一覧（転載）'!"&amp;AK24&amp;":AK100"),1,
MATCH(1,INDEX((LEN(INDIRECT("'シフト一覧（転載）'!"&amp;AK24&amp;":AK100"))&gt;0)
*(INDIRECT("'シフト一覧（転載）'!"&amp;AK24&amp;":AK100")&lt;&gt;"休み"),1,0),0)),0),""),$E$9&amp;"保育無し")</f>
        <v>0</v>
      </c>
      <c r="AM24" s="21">
        <f t="array" aca="1" ref="AM24" ca="1">IFERROR(IF(AK24&lt;&gt;0,ADDRESS(ROW(INDIRECT(AK24)),
    COLUMN(INDIRECT(AK24)) - 1 +
    MATCH(1,INDEX((LEN(INDIRECT("'シフト一覧（転載）'!"&amp;AK24&amp;":AK100"))&gt;0)
            *(INDIRECT("'シフト一覧（転載）'!"&amp;AK24&amp;":AK100")&lt;&gt;"休み"),
            1,0),0)+1,4),0),"")</f>
        <v>0</v>
      </c>
      <c r="AN24" s="21">
        <f t="array" aca="1" ref="AN24" ca="1">IFERROR(IF(AM24&lt;&gt;"",IF(AM24&lt;&gt;0,INDEX(
INDIRECT("'シフト一覧（転載）'!"&amp;AM24&amp;":AK100"),1,
MATCH(1,INDEX((LEN(INDIRECT("'シフト一覧（転載）'!"&amp;AM24&amp;":AK100"))&gt;0)
*(INDIRECT("'シフト一覧（転載）'!"&amp;AM24&amp;":AK100")&lt;&gt;"休み"),1,0),0)),0),""),$E$9&amp;"保育無し")</f>
        <v>0</v>
      </c>
      <c r="AO24" s="21">
        <f t="array" aca="1" ref="AO24" ca="1">IFERROR(IF(AM24&lt;&gt;0,ADDRESS(ROW(INDIRECT(AM24)),
    COLUMN(INDIRECT(AM24)) - 1 +
    MATCH(1,INDEX((LEN(INDIRECT("'シフト一覧（転載）'!"&amp;AM24&amp;":AK100"))&gt;0)
            *(INDIRECT("'シフト一覧（転載）'!"&amp;AM24&amp;":AK100")&lt;&gt;"休み"),
            1,0),0)+1,4),0),"")</f>
        <v>0</v>
      </c>
      <c r="AP24" s="21">
        <f t="array" aca="1" ref="AP24" ca="1">IFERROR(IF(AO24&lt;&gt;"",IF(AO24&lt;&gt;0,INDEX(
INDIRECT("'シフト一覧（転載）'!"&amp;AO24&amp;":AK100"),1,
MATCH(1,INDEX((LEN(INDIRECT("'シフト一覧（転載）'!"&amp;AO24&amp;":AK100"))&gt;0)
*(INDIRECT("'シフト一覧（転載）'!"&amp;AO24&amp;":AK100")&lt;&gt;"休み"),1,0),0)),0),""),$E$9&amp;"保育無し")</f>
        <v>0</v>
      </c>
      <c r="AQ24" s="21">
        <f t="array" aca="1" ref="AQ24" ca="1">IFERROR(IF(AO24&lt;&gt;0,ADDRESS(ROW(INDIRECT(AO24)),
    COLUMN(INDIRECT(AO24)) - 1 +
    MATCH(1,INDEX((LEN(INDIRECT("'シフト一覧（転載）'!"&amp;AO24&amp;":AK100"))&gt;0)
            *(INDIRECT("'シフト一覧（転載）'!"&amp;AO24&amp;":AK100")&lt;&gt;"休み"),
            1,0),0)+1,4),0),"")</f>
        <v>0</v>
      </c>
      <c r="AR24" s="21">
        <f t="array" aca="1" ref="AR24" ca="1">IFERROR(IF(AQ24&lt;&gt;"",IF(AQ24&lt;&gt;0,INDEX(
INDIRECT("'シフト一覧（転載）'!"&amp;AQ24&amp;":AK100"),1,
MATCH(1,INDEX((LEN(INDIRECT("'シフト一覧（転載）'!"&amp;AQ24&amp;":AK100"))&gt;0)
*(INDIRECT("'シフト一覧（転載）'!"&amp;AQ24&amp;":AK100")&lt;&gt;"休み"),1,0),0)),0),""),$E$9&amp;"保育無し")</f>
        <v>0</v>
      </c>
      <c r="AS24" s="21">
        <f t="array" aca="1" ref="AS24" ca="1">IFERROR(IF(AQ24&lt;&gt;0,ADDRESS(ROW(INDIRECT(AQ24)),
    COLUMN(INDIRECT(AQ24)) - 1 +
    MATCH(1,INDEX((LEN(INDIRECT("'シフト一覧（転載）'!"&amp;AQ24&amp;":AK100"))&gt;0)
            *(INDIRECT("'シフト一覧（転載）'!"&amp;AQ24&amp;":AK100")&lt;&gt;"休み"),
            1,0),0)+1,4),0),"")</f>
        <v>0</v>
      </c>
      <c r="AT24" s="21">
        <f t="array" aca="1" ref="AT24" ca="1">IFERROR(IF(AS24&lt;&gt;"",IF(AS24&lt;&gt;0,INDEX(
INDIRECT("'シフト一覧（転載）'!"&amp;AS24&amp;":AK100"),1,
MATCH(1,INDEX((LEN(INDIRECT("'シフト一覧（転載）'!"&amp;AS24&amp;":AK100"))&gt;0)
*(INDIRECT("'シフト一覧（転載）'!"&amp;AS24&amp;":AK100")&lt;&gt;"休み"),1,0),0)),0),""),$E$9&amp;"保育無し")</f>
        <v>0</v>
      </c>
      <c r="AU24" s="21">
        <f t="array" aca="1" ref="AU24" ca="1">IFERROR(IF(AS24&lt;&gt;0,ADDRESS(ROW(INDIRECT(AS24)),
    COLUMN(INDIRECT(AS24)) - 1 +
    MATCH(1,INDEX((LEN(INDIRECT("'シフト一覧（転載）'!"&amp;AS24&amp;":AK100"))&gt;0)
            *(INDIRECT("'シフト一覧（転載）'!"&amp;AS24&amp;":AK100")&lt;&gt;"休み"),
            1,0),0)+1,4),0),"")</f>
        <v>0</v>
      </c>
      <c r="AV24" s="21">
        <f t="array" aca="1" ref="AV24" ca="1">IFERROR(IF(AU24&lt;&gt;"",IF(AU24&lt;&gt;0,INDEX(
INDIRECT("'シフト一覧（転載）'!"&amp;AU24&amp;":AK100"),1,
MATCH(1,INDEX((LEN(INDIRECT("'シフト一覧（転載）'!"&amp;AU24&amp;":AK100"))&gt;0)
*(INDIRECT("'シフト一覧（転載）'!"&amp;AU24&amp;":AK100")&lt;&gt;"休み"),1,0),0)),0),""),$E$9&amp;"保育無し")</f>
        <v>0</v>
      </c>
      <c r="AW24" s="21">
        <f t="array" aca="1" ref="AW24" ca="1">IFERROR(IF(AU24&lt;&gt;0,ADDRESS(ROW(INDIRECT(AU24)),
    COLUMN(INDIRECT(AU24)) - 1 +
    MATCH(1,INDEX((LEN(INDIRECT("'シフト一覧（転載）'!"&amp;AU24&amp;":AK100"))&gt;0)
            *(INDIRECT("'シフト一覧（転載）'!"&amp;AU24&amp;":AK100")&lt;&gt;"休み"),
            1,0),0)+1,4),0),"")</f>
        <v>0</v>
      </c>
      <c r="AX24" s="21">
        <f t="array" aca="1" ref="AX24" ca="1">IFERROR(IF(AW24&lt;&gt;"",IF(AW24&lt;&gt;0,INDEX(
INDIRECT("'シフト一覧（転載）'!"&amp;AW24&amp;":AK100"),1,
MATCH(1,INDEX((LEN(INDIRECT("'シフト一覧（転載）'!"&amp;AW24&amp;":AK100"))&gt;0)
*(INDIRECT("'シフト一覧（転載）'!"&amp;AW24&amp;":AK100")&lt;&gt;"休み"),1,0),0)),0),""),$E$9&amp;"保育無し")</f>
        <v>0</v>
      </c>
      <c r="AY24" s="21">
        <f t="array" aca="1" ref="AY24" ca="1">IFERROR(IF(AW24&lt;&gt;0,ADDRESS(ROW(INDIRECT(AW24)),
    COLUMN(INDIRECT(AW24)) - 1 +
    MATCH(1,INDEX((LEN(INDIRECT("'シフト一覧（転載）'!"&amp;AW24&amp;":AK100"))&gt;0)
            *(INDIRECT("'シフト一覧（転載）'!"&amp;AW24&amp;":AK100")&lt;&gt;"休み"),
            1,0),0)+1,4),0),"")</f>
        <v>0</v>
      </c>
      <c r="AZ24" s="21">
        <f t="array" aca="1" ref="AZ24" ca="1">IFERROR(IF(AY24&lt;&gt;"",IF(AY24&lt;&gt;0,INDEX(
INDIRECT("'シフト一覧（転載）'!"&amp;AY24&amp;":AK100"),1,
MATCH(1,INDEX((LEN(INDIRECT("'シフト一覧（転載）'!"&amp;AY24&amp;":AK100"))&gt;0)
*(INDIRECT("'シフト一覧（転載）'!"&amp;AY24&amp;":AK100")&lt;&gt;"休み"),1,0),0)),0),""),$E$9&amp;"保育無し")</f>
        <v>0</v>
      </c>
      <c r="BA24" s="21">
        <f t="array" aca="1" ref="BA24" ca="1">IFERROR(IF(AY24&lt;&gt;0,ADDRESS(ROW(INDIRECT(AY24)),
    COLUMN(INDIRECT(AY24)) - 1 +
    MATCH(1,INDEX((LEN(INDIRECT("'シフト一覧（転載）'!"&amp;AY24&amp;":AK100"))&gt;0)
            *(INDIRECT("'シフト一覧（転載）'!"&amp;AY24&amp;":AK100")&lt;&gt;"休み"),
            1,0),0)+1,4),0),"")</f>
        <v>0</v>
      </c>
      <c r="BB24" s="21">
        <f t="array" aca="1" ref="BB24" ca="1">IFERROR(IF(BA24&lt;&gt;"",IF(BA24&lt;&gt;0,INDEX(
INDIRECT("'シフト一覧（転載）'!"&amp;BA24&amp;":AK100"),1,
MATCH(1,INDEX((LEN(INDIRECT("'シフト一覧（転載）'!"&amp;BA24&amp;":AK100"))&gt;0)
*(INDIRECT("'シフト一覧（転載）'!"&amp;BA24&amp;":AK100")&lt;&gt;"休み"),1,0),0)),0),""),$E$9&amp;"保育無し")</f>
        <v>0</v>
      </c>
      <c r="BC24" s="21">
        <f t="array" aca="1" ref="BC24" ca="1">IFERROR(IF(BA24&lt;&gt;0,ADDRESS(ROW(INDIRECT(BA24)),
    COLUMN(INDIRECT(BA24)) - 1 +
    MATCH(1,INDEX((LEN(INDIRECT("'シフト一覧（転載）'!"&amp;BA24&amp;":AK100"))&gt;0)
            *(INDIRECT("'シフト一覧（転載）'!"&amp;BA24&amp;":AK100")&lt;&gt;"休み"),
            1,0),0)+1,4),0),"")</f>
        <v>0</v>
      </c>
      <c r="BD24" s="21">
        <f t="array" aca="1" ref="BD24" ca="1">IFERROR(IF(BC24&lt;&gt;"",IF(BC24&lt;&gt;0,INDEX(
INDIRECT("'シフト一覧（転載）'!"&amp;BC24&amp;":AK100"),1,
MATCH(1,INDEX((LEN(INDIRECT("'シフト一覧（転載）'!"&amp;BC24&amp;":AK100"))&gt;0)
*(INDIRECT("'シフト一覧（転載）'!"&amp;BC24&amp;":AK100")&lt;&gt;"休み"),1,0),0)),0),""),$E$9&amp;"保育無し")</f>
        <v>0</v>
      </c>
      <c r="BE24" s="21">
        <f t="array" aca="1" ref="BE24" ca="1">IFERROR(IF(BC24&lt;&gt;0,ADDRESS(ROW(INDIRECT(BC24)),
    COLUMN(INDIRECT(BC24)) - 1 +
    MATCH(1,INDEX((LEN(INDIRECT("'シフト一覧（転載）'!"&amp;BC24&amp;":AK100"))&gt;0)
            *(INDIRECT("'シフト一覧（転載）'!"&amp;BC24&amp;":AK100")&lt;&gt;"休み"),
            1,0),0)+1,4),0),"")</f>
        <v>0</v>
      </c>
      <c r="BF24" s="21">
        <f t="array" aca="1" ref="BF24" ca="1">IFERROR(IF(BE24&lt;&gt;"",IF(BE24&lt;&gt;0,INDEX(
INDIRECT("'シフト一覧（転載）'!"&amp;BE24&amp;":AK100"),1,
MATCH(1,INDEX((LEN(INDIRECT("'シフト一覧（転載）'!"&amp;BE24&amp;":AK100"))&gt;0)
*(INDIRECT("'シフト一覧（転載）'!"&amp;BE24&amp;":AK100")&lt;&gt;"休み"),1,0),0)),0),""),$E$9&amp;"保育無し")</f>
        <v>0</v>
      </c>
      <c r="BG24" s="21">
        <f t="array" aca="1" ref="BG24" ca="1">IFERROR(IF(BE24&lt;&gt;0,ADDRESS(ROW(INDIRECT(BE24)),
    COLUMN(INDIRECT(BE24)) - 1 +
    MATCH(1,INDEX((LEN(INDIRECT("'シフト一覧（転載）'!"&amp;BE24&amp;":AK100"))&gt;0)
            *(INDIRECT("'シフト一覧（転載）'!"&amp;BE24&amp;":AK100")&lt;&gt;"休み"),
            1,0),0)+1,4),0),"")</f>
        <v>0</v>
      </c>
      <c r="BH24" s="21">
        <f t="array" aca="1" ref="BH24" ca="1">IFERROR(IF(BG24&lt;&gt;"",IF(BG24&lt;&gt;0,INDEX(
INDIRECT("'シフト一覧（転載）'!"&amp;BG24&amp;":AK100"),1,
MATCH(1,INDEX((LEN(INDIRECT("'シフト一覧（転載）'!"&amp;BG24&amp;":AK100"))&gt;0)
*(INDIRECT("'シフト一覧（転載）'!"&amp;BG24&amp;":AK100")&lt;&gt;"休み"),1,0),0)),0),""),$E$9&amp;"保育無し")</f>
        <v>0</v>
      </c>
      <c r="BI24" s="21">
        <f t="array" aca="1" ref="BI24" ca="1">IFERROR(IF(BG24&lt;&gt;0,ADDRESS(ROW(INDIRECT(BG24)),
    COLUMN(INDIRECT(BG24)) - 1 +
    MATCH(1,INDEX((LEN(INDIRECT("'シフト一覧（転載）'!"&amp;BG24&amp;":AK100"))&gt;0)
            *(INDIRECT("'シフト一覧（転載）'!"&amp;BG24&amp;":AK100")&lt;&gt;"休み"),
            1,0),0)+1,4),0),"")</f>
        <v>0</v>
      </c>
      <c r="BJ24" s="21">
        <f t="array" aca="1" ref="BJ24" ca="1">IFERROR(IF(BI24&lt;&gt;"",IF(BI24&lt;&gt;0,INDEX(
INDIRECT("'シフト一覧（転載）'!"&amp;BI24&amp;":AK100"),1,
MATCH(1,INDEX((LEN(INDIRECT("'シフト一覧（転載）'!"&amp;BI24&amp;":AK100"))&gt;0)
*(INDIRECT("'シフト一覧（転載）'!"&amp;BI24&amp;":AK100")&lt;&gt;"休み"),1,0),0)),0),""),$E$9&amp;"保育無し")</f>
        <v>0</v>
      </c>
      <c r="BK24" s="21">
        <f t="array" aca="1" ref="BK24" ca="1">IFERROR(IF(BI24&lt;&gt;0,ADDRESS(ROW(INDIRECT(BI24)),
    COLUMN(INDIRECT(BI24)) - 1 +
    MATCH(1,INDEX((LEN(INDIRECT("'シフト一覧（転載）'!"&amp;BI24&amp;":AK100"))&gt;0)
            *(INDIRECT("'シフト一覧（転載）'!"&amp;BI24&amp;":AK100")&lt;&gt;"休み"),
            1,0),0)+1,4),0),"")</f>
        <v>0</v>
      </c>
      <c r="BL24" s="21">
        <f t="array" aca="1" ref="BL24" ca="1">IFERROR(IF(BK24&lt;&gt;"",IF(BK24&lt;&gt;0,INDEX(
INDIRECT("'シフト一覧（転載）'!"&amp;BK24&amp;":AK100"),1,
MATCH(1,INDEX((LEN(INDIRECT("'シフト一覧（転載）'!"&amp;BK24&amp;":AK100"))&gt;0)
*(INDIRECT("'シフト一覧（転載）'!"&amp;BK24&amp;":AK100")&lt;&gt;"休み"),1,0),0)),0),""),$E$9&amp;"保育無し")</f>
        <v>0</v>
      </c>
      <c r="BM24" s="21">
        <f t="array" aca="1" ref="BM24" ca="1">IFERROR(IF(BK24&lt;&gt;0,ADDRESS(ROW(INDIRECT(BK24)),
    COLUMN(INDIRECT(BK24)) - 1 +
    MATCH(1,INDEX((LEN(INDIRECT("'シフト一覧（転載）'!"&amp;BK24&amp;":AK100"))&gt;0)
            *(INDIRECT("'シフト一覧（転載）'!"&amp;BK24&amp;":AK100")&lt;&gt;"休み"),
            1,0),0)+1,4),0),"")</f>
        <v>0</v>
      </c>
      <c r="BN24" s="21">
        <f t="array" aca="1" ref="BN24" ca="1">IFERROR(IF(BM24&lt;&gt;"",IF(BM24&lt;&gt;0,INDEX(
INDIRECT("'シフト一覧（転載）'!"&amp;BM24&amp;":AK100"),1,
MATCH(1,INDEX((LEN(INDIRECT("'シフト一覧（転載）'!"&amp;BM24&amp;":AK100"))&gt;0)
*(INDIRECT("'シフト一覧（転載）'!"&amp;BM24&amp;":AK100")&lt;&gt;"休み"),1,0),0)),0),""),$E$9&amp;"保育無し")</f>
        <v>0</v>
      </c>
      <c r="BO24" s="21">
        <f t="array" aca="1" ref="BO24" ca="1">IFERROR(IF(BM24&lt;&gt;0,ADDRESS(ROW(INDIRECT(BM24)),
    COLUMN(INDIRECT(BM24)) - 1 +
    MATCH(1,INDEX((LEN(INDIRECT("'シフト一覧（転載）'!"&amp;BM24&amp;":AK100"))&gt;0)
            *(INDIRECT("'シフト一覧（転載）'!"&amp;BM24&amp;":AK100")&lt;&gt;"休み"),
            1,0),0)+1,4),0),"")</f>
        <v>0</v>
      </c>
      <c r="BP24" s="21">
        <f t="array" aca="1" ref="BP24" ca="1">IFERROR(IF(BO24&lt;&gt;"",IF(BO24&lt;&gt;0,INDEX(
INDIRECT("'シフト一覧（転載）'!"&amp;BO24&amp;":AK100"),1,
MATCH(1,INDEX((LEN(INDIRECT("'シフト一覧（転載）'!"&amp;BO24&amp;":AK100"))&gt;0)
*(INDIRECT("'シフト一覧（転載）'!"&amp;BO24&amp;":AK100")&lt;&gt;"休み"),1,0),0)),0),""),$E$9&amp;"保育無し")</f>
        <v>0</v>
      </c>
      <c r="BQ24" s="21">
        <f t="array" aca="1" ref="BQ24" ca="1">IFERROR(IF(BO24&lt;&gt;0,ADDRESS(ROW(INDIRECT(BO24)),
    COLUMN(INDIRECT(BO24)) - 1 +
    MATCH(1,INDEX((LEN(INDIRECT("'シフト一覧（転載）'!"&amp;BO24&amp;":AK100"))&gt;0)
            *(INDIRECT("'シフト一覧（転載）'!"&amp;BO24&amp;":AK100")&lt;&gt;"休み"),
            1,0),0)+1,4),0),"")</f>
        <v>0</v>
      </c>
      <c r="BR24" s="21">
        <f t="array" aca="1" ref="BR24" ca="1">IFERROR(IF(BQ24&lt;&gt;"",IF(BQ24&lt;&gt;0,INDEX(
INDIRECT("'シフト一覧（転載）'!"&amp;BQ24&amp;":AK100"),1,
MATCH(1,INDEX((LEN(INDIRECT("'シフト一覧（転載）'!"&amp;BQ24&amp;":AK100"))&gt;0)
*(INDIRECT("'シフト一覧（転載）'!"&amp;BQ24&amp;":AK100")&lt;&gt;"休み"),1,0),0)),0),""),$E$9&amp;"保育無し")</f>
        <v>0</v>
      </c>
      <c r="BS24" s="21">
        <f t="array" aca="1" ref="BS24" ca="1">IFERROR(IF(BQ24&lt;&gt;0,ADDRESS(ROW(INDIRECT(BQ24)),
    COLUMN(INDIRECT(BQ24)) - 1 +
    MATCH(1,INDEX((LEN(INDIRECT("'シフト一覧（転載）'!"&amp;BQ24&amp;":AK100"))&gt;0)
            *(INDIRECT("'シフト一覧（転載）'!"&amp;BQ24&amp;":AK100")&lt;&gt;"休み"),
            1,0),0)+1,4),0),"")</f>
        <v>0</v>
      </c>
      <c r="BT24" s="21">
        <f t="array" aca="1" ref="BT24" ca="1">IFERROR(IF(BS24&lt;&gt;"",IF(BS24&lt;&gt;0,INDEX(
INDIRECT("'シフト一覧（転載）'!"&amp;BS24&amp;":AK100"),1,
MATCH(1,INDEX((LEN(INDIRECT("'シフト一覧（転載）'!"&amp;BS24&amp;":AK100"))&gt;0)
*(INDIRECT("'シフト一覧（転載）'!"&amp;BS24&amp;":AK100")&lt;&gt;"休み"),1,0),0)),0),""),$E$9&amp;"保育無し")</f>
        <v>0</v>
      </c>
      <c r="BU24" s="21">
        <f t="array" aca="1" ref="BU24" ca="1">IFERROR(IF(BS24&lt;&gt;0,ADDRESS(ROW(INDIRECT(BS24)),
    COLUMN(INDIRECT(BS24)) - 1 +
    MATCH(1,INDEX((LEN(INDIRECT("'シフト一覧（転載）'!"&amp;BS24&amp;":AK100"))&gt;0)
            *(INDIRECT("'シフト一覧（転載）'!"&amp;BS24&amp;":AK100")&lt;&gt;"休み"),
            1,0),0)+1,4),0),"")</f>
        <v>0</v>
      </c>
      <c r="BV24" s="21">
        <f t="array" aca="1" ref="BV24" ca="1">IFERROR(IF(BU24&lt;&gt;"",IF(BU24&lt;&gt;0,INDEX(
INDIRECT("'シフト一覧（転載）'!"&amp;BU24&amp;":AK100"),1,
MATCH(1,INDEX((LEN(INDIRECT("'シフト一覧（転載）'!"&amp;BU24&amp;":AK100"))&gt;0)
*(INDIRECT("'シフト一覧（転載）'!"&amp;BU24&amp;":AK100")&lt;&gt;"休み"),1,0),0)),0),""),$E$9&amp;"保育無し")</f>
        <v>0</v>
      </c>
      <c r="BW24" s="21">
        <f t="array" aca="1" ref="BW24" ca="1">IFERROR(IF(BU24&lt;&gt;0,ADDRESS(ROW(INDIRECT(BU24)),
    COLUMN(INDIRECT(BU24)) - 1 +
    MATCH(1,INDEX((LEN(INDIRECT("'シフト一覧（転載）'!"&amp;BU24&amp;":AK100"))&gt;0)
            *(INDIRECT("'シフト一覧（転載）'!"&amp;BU24&amp;":AK100")&lt;&gt;"休み"),
            1,0),0)+1,4),0),"")</f>
        <v>0</v>
      </c>
      <c r="BX24" s="21">
        <f t="array" aca="1" ref="BX24" ca="1">IFERROR(IF(BW24&lt;&gt;"",IF(BW24&lt;&gt;0,INDEX(
INDIRECT("'シフト一覧（転載）'!"&amp;BW24&amp;":AK100"),1,
MATCH(1,INDEX((LEN(INDIRECT("'シフト一覧（転載）'!"&amp;BW24&amp;":AK100"))&gt;0)
*(INDIRECT("'シフト一覧（転載）'!"&amp;BW24&amp;":AK100")&lt;&gt;"休み"),1,0),0)),0),""),$E$9&amp;"保育無し")</f>
        <v>0</v>
      </c>
      <c r="BY24" s="21">
        <f t="array" aca="1" ref="BY24" ca="1">IFERROR(IF(BW24&lt;&gt;0,ADDRESS(ROW(INDIRECT(BW24)),
    COLUMN(INDIRECT(BW24)) - 1 +
    MATCH(1,INDEX((LEN(INDIRECT("'シフト一覧（転載）'!"&amp;BW24&amp;":AK100"))&gt;0)
            *(INDIRECT("'シフト一覧（転載）'!"&amp;BW24&amp;":AK100")&lt;&gt;"休み"),
            1,0),0)+1,4),0),"")</f>
        <v>0</v>
      </c>
    </row>
    <row r="25" spans="1:77" ht="19.2" customHeight="1" x14ac:dyDescent="0.2">
      <c r="A25" s="46">
        <f t="shared" si="4"/>
        <v>0</v>
      </c>
      <c r="B25" s="64">
        <f t="array" aca="1" ref="B25" ca="1">IFERROR(IF(INDIRECT("'Page_" &amp; A25 &amp; "'!Q3")&lt;&gt;"",INDIRECT("'Page_" &amp; A25 &amp; "'!Q3"),INDIRECT("'Page_" &amp; A25 &amp; "'!P3")),0)</f>
        <v>0</v>
      </c>
      <c r="C25" s="42">
        <f t="shared" ca="1" si="0"/>
        <v>0</v>
      </c>
      <c r="D25" s="31">
        <f t="shared" ca="1" si="1"/>
        <v>0</v>
      </c>
      <c r="E25" s="28">
        <f t="shared" ca="1" si="2"/>
        <v>0</v>
      </c>
      <c r="F25" s="69" t="str">
        <f t="array" aca="1" ref="F25" ca="1">IFERROR(INDEX('シフト一覧（転載）'!$C$8:$C$100,
MATCH(1, (ISNUMBER(SEARCH(I25,'シフト一覧（転載）'!$A$8:$A$100)))
*(ISNUMBER(SEARCH($E$9,'シフト一覧（転載）'!$B$8:$B$100))), 0)),"")</f>
        <v/>
      </c>
      <c r="G25" s="60">
        <f t="shared" ca="1" si="3"/>
        <v>0</v>
      </c>
      <c r="H25" s="28">
        <f t="array" aca="1" ref="H25" ca="1">IFERROR(SUM(INDIRECT("'Page_" &amp; A25 &amp; "'!K"&amp;MATCH("有休",INDIRECT("'Page_" &amp; A25 &amp; "'!K:K"),0)+2&amp;"")
+INDIRECT("'Page_" &amp; A25 &amp; "'!L"&amp;MATCH("特休",INDIRECT("'Page_" &amp; A25 &amp; "'!L:L"),0)+2&amp;""))*24,0)</f>
        <v>0</v>
      </c>
      <c r="I25" s="51">
        <f t="array" aca="1" ref="I25" ca="1">IFERROR(_xlfn.TEXTJOIN("", TRUE, IF(ISERR(MID(INDIRECT("'Page_" &amp; A25 &amp; "'!C2"), ROW(INDIRECT("1:" &amp; LEN(INDIRECT("'Page_" &amp; A25 &amp; "'!C2")))), 1)*1), MID(INDIRECT("'Page_" &amp; A25 &amp; "'!C2"), ROW(INDIRECT("1:" &amp; LEN(INDIRECT("'Page_" &amp; A25 &amp; "'!C2")))), 1), "")),0)</f>
        <v>0</v>
      </c>
      <c r="J25" s="52">
        <f t="array" aca="1" ref="J25" ca="1">IFERROR(IF(INDIRECT("'Page_" &amp; A25 &amp; "'!E2")&lt;&gt;"",INDIRECT("'Page_" &amp; A25 &amp; "'!E2"),INDIRECT("'Page_" &amp; A25 &amp; "'!D2")),0)</f>
        <v>0</v>
      </c>
      <c r="K25" s="65"/>
      <c r="M25" s="93"/>
      <c r="N25" s="91"/>
      <c r="O25" s="95"/>
      <c r="P25" s="22">
        <f t="array" aca="1" ref="P25" ca="1">IFERROR(IF(M24&lt;&gt;"",INDEX('シフト一覧（転載）'!$F$8:$AK$100,
    MATCH(1,(ISNUMBER(SEARCH(M24,'シフト一覧（転載）'!$A$8:$A$100)))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MATCH(1,(ISNUMBER(SEARCH(M24,'シフト一覧（転載）'!$A$8:$A$100)))
                *(ISNUMBER(SEARCH($E$9,'シフト一覧（転載）'!$B$8:$B$100))),
                0),0),0)),0),"")</f>
        <v>0</v>
      </c>
      <c r="Q25" s="22">
        <f ca="1">IF(P24=0,0,
IF(OR(P24="",COUNTIF(P24,"*保育無し*")),"",
IF(MOD(P25-P24,1)*24&gt;=8,1,
IF(MOD(P25-P24,1)*24&gt;=6,0.75,0))))</f>
        <v>0</v>
      </c>
      <c r="R25" s="22">
        <f t="array" aca="1" ref="R25" ca="1">IFERROR(IF(Q24&lt;&gt;0,INDEX(
INDIRECT("'シフト一覧（転載）'!"&amp;Q24&amp;":AK100"),1+1,
MATCH(1,INDEX((LEN(INDIRECT("'シフト一覧（転載）'!"&amp;Q24&amp;":AK100"))&gt;0)
*(INDIRECT("'シフト一覧（転載）'!"&amp;Q24&amp;":AK100")&lt;&gt;"休み"),1,0),0)),0),"")</f>
        <v>0</v>
      </c>
      <c r="S25" s="22">
        <f ca="1">IF(R24=0,0,
IF(OR(R24="",COUNTIF(R24,"*保育無し*")),"",
IF(MOD(R25-R24,1)*24&gt;=8,1,
IF(MOD(R25-R24,1)*24&gt;=6,0.75,0))))</f>
        <v>0</v>
      </c>
      <c r="T25" s="22">
        <f t="array" aca="1" ref="T25" ca="1">IFERROR(IF(S24&lt;&gt;0,INDEX(
INDIRECT("'シフト一覧（転載）'!"&amp;S24&amp;":AK100"),1+1,
MATCH(1,INDEX((LEN(INDIRECT("'シフト一覧（転載）'!"&amp;S24&amp;":AK100"))&gt;0)
*(INDIRECT("'シフト一覧（転載）'!"&amp;S24&amp;":AK100")&lt;&gt;"休み"),1,0),0)),0),"")</f>
        <v>0</v>
      </c>
      <c r="U25" s="22">
        <f ca="1">IF(T24=0,0,
IF(OR(T24="",COUNTIF(T24,"*保育無し*")),"",
IF(MOD(T25-T24,1)*24&gt;=8,1,
IF(MOD(T25-T24,1)*24&gt;=6,0.75,0))))</f>
        <v>0</v>
      </c>
      <c r="V25" s="22">
        <f t="array" aca="1" ref="V25" ca="1">IFERROR(IF(U24&lt;&gt;0,INDEX(
INDIRECT("'シフト一覧（転載）'!"&amp;U24&amp;":AK100"),1+1,
MATCH(1,INDEX((LEN(INDIRECT("'シフト一覧（転載）'!"&amp;U24&amp;":AK100"))&gt;0)
*(INDIRECT("'シフト一覧（転載）'!"&amp;U24&amp;":AK100")&lt;&gt;"休み"),1,0),0)),0),"")</f>
        <v>0</v>
      </c>
      <c r="W25" s="22">
        <f ca="1">IF(V24=0,0,
IF(OR(V24="",COUNTIF(V24,"*保育無し*")),"",
IF(MOD(V25-V24,1)*24&gt;=8,1,
IF(MOD(V25-V24,1)*24&gt;=6,0.75,0))))</f>
        <v>0</v>
      </c>
      <c r="X25" s="22">
        <f t="array" aca="1" ref="X25" ca="1">IFERROR(IF(W24&lt;&gt;0,INDEX(
INDIRECT("'シフト一覧（転載）'!"&amp;W24&amp;":AK100"),1+1,
MATCH(1,INDEX((LEN(INDIRECT("'シフト一覧（転載）'!"&amp;W24&amp;":AK100"))&gt;0)
*(INDIRECT("'シフト一覧（転載）'!"&amp;W24&amp;":AK100")&lt;&gt;"休み"),1,0),0)),0),"")</f>
        <v>0</v>
      </c>
      <c r="Y25" s="22">
        <f ca="1">IF(X24=0,0,
IF(OR(X24="",COUNTIF(X24,"*保育無し*")),"",
IF(MOD(X25-X24,1)*24&gt;=8,1,
IF(MOD(X25-X24,1)*24&gt;=6,0.75,0))))</f>
        <v>0</v>
      </c>
      <c r="Z25" s="22">
        <f t="array" aca="1" ref="Z25" ca="1">IFERROR(IF(Y24&lt;&gt;0,INDEX(
INDIRECT("'シフト一覧（転載）'!"&amp;Y24&amp;":AK100"),1+1,
MATCH(1,INDEX((LEN(INDIRECT("'シフト一覧（転載）'!"&amp;Y24&amp;":AK100"))&gt;0)
*(INDIRECT("'シフト一覧（転載）'!"&amp;Y24&amp;":AK100")&lt;&gt;"休み"),1,0),0)),0),"")</f>
        <v>0</v>
      </c>
      <c r="AA25" s="22">
        <f ca="1">IF(Z24=0,0,
IF(OR(Z24="",COUNTIF(Z24,"*保育無し*")),"",
IF(MOD(Z25-Z24,1)*24&gt;=8,1,
IF(MOD(Z25-Z24,1)*24&gt;=6,0.75,0))))</f>
        <v>0</v>
      </c>
      <c r="AB25" s="22">
        <f t="array" aca="1" ref="AB25" ca="1">IFERROR(IF(AA24&lt;&gt;0,INDEX(
INDIRECT("'シフト一覧（転載）'!"&amp;AA24&amp;":AK100"),1+1,
MATCH(1,INDEX((LEN(INDIRECT("'シフト一覧（転載）'!"&amp;AA24&amp;":AK100"))&gt;0)
*(INDIRECT("'シフト一覧（転載）'!"&amp;AA24&amp;":AK100")&lt;&gt;"休み"),1,0),0)),0),"")</f>
        <v>0</v>
      </c>
      <c r="AC25" s="22">
        <f ca="1">IF(AB24=0,0,
IF(OR(AB24="",COUNTIF(AB24,"*保育無し*")),"",
IF(MOD(AB25-AB24,1)*24&gt;=8,1,
IF(MOD(AB25-AB24,1)*24&gt;=6,0.75,0))))</f>
        <v>0</v>
      </c>
      <c r="AD25" s="22">
        <f t="array" aca="1" ref="AD25" ca="1">IFERROR(IF(AC24&lt;&gt;0,INDEX(
INDIRECT("'シフト一覧（転載）'!"&amp;AC24&amp;":AK100"),1+1,
MATCH(1,INDEX((LEN(INDIRECT("'シフト一覧（転載）'!"&amp;AC24&amp;":AK100"))&gt;0)
*(INDIRECT("'シフト一覧（転載）'!"&amp;AC24&amp;":AK100")&lt;&gt;"休み"),1,0),0)),0),"")</f>
        <v>0</v>
      </c>
      <c r="AE25" s="22">
        <f ca="1">IF(AD24=0,0,
IF(OR(AD24="",COUNTIF(AD24,"*保育無し*")),"",
IF(MOD(AD25-AD24,1)*24&gt;=8,1,
IF(MOD(AD25-AD24,1)*24&gt;=6,0.75,0))))</f>
        <v>0</v>
      </c>
      <c r="AF25" s="22">
        <f t="array" aca="1" ref="AF25" ca="1">IFERROR(IF(AE24&lt;&gt;0,INDEX(
INDIRECT("'シフト一覧（転載）'!"&amp;AE24&amp;":AK100"),1+1,
MATCH(1,INDEX((LEN(INDIRECT("'シフト一覧（転載）'!"&amp;AE24&amp;":AK100"))&gt;0)
*(INDIRECT("'シフト一覧（転載）'!"&amp;AE24&amp;":AK100")&lt;&gt;"休み"),1,0),0)),0),"")</f>
        <v>0</v>
      </c>
      <c r="AG25" s="22">
        <f ca="1">IF(AF24=0,0,
IF(OR(AF24="",COUNTIF(AF24,"*保育無し*")),"",
IF(MOD(AF25-AF24,1)*24&gt;=8,1,
IF(MOD(AF25-AF24,1)*24&gt;=6,0.75,0))))</f>
        <v>0</v>
      </c>
      <c r="AH25" s="22">
        <f t="array" aca="1" ref="AH25" ca="1">IFERROR(IF(AG24&lt;&gt;0,INDEX(
INDIRECT("'シフト一覧（転載）'!"&amp;AG24&amp;":AK100"),1+1,
MATCH(1,INDEX((LEN(INDIRECT("'シフト一覧（転載）'!"&amp;AG24&amp;":AK100"))&gt;0)
*(INDIRECT("'シフト一覧（転載）'!"&amp;AG24&amp;":AK100")&lt;&gt;"休み"),1,0),0)),0),"")</f>
        <v>0</v>
      </c>
      <c r="AI25" s="22">
        <f ca="1">IF(AH24=0,0,
IF(OR(AH24="",COUNTIF(AH24,"*保育無し*")),"",
IF(MOD(AH25-AH24,1)*24&gt;=8,1,
IF(MOD(AH25-AH24,1)*24&gt;=6,0.75,0))))</f>
        <v>0</v>
      </c>
      <c r="AJ25" s="22">
        <f t="array" aca="1" ref="AJ25" ca="1">IFERROR(IF(AI24&lt;&gt;0,INDEX(
INDIRECT("'シフト一覧（転載）'!"&amp;AI24&amp;":AK100"),1+1,
MATCH(1,INDEX((LEN(INDIRECT("'シフト一覧（転載）'!"&amp;AI24&amp;":AK100"))&gt;0)
*(INDIRECT("'シフト一覧（転載）'!"&amp;AI24&amp;":AK100")&lt;&gt;"休み"),1,0),0)),0),"")</f>
        <v>0</v>
      </c>
      <c r="AK25" s="22">
        <f ca="1">IF(AJ24=0,0,
IF(OR(AJ24="",COUNTIF(AJ24,"*保育無し*")),"",
IF(MOD(AJ25-AJ24,1)*24&gt;=8,1,
IF(MOD(AJ25-AJ24,1)*24&gt;=6,0.75,0))))</f>
        <v>0</v>
      </c>
      <c r="AL25" s="22">
        <f t="array" aca="1" ref="AL25" ca="1">IFERROR(IF(AK24&lt;&gt;0,INDEX(
INDIRECT("'シフト一覧（転載）'!"&amp;AK24&amp;":AK100"),1+1,
MATCH(1,INDEX((LEN(INDIRECT("'シフト一覧（転載）'!"&amp;AK24&amp;":AK100"))&gt;0)
*(INDIRECT("'シフト一覧（転載）'!"&amp;AK24&amp;":AK100")&lt;&gt;"休み"),1,0),0)),0),"")</f>
        <v>0</v>
      </c>
      <c r="AM25" s="22">
        <f ca="1">IF(AL24=0,0,
IF(OR(AL24="",COUNTIF(AL24,"*保育無し*")),"",
IF(MOD(AL25-AL24,1)*24&gt;=8,1,
IF(MOD(AL25-AL24,1)*24&gt;=6,0.75,0))))</f>
        <v>0</v>
      </c>
      <c r="AN25" s="22">
        <f t="array" aca="1" ref="AN25" ca="1">IFERROR(IF(AM24&lt;&gt;0,INDEX(
INDIRECT("'シフト一覧（転載）'!"&amp;AM24&amp;":AK100"),1+1,
MATCH(1,INDEX((LEN(INDIRECT("'シフト一覧（転載）'!"&amp;AM24&amp;":AK100"))&gt;0)
*(INDIRECT("'シフト一覧（転載）'!"&amp;AM24&amp;":AK100")&lt;&gt;"休み"),1,0),0)),0),"")</f>
        <v>0</v>
      </c>
      <c r="AO25" s="22">
        <f ca="1">IF(AN24=0,0,
IF(OR(AN24="",COUNTIF(AN24,"*保育無し*")),"",
IF(MOD(AN25-AN24,1)*24&gt;=8,1,
IF(MOD(AN25-AN24,1)*24&gt;=6,0.75,0))))</f>
        <v>0</v>
      </c>
      <c r="AP25" s="22">
        <f t="array" aca="1" ref="AP25" ca="1">IFERROR(IF(AO24&lt;&gt;0,INDEX(
INDIRECT("'シフト一覧（転載）'!"&amp;AO24&amp;":AK100"),1+1,
MATCH(1,INDEX((LEN(INDIRECT("'シフト一覧（転載）'!"&amp;AO24&amp;":AK100"))&gt;0)
*(INDIRECT("'シフト一覧（転載）'!"&amp;AO24&amp;":AK100")&lt;&gt;"休み"),1,0),0)),0),"")</f>
        <v>0</v>
      </c>
      <c r="AQ25" s="22">
        <f ca="1">IF(AP24=0,0,
IF(OR(AP24="",COUNTIF(AP24,"*保育無し*")),"",
IF(MOD(AP25-AP24,1)*24&gt;=8,1,
IF(MOD(AP25-AP24,1)*24&gt;=6,0.75,0))))</f>
        <v>0</v>
      </c>
      <c r="AR25" s="22">
        <f t="array" aca="1" ref="AR25" ca="1">IFERROR(IF(AQ24&lt;&gt;0,INDEX(
INDIRECT("'シフト一覧（転載）'!"&amp;AQ24&amp;":AK100"),1+1,
MATCH(1,INDEX((LEN(INDIRECT("'シフト一覧（転載）'!"&amp;AQ24&amp;":AK100"))&gt;0)
*(INDIRECT("'シフト一覧（転載）'!"&amp;AQ24&amp;":AK100")&lt;&gt;"休み"),1,0),0)),0),"")</f>
        <v>0</v>
      </c>
      <c r="AS25" s="22">
        <f ca="1">IF(AR24=0,0,
IF(OR(AR24="",COUNTIF(AR24,"*保育無し*")),"",
IF(MOD(AR25-AR24,1)*24&gt;=8,1,
IF(MOD(AR25-AR24,1)*24&gt;=6,0.75,0))))</f>
        <v>0</v>
      </c>
      <c r="AT25" s="22">
        <f t="array" aca="1" ref="AT25" ca="1">IFERROR(IF(AS24&lt;&gt;0,INDEX(
INDIRECT("'シフト一覧（転載）'!"&amp;AS24&amp;":AK100"),1+1,
MATCH(1,INDEX((LEN(INDIRECT("'シフト一覧（転載）'!"&amp;AS24&amp;":AK100"))&gt;0)
*(INDIRECT("'シフト一覧（転載）'!"&amp;AS24&amp;":AK100")&lt;&gt;"休み"),1,0),0)),0),"")</f>
        <v>0</v>
      </c>
      <c r="AU25" s="22">
        <f ca="1">IF(AT24=0,0,
IF(OR(AT24="",COUNTIF(AT24,"*保育無し*")),"",
IF(MOD(AT25-AT24,1)*24&gt;=8,1,
IF(MOD(AT25-AT24,1)*24&gt;=6,0.75,0))))</f>
        <v>0</v>
      </c>
      <c r="AV25" s="22">
        <f t="array" aca="1" ref="AV25" ca="1">IFERROR(IF(AU24&lt;&gt;0,INDEX(
INDIRECT("'シフト一覧（転載）'!"&amp;AU24&amp;":AK100"),1+1,
MATCH(1,INDEX((LEN(INDIRECT("'シフト一覧（転載）'!"&amp;AU24&amp;":AK100"))&gt;0)
*(INDIRECT("'シフト一覧（転載）'!"&amp;AU24&amp;":AK100")&lt;&gt;"休み"),1,0),0)),0),"")</f>
        <v>0</v>
      </c>
      <c r="AW25" s="22">
        <f ca="1">IF(AV24=0,0,
IF(OR(AV24="",COUNTIF(AV24,"*保育無し*")),"",
IF(MOD(AV25-AV24,1)*24&gt;=8,1,
IF(MOD(AV25-AV24,1)*24&gt;=6,0.75,0))))</f>
        <v>0</v>
      </c>
      <c r="AX25" s="22">
        <f t="array" aca="1" ref="AX25" ca="1">IFERROR(IF(AW24&lt;&gt;0,INDEX(
INDIRECT("'シフト一覧（転載）'!"&amp;AW24&amp;":AK100"),1+1,
MATCH(1,INDEX((LEN(INDIRECT("'シフト一覧（転載）'!"&amp;AW24&amp;":AK100"))&gt;0)
*(INDIRECT("'シフト一覧（転載）'!"&amp;AW24&amp;":AK100")&lt;&gt;"休み"),1,0),0)),0),"")</f>
        <v>0</v>
      </c>
      <c r="AY25" s="22">
        <f ca="1">IF(AX24=0,0,
IF(OR(AX24="",COUNTIF(AX24,"*保育無し*")),"",
IF(MOD(AX25-AX24,1)*24&gt;=8,1,
IF(MOD(AX25-AX24,1)*24&gt;=6,0.75,0))))</f>
        <v>0</v>
      </c>
      <c r="AZ25" s="22">
        <f t="array" aca="1" ref="AZ25" ca="1">IFERROR(IF(AY24&lt;&gt;0,INDEX(
INDIRECT("'シフト一覧（転載）'!"&amp;AY24&amp;":AK100"),1+1,
MATCH(1,INDEX((LEN(INDIRECT("'シフト一覧（転載）'!"&amp;AY24&amp;":AK100"))&gt;0)
*(INDIRECT("'シフト一覧（転載）'!"&amp;AY24&amp;":AK100")&lt;&gt;"休み"),1,0),0)),0),"")</f>
        <v>0</v>
      </c>
      <c r="BA25" s="22">
        <f ca="1">IF(AZ24=0,0,
IF(OR(AZ24="",COUNTIF(AZ24,"*保育無し*")),"",
IF(MOD(AZ25-AZ24,1)*24&gt;=8,1,
IF(MOD(AZ25-AZ24,1)*24&gt;=6,0.75,0))))</f>
        <v>0</v>
      </c>
      <c r="BB25" s="22">
        <f t="array" aca="1" ref="BB25" ca="1">IFERROR(IF(BA24&lt;&gt;0,INDEX(
INDIRECT("'シフト一覧（転載）'!"&amp;BA24&amp;":AK100"),1+1,
MATCH(1,INDEX((LEN(INDIRECT("'シフト一覧（転載）'!"&amp;BA24&amp;":AK100"))&gt;0)
*(INDIRECT("'シフト一覧（転載）'!"&amp;BA24&amp;":AK100")&lt;&gt;"休み"),1,0),0)),0),"")</f>
        <v>0</v>
      </c>
      <c r="BC25" s="22">
        <f ca="1">IF(BB24=0,0,
IF(OR(BB24="",COUNTIF(BB24,"*保育無し*")),"",
IF(MOD(BB25-BB24,1)*24&gt;=8,1,
IF(MOD(BB25-BB24,1)*24&gt;=6,0.75,0))))</f>
        <v>0</v>
      </c>
      <c r="BD25" s="22">
        <f t="array" aca="1" ref="BD25" ca="1">IFERROR(IF(BC24&lt;&gt;0,INDEX(
INDIRECT("'シフト一覧（転載）'!"&amp;BC24&amp;":AK100"),1+1,
MATCH(1,INDEX((LEN(INDIRECT("'シフト一覧（転載）'!"&amp;BC24&amp;":AK100"))&gt;0)
*(INDIRECT("'シフト一覧（転載）'!"&amp;BC24&amp;":AK100")&lt;&gt;"休み"),1,0),0)),0),"")</f>
        <v>0</v>
      </c>
      <c r="BE25" s="22">
        <f ca="1">IF(BD24=0,0,
IF(OR(BD24="",COUNTIF(BD24,"*保育無し*")),"",
IF(MOD(BD25-BD24,1)*24&gt;=8,1,
IF(MOD(BD25-BD24,1)*24&gt;=6,0.75,0))))</f>
        <v>0</v>
      </c>
      <c r="BF25" s="22">
        <f t="array" aca="1" ref="BF25" ca="1">IFERROR(IF(BE24&lt;&gt;0,INDEX(
INDIRECT("'シフト一覧（転載）'!"&amp;BE24&amp;":AK100"),1+1,
MATCH(1,INDEX((LEN(INDIRECT("'シフト一覧（転載）'!"&amp;BE24&amp;":AK100"))&gt;0)
*(INDIRECT("'シフト一覧（転載）'!"&amp;BE24&amp;":AK100")&lt;&gt;"休み"),1,0),0)),0),"")</f>
        <v>0</v>
      </c>
      <c r="BG25" s="22">
        <f ca="1">IF(BF24=0,0,
IF(OR(BF24="",COUNTIF(BF24,"*保育無し*")),"",
IF(MOD(BF25-BF24,1)*24&gt;=8,1,
IF(MOD(BF25-BF24,1)*24&gt;=6,0.75,0))))</f>
        <v>0</v>
      </c>
      <c r="BH25" s="22">
        <f t="array" aca="1" ref="BH25" ca="1">IFERROR(IF(BG24&lt;&gt;0,INDEX(
INDIRECT("'シフト一覧（転載）'!"&amp;BG24&amp;":AK100"),1+1,
MATCH(1,INDEX((LEN(INDIRECT("'シフト一覧（転載）'!"&amp;BG24&amp;":AK100"))&gt;0)
*(INDIRECT("'シフト一覧（転載）'!"&amp;BG24&amp;":AK100")&lt;&gt;"休み"),1,0),0)),0),"")</f>
        <v>0</v>
      </c>
      <c r="BI25" s="22">
        <f ca="1">IF(BH24=0,0,
IF(OR(BH24="",COUNTIF(BH24,"*保育無し*")),"",
IF(MOD(BH25-BH24,1)*24&gt;=8,1,
IF(MOD(BH25-BH24,1)*24&gt;=6,0.75,0))))</f>
        <v>0</v>
      </c>
      <c r="BJ25" s="22">
        <f t="array" aca="1" ref="BJ25" ca="1">IFERROR(IF(BI24&lt;&gt;0,INDEX(
INDIRECT("'シフト一覧（転載）'!"&amp;BI24&amp;":AK100"),1+1,
MATCH(1,INDEX((LEN(INDIRECT("'シフト一覧（転載）'!"&amp;BI24&amp;":AK100"))&gt;0)
*(INDIRECT("'シフト一覧（転載）'!"&amp;BI24&amp;":AK100")&lt;&gt;"休み"),1,0),0)),0),"")</f>
        <v>0</v>
      </c>
      <c r="BK25" s="22">
        <f ca="1">IF(BJ24=0,0,
IF(OR(BJ24="",COUNTIF(BJ24,"*保育無し*")),"",
IF(MOD(BJ25-BJ24,1)*24&gt;=8,1,
IF(MOD(BJ25-BJ24,1)*24&gt;=6,0.75,0))))</f>
        <v>0</v>
      </c>
      <c r="BL25" s="22">
        <f t="array" aca="1" ref="BL25" ca="1">IFERROR(IF(BK24&lt;&gt;0,INDEX(
INDIRECT("'シフト一覧（転載）'!"&amp;BK24&amp;":AK100"),1+1,
MATCH(1,INDEX((LEN(INDIRECT("'シフト一覧（転載）'!"&amp;BK24&amp;":AK100"))&gt;0)
*(INDIRECT("'シフト一覧（転載）'!"&amp;BK24&amp;":AK100")&lt;&gt;"休み"),1,0),0)),0),"")</f>
        <v>0</v>
      </c>
      <c r="BM25" s="22">
        <f ca="1">IF(BL24=0,0,
IF(OR(BL24="",COUNTIF(BL24,"*保育無し*")),"",
IF(MOD(BL25-BL24,1)*24&gt;=8,1,
IF(MOD(BL25-BL24,1)*24&gt;=6,0.75,0))))</f>
        <v>0</v>
      </c>
      <c r="BN25" s="22">
        <f t="array" aca="1" ref="BN25" ca="1">IFERROR(IF(BM24&lt;&gt;0,INDEX(
INDIRECT("'シフト一覧（転載）'!"&amp;BM24&amp;":AK100"),1+1,
MATCH(1,INDEX((LEN(INDIRECT("'シフト一覧（転載）'!"&amp;BM24&amp;":AK100"))&gt;0)
*(INDIRECT("'シフト一覧（転載）'!"&amp;BM24&amp;":AK100")&lt;&gt;"休み"),1,0),0)),0),"")</f>
        <v>0</v>
      </c>
      <c r="BO25" s="22">
        <f ca="1">IF(BN24=0,0,
IF(OR(BN24="",COUNTIF(BN24,"*保育無し*")),"",
IF(MOD(BN25-BN24,1)*24&gt;=8,1,
IF(MOD(BN25-BN24,1)*24&gt;=6,0.75,0))))</f>
        <v>0</v>
      </c>
      <c r="BP25" s="22">
        <f t="array" aca="1" ref="BP25" ca="1">IFERROR(IF(BO24&lt;&gt;0,INDEX(
INDIRECT("'シフト一覧（転載）'!"&amp;BO24&amp;":AK100"),1+1,
MATCH(1,INDEX((LEN(INDIRECT("'シフト一覧（転載）'!"&amp;BO24&amp;":AK100"))&gt;0)
*(INDIRECT("'シフト一覧（転載）'!"&amp;BO24&amp;":AK100")&lt;&gt;"休み"),1,0),0)),0),"")</f>
        <v>0</v>
      </c>
      <c r="BQ25" s="22">
        <f ca="1">IF(BP24=0,0,
IF(OR(BP24="",COUNTIF(BP24,"*保育無し*")),"",
IF(MOD(BP25-BP24,1)*24&gt;=8,1,
IF(MOD(BP25-BP24,1)*24&gt;=6,0.75,0))))</f>
        <v>0</v>
      </c>
      <c r="BR25" s="22">
        <f t="array" aca="1" ref="BR25" ca="1">IFERROR(IF(BQ24&lt;&gt;0,INDEX(
INDIRECT("'シフト一覧（転載）'!"&amp;BQ24&amp;":AK100"),1+1,
MATCH(1,INDEX((LEN(INDIRECT("'シフト一覧（転載）'!"&amp;BQ24&amp;":AK100"))&gt;0)
*(INDIRECT("'シフト一覧（転載）'!"&amp;BQ24&amp;":AK100")&lt;&gt;"休み"),1,0),0)),0),"")</f>
        <v>0</v>
      </c>
      <c r="BS25" s="22">
        <f ca="1">IF(BR24=0,0,
IF(OR(BR24="",COUNTIF(BR24,"*保育無し*")),"",
IF(MOD(BR25-BR24,1)*24&gt;=8,1,
IF(MOD(BR25-BR24,1)*24&gt;=6,0.75,0))))</f>
        <v>0</v>
      </c>
      <c r="BT25" s="22">
        <f t="array" aca="1" ref="BT25" ca="1">IFERROR(IF(BS24&lt;&gt;0,INDEX(
INDIRECT("'シフト一覧（転載）'!"&amp;BS24&amp;":AK100"),1+1,
MATCH(1,INDEX((LEN(INDIRECT("'シフト一覧（転載）'!"&amp;BS24&amp;":AK100"))&gt;0)
*(INDIRECT("'シフト一覧（転載）'!"&amp;BS24&amp;":AK100")&lt;&gt;"休み"),1,0),0)),0),"")</f>
        <v>0</v>
      </c>
      <c r="BU25" s="22">
        <f ca="1">IF(BT24=0,0,
IF(OR(BT24="",COUNTIF(BT24,"*保育無し*")),"",
IF(MOD(BT25-BT24,1)*24&gt;=8,1,
IF(MOD(BT25-BT24,1)*24&gt;=6,0.75,0))))</f>
        <v>0</v>
      </c>
      <c r="BV25" s="22">
        <f t="array" aca="1" ref="BV25" ca="1">IFERROR(IF(BU24&lt;&gt;0,INDEX(
INDIRECT("'シフト一覧（転載）'!"&amp;BU24&amp;":AK100"),1+1,
MATCH(1,INDEX((LEN(INDIRECT("'シフト一覧（転載）'!"&amp;BU24&amp;":AK100"))&gt;0)
*(INDIRECT("'シフト一覧（転載）'!"&amp;BU24&amp;":AK100")&lt;&gt;"休み"),1,0),0)),0),"")</f>
        <v>0</v>
      </c>
      <c r="BW25" s="22">
        <f ca="1">IF(BV24=0,0,
IF(OR(BV24="",COUNTIF(BV24,"*保育無し*")),"",
IF(MOD(BV25-BV24,1)*24&gt;=8,1,
IF(MOD(BV25-BV24,1)*24&gt;=6,0.75,0))))</f>
        <v>0</v>
      </c>
      <c r="BX25" s="22">
        <f t="array" aca="1" ref="BX25" ca="1">IFERROR(IF(BW24&lt;&gt;0,INDEX(
INDIRECT("'シフト一覧（転載）'!"&amp;BW24&amp;":AK100"),1+1,
MATCH(1,INDEX((LEN(INDIRECT("'シフト一覧（転載）'!"&amp;BW24&amp;":AK100"))&gt;0)
*(INDIRECT("'シフト一覧（転載）'!"&amp;BW24&amp;":AK100")&lt;&gt;"休み"),1,0),0)),0),"")</f>
        <v>0</v>
      </c>
      <c r="BY25" s="22">
        <f ca="1">IF(BX24=0,0,
IF(OR(BX24="",COUNTIF(BX24,"*保育無し*")),"",
IF(MOD(BX25-BX24,1)*24&gt;=8,1,
IF(MOD(BX25-BX24,1)*24&gt;=6,0.75,0))))</f>
        <v>0</v>
      </c>
    </row>
    <row r="26" spans="1:77" ht="19.2" customHeight="1" x14ac:dyDescent="0.2">
      <c r="A26" s="46">
        <f>IF(A25&lt;&gt;0,IF($B$9&gt;A25,A25+1,0),0)</f>
        <v>0</v>
      </c>
      <c r="B26" s="64">
        <f t="array" aca="1" ref="B26" ca="1">IFERROR(IF(INDIRECT("'Page_" &amp; A26 &amp; "'!Q3")&lt;&gt;"",INDIRECT("'Page_" &amp; A26 &amp; "'!Q3"),INDIRECT("'Page_" &amp; A26 &amp; "'!P3")),0)</f>
        <v>0</v>
      </c>
      <c r="C26" s="42">
        <f t="shared" ca="1" si="0"/>
        <v>0</v>
      </c>
      <c r="D26" s="31">
        <f t="shared" ca="1" si="1"/>
        <v>0</v>
      </c>
      <c r="E26" s="28">
        <f t="shared" ca="1" si="2"/>
        <v>0</v>
      </c>
      <c r="F26" s="69" t="str">
        <f t="array" aca="1" ref="F26" ca="1">IFERROR(INDEX('シフト一覧（転載）'!$C$8:$C$100,
MATCH(1, (ISNUMBER(SEARCH(I26,'シフト一覧（転載）'!$A$8:$A$100)))
*(ISNUMBER(SEARCH($E$9,'シフト一覧（転載）'!$B$8:$B$100))), 0)),"")</f>
        <v/>
      </c>
      <c r="G26" s="60">
        <f t="shared" ca="1" si="3"/>
        <v>0</v>
      </c>
      <c r="H26" s="28">
        <f t="array" aca="1" ref="H26" ca="1">IFERROR(SUM(INDIRECT("'Page_" &amp; A26 &amp; "'!K"&amp;MATCH("有休",INDIRECT("'Page_" &amp; A26 &amp; "'!K:K"),0)+2&amp;"")
+INDIRECT("'Page_" &amp; A26 &amp; "'!L"&amp;MATCH("特休",INDIRECT("'Page_" &amp; A26 &amp; "'!L:L"),0)+2&amp;""))*24,0)</f>
        <v>0</v>
      </c>
      <c r="I26" s="51">
        <f t="array" aca="1" ref="I26" ca="1">IFERROR(_xlfn.TEXTJOIN("", TRUE, IF(ISERR(MID(INDIRECT("'Page_" &amp; A26 &amp; "'!C2"), ROW(INDIRECT("1:" &amp; LEN(INDIRECT("'Page_" &amp; A26 &amp; "'!C2")))), 1)*1), MID(INDIRECT("'Page_" &amp; A26 &amp; "'!C2"), ROW(INDIRECT("1:" &amp; LEN(INDIRECT("'Page_" &amp; A26 &amp; "'!C2")))), 1), "")),0)</f>
        <v>0</v>
      </c>
      <c r="J26" s="52">
        <f t="array" aca="1" ref="J26" ca="1">IFERROR(IF(INDIRECT("'Page_" &amp; A26 &amp; "'!E2")&lt;&gt;"",INDIRECT("'Page_" &amp; A26 &amp; "'!E2"),INDIRECT("'Page_" &amp; A26 &amp; "'!D2")),0)</f>
        <v>0</v>
      </c>
      <c r="K26" s="65"/>
      <c r="M26" s="92" t="str">
        <f t="array" aca="1" ref="M26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6" s="90" t="str">
        <f ca="1">IF(M26&lt;&gt;"",VLOOKUP(M26,$I$12:$J$27,2,FALSE),"")</f>
        <v/>
      </c>
      <c r="O26" s="94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21">
        <f t="array" aca="1" ref="P26" ca="1">IFERROR(IF(M26&lt;&gt;"",INDEX('シフト一覧（転載）'!$F$8:$AK$100,
    MATCH(1,(ISNUMBER(SEARCH(M26,'シフト一覧（転載）'!$A$8:$A$100)))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MATCH(1,(ISNUMBER(SEARCH(M26,'シフト一覧（転載）'!$A$8:$A$100)))
                *(ISNUMBER(SEARCH($E$9,'シフト一覧（転載）'!$B$8:$B$100))),
                0),0),0)),0),$E$9&amp;"保育無し")</f>
        <v>0</v>
      </c>
      <c r="Q26" s="21">
        <f t="array" aca="1" ref="Q26" ca="1">IFERROR(IF(COUNTIF(P26,"*無*"),"",IF(M26&lt;&gt;"",ADDRESS(
    MATCH(1,(ISNUMBER(SEARCH(M26,'シフト一覧（転載）'!$A$8:$A$100)))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MATCH(1,(ISNUMBER(SEARCH(M26,'シフト一覧（転載）'!$A$8:$A$100)))
                *(ISNUMBER(SEARCH($E$9,'シフト一覧（転載）'!$B$8:$B$100))),0),0),0) + 6,4),0)),0)</f>
        <v>0</v>
      </c>
      <c r="R26" s="21">
        <f t="array" aca="1" ref="R26" ca="1">IFERROR(IF(Q26&lt;&gt;"",IF(Q26&lt;&gt;0,INDEX(
INDIRECT("'シフト一覧（転載）'!"&amp;Q26&amp;":AK100"),1,
MATCH(1,INDEX((LEN(INDIRECT("'シフト一覧（転載）'!"&amp;Q26&amp;":AK100"))&gt;0)
*(INDIRECT("'シフト一覧（転載）'!"&amp;Q26&amp;":AK100")&lt;&gt;"休み"),1,0),0)),0),""),$E$9&amp;"保育無し")</f>
        <v>0</v>
      </c>
      <c r="S26" s="21">
        <f t="array" aca="1" ref="S26" ca="1">IFERROR(IF(Q26&lt;&gt;0,ADDRESS(ROW(INDIRECT(Q26)),
    COLUMN(INDIRECT(Q26)) - 1 +
    MATCH(1,INDEX((LEN(INDIRECT("'シフト一覧（転載）'!"&amp;Q26&amp;":AK100"))&gt;0)
            *(INDIRECT("'シフト一覧（転載）'!"&amp;Q26&amp;":AK100")&lt;&gt;"休み"),
            1,0),0)+1,4),0),"")</f>
        <v>0</v>
      </c>
      <c r="T26" s="21">
        <f t="array" aca="1" ref="T26" ca="1">IFERROR(IF(S26&lt;&gt;"",IF(S26&lt;&gt;0,INDEX(
INDIRECT("'シフト一覧（転載）'!"&amp;S26&amp;":AK100"),1,
MATCH(1,INDEX((LEN(INDIRECT("'シフト一覧（転載）'!"&amp;S26&amp;":AK100"))&gt;0)
*(INDIRECT("'シフト一覧（転載）'!"&amp;S26&amp;":AK100")&lt;&gt;"休み"),1,0),0)),0),""),$E$9&amp;"保育無し")</f>
        <v>0</v>
      </c>
      <c r="U26" s="21">
        <f t="array" aca="1" ref="U26" ca="1">IFERROR(IF(S26&lt;&gt;0,ADDRESS(ROW(INDIRECT(S26)),
    COLUMN(INDIRECT(S26)) - 1 +
    MATCH(1,INDEX((LEN(INDIRECT("'シフト一覧（転載）'!"&amp;S26&amp;":AK100"))&gt;0)
            *(INDIRECT("'シフト一覧（転載）'!"&amp;S26&amp;":AK100")&lt;&gt;"休み"),
            1,0),0)+1,4),0),"")</f>
        <v>0</v>
      </c>
      <c r="V26" s="21">
        <f t="array" aca="1" ref="V26" ca="1">IFERROR(IF(U26&lt;&gt;"",IF(U26&lt;&gt;0,INDEX(
INDIRECT("'シフト一覧（転載）'!"&amp;U26&amp;":AK100"),1,
MATCH(1,INDEX((LEN(INDIRECT("'シフト一覧（転載）'!"&amp;U26&amp;":AK100"))&gt;0)
*(INDIRECT("'シフト一覧（転載）'!"&amp;U26&amp;":AK100")&lt;&gt;"休み"),1,0),0)),0),""),$E$9&amp;"保育無し")</f>
        <v>0</v>
      </c>
      <c r="W26" s="21">
        <f t="array" aca="1" ref="W26" ca="1">IFERROR(IF(U26&lt;&gt;0,ADDRESS(ROW(INDIRECT(U26)),
    COLUMN(INDIRECT(U26)) - 1 +
    MATCH(1,INDEX((LEN(INDIRECT("'シフト一覧（転載）'!"&amp;U26&amp;":AK100"))&gt;0)
            *(INDIRECT("'シフト一覧（転載）'!"&amp;U26&amp;":AK100")&lt;&gt;"休み"),
            1,0),0)+1,4),0),"")</f>
        <v>0</v>
      </c>
      <c r="X26" s="21">
        <f t="array" aca="1" ref="X26" ca="1">IFERROR(IF(W26&lt;&gt;"",IF(W26&lt;&gt;0,INDEX(
INDIRECT("'シフト一覧（転載）'!"&amp;W26&amp;":AK100"),1,
MATCH(1,INDEX((LEN(INDIRECT("'シフト一覧（転載）'!"&amp;W26&amp;":AK100"))&gt;0)
*(INDIRECT("'シフト一覧（転載）'!"&amp;W26&amp;":AK100")&lt;&gt;"休み"),1,0),0)),0),""),$E$9&amp;"保育無し")</f>
        <v>0</v>
      </c>
      <c r="Y26" s="21">
        <f t="array" aca="1" ref="Y26" ca="1">IFERROR(IF(W26&lt;&gt;0,ADDRESS(ROW(INDIRECT(W26)),
    COLUMN(INDIRECT(W26)) - 1 +
    MATCH(1,INDEX((LEN(INDIRECT("'シフト一覧（転載）'!"&amp;W26&amp;":AK100"))&gt;0)
            *(INDIRECT("'シフト一覧（転載）'!"&amp;W26&amp;":AK100")&lt;&gt;"休み"),
            1,0),0)+1,4),0),"")</f>
        <v>0</v>
      </c>
      <c r="Z26" s="21">
        <f t="array" aca="1" ref="Z26" ca="1">IFERROR(IF(Y26&lt;&gt;"",IF(Y26&lt;&gt;0,INDEX(
INDIRECT("'シフト一覧（転載）'!"&amp;Y26&amp;":AK100"),1,
MATCH(1,INDEX((LEN(INDIRECT("'シフト一覧（転載）'!"&amp;Y26&amp;":AK100"))&gt;0)
*(INDIRECT("'シフト一覧（転載）'!"&amp;Y26&amp;":AK100")&lt;&gt;"休み"),1,0),0)),0),""),$E$9&amp;"保育無し")</f>
        <v>0</v>
      </c>
      <c r="AA26" s="21">
        <f t="array" aca="1" ref="AA26" ca="1">IFERROR(IF(Y26&lt;&gt;0,ADDRESS(ROW(INDIRECT(Y26)),
    COLUMN(INDIRECT(Y26)) - 1 +
    MATCH(1,INDEX((LEN(INDIRECT("'シフト一覧（転載）'!"&amp;Y26&amp;":AK100"))&gt;0)
            *(INDIRECT("'シフト一覧（転載）'!"&amp;Y26&amp;":AK100")&lt;&gt;"休み"),
            1,0),0)+1,4),0),"")</f>
        <v>0</v>
      </c>
      <c r="AB26" s="21">
        <f t="array" aca="1" ref="AB26" ca="1">IFERROR(IF(AA26&lt;&gt;"",IF(AA26&lt;&gt;0,INDEX(
INDIRECT("'シフト一覧（転載）'!"&amp;AA26&amp;":AK100"),1,
MATCH(1,INDEX((LEN(INDIRECT("'シフト一覧（転載）'!"&amp;AA26&amp;":AK100"))&gt;0)
*(INDIRECT("'シフト一覧（転載）'!"&amp;AA26&amp;":AK100")&lt;&gt;"休み"),1,0),0)),0),""),$E$9&amp;"保育無し")</f>
        <v>0</v>
      </c>
      <c r="AC26" s="21">
        <f t="array" aca="1" ref="AC26" ca="1">IFERROR(IF(AA26&lt;&gt;0,ADDRESS(ROW(INDIRECT(AA26)),
    COLUMN(INDIRECT(AA26)) - 1 +
    MATCH(1,INDEX((LEN(INDIRECT("'シフト一覧（転載）'!"&amp;AA26&amp;":AK100"))&gt;0)
            *(INDIRECT("'シフト一覧（転載）'!"&amp;AA26&amp;":AK100")&lt;&gt;"休み"),
            1,0),0)+1,4),0),"")</f>
        <v>0</v>
      </c>
      <c r="AD26" s="21">
        <f t="array" aca="1" ref="AD26" ca="1">IFERROR(IF(AC26&lt;&gt;"",IF(AC26&lt;&gt;0,INDEX(
INDIRECT("'シフト一覧（転載）'!"&amp;AC26&amp;":AK100"),1,
MATCH(1,INDEX((LEN(INDIRECT("'シフト一覧（転載）'!"&amp;AC26&amp;":AK100"))&gt;0)
*(INDIRECT("'シフト一覧（転載）'!"&amp;AC26&amp;":AK100")&lt;&gt;"休み"),1,0),0)),0),""),$E$9&amp;"保育無し")</f>
        <v>0</v>
      </c>
      <c r="AE26" s="21">
        <f t="array" aca="1" ref="AE26" ca="1">IFERROR(IF(AC26&lt;&gt;0,ADDRESS(ROW(INDIRECT(AC26)),
    COLUMN(INDIRECT(AC26)) - 1 +
    MATCH(1,INDEX((LEN(INDIRECT("'シフト一覧（転載）'!"&amp;AC26&amp;":AK100"))&gt;0)
            *(INDIRECT("'シフト一覧（転載）'!"&amp;AC26&amp;":AK100")&lt;&gt;"休み"),
            1,0),0)+1,4),0),"")</f>
        <v>0</v>
      </c>
      <c r="AF26" s="21">
        <f t="array" aca="1" ref="AF26" ca="1">IFERROR(IF(AE26&lt;&gt;"",IF(AE26&lt;&gt;0,INDEX(
INDIRECT("'シフト一覧（転載）'!"&amp;AE26&amp;":AK100"),1,
MATCH(1,INDEX((LEN(INDIRECT("'シフト一覧（転載）'!"&amp;AE26&amp;":AK100"))&gt;0)
*(INDIRECT("'シフト一覧（転載）'!"&amp;AE26&amp;":AK100")&lt;&gt;"休み"),1,0),0)),0),""),$E$9&amp;"保育無し")</f>
        <v>0</v>
      </c>
      <c r="AG26" s="21">
        <f t="array" aca="1" ref="AG26" ca="1">IFERROR(IF(AE26&lt;&gt;0,ADDRESS(ROW(INDIRECT(AE26)),
    COLUMN(INDIRECT(AE26)) - 1 +
    MATCH(1,INDEX((LEN(INDIRECT("'シフト一覧（転載）'!"&amp;AE26&amp;":AK100"))&gt;0)
            *(INDIRECT("'シフト一覧（転載）'!"&amp;AE26&amp;":AK100")&lt;&gt;"休み"),
            1,0),0)+1,4),0),"")</f>
        <v>0</v>
      </c>
      <c r="AH26" s="21">
        <f t="array" aca="1" ref="AH26" ca="1">IFERROR(IF(AG26&lt;&gt;"",IF(AG26&lt;&gt;0,INDEX(
INDIRECT("'シフト一覧（転載）'!"&amp;AG26&amp;":AK100"),1,
MATCH(1,INDEX((LEN(INDIRECT("'シフト一覧（転載）'!"&amp;AG26&amp;":AK100"))&gt;0)
*(INDIRECT("'シフト一覧（転載）'!"&amp;AG26&amp;":AK100")&lt;&gt;"休み"),1,0),0)),0),""),$E$9&amp;"保育無し")</f>
        <v>0</v>
      </c>
      <c r="AI26" s="21">
        <f t="array" aca="1" ref="AI26" ca="1">IFERROR(IF(AG26&lt;&gt;0,ADDRESS(ROW(INDIRECT(AG26)),
    COLUMN(INDIRECT(AG26)) - 1 +
    MATCH(1,INDEX((LEN(INDIRECT("'シフト一覧（転載）'!"&amp;AG26&amp;":AK100"))&gt;0)
            *(INDIRECT("'シフト一覧（転載）'!"&amp;AG26&amp;":AK100")&lt;&gt;"休み"),
            1,0),0)+1,4),0),"")</f>
        <v>0</v>
      </c>
      <c r="AJ26" s="21">
        <f t="array" aca="1" ref="AJ26" ca="1">IFERROR(IF(AI26&lt;&gt;"",IF(AI26&lt;&gt;0,INDEX(
INDIRECT("'シフト一覧（転載）'!"&amp;AI26&amp;":AK100"),1,
MATCH(1,INDEX((LEN(INDIRECT("'シフト一覧（転載）'!"&amp;AI26&amp;":AK100"))&gt;0)
*(INDIRECT("'シフト一覧（転載）'!"&amp;AI26&amp;":AK100")&lt;&gt;"休み"),1,0),0)),0),""),$E$9&amp;"保育無し")</f>
        <v>0</v>
      </c>
      <c r="AK26" s="21">
        <f t="array" aca="1" ref="AK26" ca="1">IFERROR(IF(AI26&lt;&gt;0,ADDRESS(ROW(INDIRECT(AI26)),
    COLUMN(INDIRECT(AI26)) - 1 +
    MATCH(1,INDEX((LEN(INDIRECT("'シフト一覧（転載）'!"&amp;AI26&amp;":AK100"))&gt;0)
            *(INDIRECT("'シフト一覧（転載）'!"&amp;AI26&amp;":AK100")&lt;&gt;"休み"),
            1,0),0)+1,4),0),"")</f>
        <v>0</v>
      </c>
      <c r="AL26" s="21">
        <f t="array" aca="1" ref="AL26" ca="1">IFERROR(IF(AK26&lt;&gt;"",IF(AK26&lt;&gt;0,INDEX(
INDIRECT("'シフト一覧（転載）'!"&amp;AK26&amp;":AK100"),1,
MATCH(1,INDEX((LEN(INDIRECT("'シフト一覧（転載）'!"&amp;AK26&amp;":AK100"))&gt;0)
*(INDIRECT("'シフト一覧（転載）'!"&amp;AK26&amp;":AK100")&lt;&gt;"休み"),1,0),0)),0),""),$E$9&amp;"保育無し")</f>
        <v>0</v>
      </c>
      <c r="AM26" s="21">
        <f t="array" aca="1" ref="AM26" ca="1">IFERROR(IF(AK26&lt;&gt;0,ADDRESS(ROW(INDIRECT(AK26)),
    COLUMN(INDIRECT(AK26)) - 1 +
    MATCH(1,INDEX((LEN(INDIRECT("'シフト一覧（転載）'!"&amp;AK26&amp;":AK100"))&gt;0)
            *(INDIRECT("'シフト一覧（転載）'!"&amp;AK26&amp;":AK100")&lt;&gt;"休み"),
            1,0),0)+1,4),0),"")</f>
        <v>0</v>
      </c>
      <c r="AN26" s="21">
        <f t="array" aca="1" ref="AN26" ca="1">IFERROR(IF(AM26&lt;&gt;"",IF(AM26&lt;&gt;0,INDEX(
INDIRECT("'シフト一覧（転載）'!"&amp;AM26&amp;":AK100"),1,
MATCH(1,INDEX((LEN(INDIRECT("'シフト一覧（転載）'!"&amp;AM26&amp;":AK100"))&gt;0)
*(INDIRECT("'シフト一覧（転載）'!"&amp;AM26&amp;":AK100")&lt;&gt;"休み"),1,0),0)),0),""),$E$9&amp;"保育無し")</f>
        <v>0</v>
      </c>
      <c r="AO26" s="21">
        <f t="array" aca="1" ref="AO26" ca="1">IFERROR(IF(AM26&lt;&gt;0,ADDRESS(ROW(INDIRECT(AM26)),
    COLUMN(INDIRECT(AM26)) - 1 +
    MATCH(1,INDEX((LEN(INDIRECT("'シフト一覧（転載）'!"&amp;AM26&amp;":AK100"))&gt;0)
            *(INDIRECT("'シフト一覧（転載）'!"&amp;AM26&amp;":AK100")&lt;&gt;"休み"),
            1,0),0)+1,4),0),"")</f>
        <v>0</v>
      </c>
      <c r="AP26" s="21">
        <f t="array" aca="1" ref="AP26" ca="1">IFERROR(IF(AO26&lt;&gt;"",IF(AO26&lt;&gt;0,INDEX(
INDIRECT("'シフト一覧（転載）'!"&amp;AO26&amp;":AK100"),1,
MATCH(1,INDEX((LEN(INDIRECT("'シフト一覧（転載）'!"&amp;AO26&amp;":AK100"))&gt;0)
*(INDIRECT("'シフト一覧（転載）'!"&amp;AO26&amp;":AK100")&lt;&gt;"休み"),1,0),0)),0),""),$E$9&amp;"保育無し")</f>
        <v>0</v>
      </c>
      <c r="AQ26" s="21">
        <f t="array" aca="1" ref="AQ26" ca="1">IFERROR(IF(AO26&lt;&gt;0,ADDRESS(ROW(INDIRECT(AO26)),
    COLUMN(INDIRECT(AO26)) - 1 +
    MATCH(1,INDEX((LEN(INDIRECT("'シフト一覧（転載）'!"&amp;AO26&amp;":AK100"))&gt;0)
            *(INDIRECT("'シフト一覧（転載）'!"&amp;AO26&amp;":AK100")&lt;&gt;"休み"),
            1,0),0)+1,4),0),"")</f>
        <v>0</v>
      </c>
      <c r="AR26" s="21">
        <f t="array" aca="1" ref="AR26" ca="1">IFERROR(IF(AQ26&lt;&gt;"",IF(AQ26&lt;&gt;0,INDEX(
INDIRECT("'シフト一覧（転載）'!"&amp;AQ26&amp;":AK100"),1,
MATCH(1,INDEX((LEN(INDIRECT("'シフト一覧（転載）'!"&amp;AQ26&amp;":AK100"))&gt;0)
*(INDIRECT("'シフト一覧（転載）'!"&amp;AQ26&amp;":AK100")&lt;&gt;"休み"),1,0),0)),0),""),$E$9&amp;"保育無し")</f>
        <v>0</v>
      </c>
      <c r="AS26" s="21">
        <f t="array" aca="1" ref="AS26" ca="1">IFERROR(IF(AQ26&lt;&gt;0,ADDRESS(ROW(INDIRECT(AQ26)),
    COLUMN(INDIRECT(AQ26)) - 1 +
    MATCH(1,INDEX((LEN(INDIRECT("'シフト一覧（転載）'!"&amp;AQ26&amp;":AK100"))&gt;0)
            *(INDIRECT("'シフト一覧（転載）'!"&amp;AQ26&amp;":AK100")&lt;&gt;"休み"),
            1,0),0)+1,4),0),"")</f>
        <v>0</v>
      </c>
      <c r="AT26" s="21">
        <f t="array" aca="1" ref="AT26" ca="1">IFERROR(IF(AS26&lt;&gt;"",IF(AS26&lt;&gt;0,INDEX(
INDIRECT("'シフト一覧（転載）'!"&amp;AS26&amp;":AK100"),1,
MATCH(1,INDEX((LEN(INDIRECT("'シフト一覧（転載）'!"&amp;AS26&amp;":AK100"))&gt;0)
*(INDIRECT("'シフト一覧（転載）'!"&amp;AS26&amp;":AK100")&lt;&gt;"休み"),1,0),0)),0),""),$E$9&amp;"保育無し")</f>
        <v>0</v>
      </c>
      <c r="AU26" s="21">
        <f t="array" aca="1" ref="AU26" ca="1">IFERROR(IF(AS26&lt;&gt;0,ADDRESS(ROW(INDIRECT(AS26)),
    COLUMN(INDIRECT(AS26)) - 1 +
    MATCH(1,INDEX((LEN(INDIRECT("'シフト一覧（転載）'!"&amp;AS26&amp;":AK100"))&gt;0)
            *(INDIRECT("'シフト一覧（転載）'!"&amp;AS26&amp;":AK100")&lt;&gt;"休み"),
            1,0),0)+1,4),0),"")</f>
        <v>0</v>
      </c>
      <c r="AV26" s="21">
        <f t="array" aca="1" ref="AV26" ca="1">IFERROR(IF(AU26&lt;&gt;"",IF(AU26&lt;&gt;0,INDEX(
INDIRECT("'シフト一覧（転載）'!"&amp;AU26&amp;":AK100"),1,
MATCH(1,INDEX((LEN(INDIRECT("'シフト一覧（転載）'!"&amp;AU26&amp;":AK100"))&gt;0)
*(INDIRECT("'シフト一覧（転載）'!"&amp;AU26&amp;":AK100")&lt;&gt;"休み"),1,0),0)),0),""),$E$9&amp;"保育無し")</f>
        <v>0</v>
      </c>
      <c r="AW26" s="21">
        <f t="array" aca="1" ref="AW26" ca="1">IFERROR(IF(AU26&lt;&gt;0,ADDRESS(ROW(INDIRECT(AU26)),
    COLUMN(INDIRECT(AU26)) - 1 +
    MATCH(1,INDEX((LEN(INDIRECT("'シフト一覧（転載）'!"&amp;AU26&amp;":AK100"))&gt;0)
            *(INDIRECT("'シフト一覧（転載）'!"&amp;AU26&amp;":AK100")&lt;&gt;"休み"),
            1,0),0)+1,4),0),"")</f>
        <v>0</v>
      </c>
      <c r="AX26" s="21">
        <f t="array" aca="1" ref="AX26" ca="1">IFERROR(IF(AW26&lt;&gt;"",IF(AW26&lt;&gt;0,INDEX(
INDIRECT("'シフト一覧（転載）'!"&amp;AW26&amp;":AK100"),1,
MATCH(1,INDEX((LEN(INDIRECT("'シフト一覧（転載）'!"&amp;AW26&amp;":AK100"))&gt;0)
*(INDIRECT("'シフト一覧（転載）'!"&amp;AW26&amp;":AK100")&lt;&gt;"休み"),1,0),0)),0),""),$E$9&amp;"保育無し")</f>
        <v>0</v>
      </c>
      <c r="AY26" s="21">
        <f t="array" aca="1" ref="AY26" ca="1">IFERROR(IF(AW26&lt;&gt;0,ADDRESS(ROW(INDIRECT(AW26)),
    COLUMN(INDIRECT(AW26)) - 1 +
    MATCH(1,INDEX((LEN(INDIRECT("'シフト一覧（転載）'!"&amp;AW26&amp;":AK100"))&gt;0)
            *(INDIRECT("'シフト一覧（転載）'!"&amp;AW26&amp;":AK100")&lt;&gt;"休み"),
            1,0),0)+1,4),0),"")</f>
        <v>0</v>
      </c>
      <c r="AZ26" s="21">
        <f t="array" aca="1" ref="AZ26" ca="1">IFERROR(IF(AY26&lt;&gt;"",IF(AY26&lt;&gt;0,INDEX(
INDIRECT("'シフト一覧（転載）'!"&amp;AY26&amp;":AK100"),1,
MATCH(1,INDEX((LEN(INDIRECT("'シフト一覧（転載）'!"&amp;AY26&amp;":AK100"))&gt;0)
*(INDIRECT("'シフト一覧（転載）'!"&amp;AY26&amp;":AK100")&lt;&gt;"休み"),1,0),0)),0),""),$E$9&amp;"保育無し")</f>
        <v>0</v>
      </c>
      <c r="BA26" s="21">
        <f t="array" aca="1" ref="BA26" ca="1">IFERROR(IF(AY26&lt;&gt;0,ADDRESS(ROW(INDIRECT(AY26)),
    COLUMN(INDIRECT(AY26)) - 1 +
    MATCH(1,INDEX((LEN(INDIRECT("'シフト一覧（転載）'!"&amp;AY26&amp;":AK100"))&gt;0)
            *(INDIRECT("'シフト一覧（転載）'!"&amp;AY26&amp;":AK100")&lt;&gt;"休み"),
            1,0),0)+1,4),0),"")</f>
        <v>0</v>
      </c>
      <c r="BB26" s="21">
        <f t="array" aca="1" ref="BB26" ca="1">IFERROR(IF(BA26&lt;&gt;"",IF(BA26&lt;&gt;0,INDEX(
INDIRECT("'シフト一覧（転載）'!"&amp;BA26&amp;":AK100"),1,
MATCH(1,INDEX((LEN(INDIRECT("'シフト一覧（転載）'!"&amp;BA26&amp;":AK100"))&gt;0)
*(INDIRECT("'シフト一覧（転載）'!"&amp;BA26&amp;":AK100")&lt;&gt;"休み"),1,0),0)),0),""),$E$9&amp;"保育無し")</f>
        <v>0</v>
      </c>
      <c r="BC26" s="21">
        <f t="array" aca="1" ref="BC26" ca="1">IFERROR(IF(BA26&lt;&gt;0,ADDRESS(ROW(INDIRECT(BA26)),
    COLUMN(INDIRECT(BA26)) - 1 +
    MATCH(1,INDEX((LEN(INDIRECT("'シフト一覧（転載）'!"&amp;BA26&amp;":AK100"))&gt;0)
            *(INDIRECT("'シフト一覧（転載）'!"&amp;BA26&amp;":AK100")&lt;&gt;"休み"),
            1,0),0)+1,4),0),"")</f>
        <v>0</v>
      </c>
      <c r="BD26" s="21">
        <f t="array" aca="1" ref="BD26" ca="1">IFERROR(IF(BC26&lt;&gt;"",IF(BC26&lt;&gt;0,INDEX(
INDIRECT("'シフト一覧（転載）'!"&amp;BC26&amp;":AK100"),1,
MATCH(1,INDEX((LEN(INDIRECT("'シフト一覧（転載）'!"&amp;BC26&amp;":AK100"))&gt;0)
*(INDIRECT("'シフト一覧（転載）'!"&amp;BC26&amp;":AK100")&lt;&gt;"休み"),1,0),0)),0),""),$E$9&amp;"保育無し")</f>
        <v>0</v>
      </c>
      <c r="BE26" s="21">
        <f t="array" aca="1" ref="BE26" ca="1">IFERROR(IF(BC26&lt;&gt;0,ADDRESS(ROW(INDIRECT(BC26)),
    COLUMN(INDIRECT(BC26)) - 1 +
    MATCH(1,INDEX((LEN(INDIRECT("'シフト一覧（転載）'!"&amp;BC26&amp;":AK100"))&gt;0)
            *(INDIRECT("'シフト一覧（転載）'!"&amp;BC26&amp;":AK100")&lt;&gt;"休み"),
            1,0),0)+1,4),0),"")</f>
        <v>0</v>
      </c>
      <c r="BF26" s="21">
        <f t="array" aca="1" ref="BF26" ca="1">IFERROR(IF(BE26&lt;&gt;"",IF(BE26&lt;&gt;0,INDEX(
INDIRECT("'シフト一覧（転載）'!"&amp;BE26&amp;":AK100"),1,
MATCH(1,INDEX((LEN(INDIRECT("'シフト一覧（転載）'!"&amp;BE26&amp;":AK100"))&gt;0)
*(INDIRECT("'シフト一覧（転載）'!"&amp;BE26&amp;":AK100")&lt;&gt;"休み"),1,0),0)),0),""),$E$9&amp;"保育無し")</f>
        <v>0</v>
      </c>
      <c r="BG26" s="21">
        <f t="array" aca="1" ref="BG26" ca="1">IFERROR(IF(BE26&lt;&gt;0,ADDRESS(ROW(INDIRECT(BE26)),
    COLUMN(INDIRECT(BE26)) - 1 +
    MATCH(1,INDEX((LEN(INDIRECT("'シフト一覧（転載）'!"&amp;BE26&amp;":AK100"))&gt;0)
            *(INDIRECT("'シフト一覧（転載）'!"&amp;BE26&amp;":AK100")&lt;&gt;"休み"),
            1,0),0)+1,4),0),"")</f>
        <v>0</v>
      </c>
      <c r="BH26" s="21">
        <f t="array" aca="1" ref="BH26" ca="1">IFERROR(IF(BG26&lt;&gt;"",IF(BG26&lt;&gt;0,INDEX(
INDIRECT("'シフト一覧（転載）'!"&amp;BG26&amp;":AK100"),1,
MATCH(1,INDEX((LEN(INDIRECT("'シフト一覧（転載）'!"&amp;BG26&amp;":AK100"))&gt;0)
*(INDIRECT("'シフト一覧（転載）'!"&amp;BG26&amp;":AK100")&lt;&gt;"休み"),1,0),0)),0),""),$E$9&amp;"保育無し")</f>
        <v>0</v>
      </c>
      <c r="BI26" s="21">
        <f t="array" aca="1" ref="BI26" ca="1">IFERROR(IF(BG26&lt;&gt;0,ADDRESS(ROW(INDIRECT(BG26)),
    COLUMN(INDIRECT(BG26)) - 1 +
    MATCH(1,INDEX((LEN(INDIRECT("'シフト一覧（転載）'!"&amp;BG26&amp;":AK100"))&gt;0)
            *(INDIRECT("'シフト一覧（転載）'!"&amp;BG26&amp;":AK100")&lt;&gt;"休み"),
            1,0),0)+1,4),0),"")</f>
        <v>0</v>
      </c>
      <c r="BJ26" s="21">
        <f t="array" aca="1" ref="BJ26" ca="1">IFERROR(IF(BI26&lt;&gt;"",IF(BI26&lt;&gt;0,INDEX(
INDIRECT("'シフト一覧（転載）'!"&amp;BI26&amp;":AK100"),1,
MATCH(1,INDEX((LEN(INDIRECT("'シフト一覧（転載）'!"&amp;BI26&amp;":AK100"))&gt;0)
*(INDIRECT("'シフト一覧（転載）'!"&amp;BI26&amp;":AK100")&lt;&gt;"休み"),1,0),0)),0),""),$E$9&amp;"保育無し")</f>
        <v>0</v>
      </c>
      <c r="BK26" s="21">
        <f t="array" aca="1" ref="BK26" ca="1">IFERROR(IF(BI26&lt;&gt;0,ADDRESS(ROW(INDIRECT(BI26)),
    COLUMN(INDIRECT(BI26)) - 1 +
    MATCH(1,INDEX((LEN(INDIRECT("'シフト一覧（転載）'!"&amp;BI26&amp;":AK100"))&gt;0)
            *(INDIRECT("'シフト一覧（転載）'!"&amp;BI26&amp;":AK100")&lt;&gt;"休み"),
            1,0),0)+1,4),0),"")</f>
        <v>0</v>
      </c>
      <c r="BL26" s="21">
        <f t="array" aca="1" ref="BL26" ca="1">IFERROR(IF(BK26&lt;&gt;"",IF(BK26&lt;&gt;0,INDEX(
INDIRECT("'シフト一覧（転載）'!"&amp;BK26&amp;":AK100"),1,
MATCH(1,INDEX((LEN(INDIRECT("'シフト一覧（転載）'!"&amp;BK26&amp;":AK100"))&gt;0)
*(INDIRECT("'シフト一覧（転載）'!"&amp;BK26&amp;":AK100")&lt;&gt;"休み"),1,0),0)),0),""),$E$9&amp;"保育無し")</f>
        <v>0</v>
      </c>
      <c r="BM26" s="21">
        <f t="array" aca="1" ref="BM26" ca="1">IFERROR(IF(BK26&lt;&gt;0,ADDRESS(ROW(INDIRECT(BK26)),
    COLUMN(INDIRECT(BK26)) - 1 +
    MATCH(1,INDEX((LEN(INDIRECT("'シフト一覧（転載）'!"&amp;BK26&amp;":AK100"))&gt;0)
            *(INDIRECT("'シフト一覧（転載）'!"&amp;BK26&amp;":AK100")&lt;&gt;"休み"),
            1,0),0)+1,4),0),"")</f>
        <v>0</v>
      </c>
      <c r="BN26" s="21">
        <f t="array" aca="1" ref="BN26" ca="1">IFERROR(IF(BM26&lt;&gt;"",IF(BM26&lt;&gt;0,INDEX(
INDIRECT("'シフト一覧（転載）'!"&amp;BM26&amp;":AK100"),1,
MATCH(1,INDEX((LEN(INDIRECT("'シフト一覧（転載）'!"&amp;BM26&amp;":AK100"))&gt;0)
*(INDIRECT("'シフト一覧（転載）'!"&amp;BM26&amp;":AK100")&lt;&gt;"休み"),1,0),0)),0),""),$E$9&amp;"保育無し")</f>
        <v>0</v>
      </c>
      <c r="BO26" s="21">
        <f t="array" aca="1" ref="BO26" ca="1">IFERROR(IF(BM26&lt;&gt;0,ADDRESS(ROW(INDIRECT(BM26)),
    COLUMN(INDIRECT(BM26)) - 1 +
    MATCH(1,INDEX((LEN(INDIRECT("'シフト一覧（転載）'!"&amp;BM26&amp;":AK100"))&gt;0)
            *(INDIRECT("'シフト一覧（転載）'!"&amp;BM26&amp;":AK100")&lt;&gt;"休み"),
            1,0),0)+1,4),0),"")</f>
        <v>0</v>
      </c>
      <c r="BP26" s="21">
        <f t="array" aca="1" ref="BP26" ca="1">IFERROR(IF(BO26&lt;&gt;"",IF(BO26&lt;&gt;0,INDEX(
INDIRECT("'シフト一覧（転載）'!"&amp;BO26&amp;":AK100"),1,
MATCH(1,INDEX((LEN(INDIRECT("'シフト一覧（転載）'!"&amp;BO26&amp;":AK100"))&gt;0)
*(INDIRECT("'シフト一覧（転載）'!"&amp;BO26&amp;":AK100")&lt;&gt;"休み"),1,0),0)),0),""),$E$9&amp;"保育無し")</f>
        <v>0</v>
      </c>
      <c r="BQ26" s="21">
        <f t="array" aca="1" ref="BQ26" ca="1">IFERROR(IF(BO26&lt;&gt;0,ADDRESS(ROW(INDIRECT(BO26)),
    COLUMN(INDIRECT(BO26)) - 1 +
    MATCH(1,INDEX((LEN(INDIRECT("'シフト一覧（転載）'!"&amp;BO26&amp;":AK100"))&gt;0)
            *(INDIRECT("'シフト一覧（転載）'!"&amp;BO26&amp;":AK100")&lt;&gt;"休み"),
            1,0),0)+1,4),0),"")</f>
        <v>0</v>
      </c>
      <c r="BR26" s="21">
        <f t="array" aca="1" ref="BR26" ca="1">IFERROR(IF(BQ26&lt;&gt;"",IF(BQ26&lt;&gt;0,INDEX(
INDIRECT("'シフト一覧（転載）'!"&amp;BQ26&amp;":AK100"),1,
MATCH(1,INDEX((LEN(INDIRECT("'シフト一覧（転載）'!"&amp;BQ26&amp;":AK100"))&gt;0)
*(INDIRECT("'シフト一覧（転載）'!"&amp;BQ26&amp;":AK100")&lt;&gt;"休み"),1,0),0)),0),""),$E$9&amp;"保育無し")</f>
        <v>0</v>
      </c>
      <c r="BS26" s="21">
        <f t="array" aca="1" ref="BS26" ca="1">IFERROR(IF(BQ26&lt;&gt;0,ADDRESS(ROW(INDIRECT(BQ26)),
    COLUMN(INDIRECT(BQ26)) - 1 +
    MATCH(1,INDEX((LEN(INDIRECT("'シフト一覧（転載）'!"&amp;BQ26&amp;":AK100"))&gt;0)
            *(INDIRECT("'シフト一覧（転載）'!"&amp;BQ26&amp;":AK100")&lt;&gt;"休み"),
            1,0),0)+1,4),0),"")</f>
        <v>0</v>
      </c>
      <c r="BT26" s="21">
        <f t="array" aca="1" ref="BT26" ca="1">IFERROR(IF(BS26&lt;&gt;"",IF(BS26&lt;&gt;0,INDEX(
INDIRECT("'シフト一覧（転載）'!"&amp;BS26&amp;":AK100"),1,
MATCH(1,INDEX((LEN(INDIRECT("'シフト一覧（転載）'!"&amp;BS26&amp;":AK100"))&gt;0)
*(INDIRECT("'シフト一覧（転載）'!"&amp;BS26&amp;":AK100")&lt;&gt;"休み"),1,0),0)),0),""),$E$9&amp;"保育無し")</f>
        <v>0</v>
      </c>
      <c r="BU26" s="21">
        <f t="array" aca="1" ref="BU26" ca="1">IFERROR(IF(BS26&lt;&gt;0,ADDRESS(ROW(INDIRECT(BS26)),
    COLUMN(INDIRECT(BS26)) - 1 +
    MATCH(1,INDEX((LEN(INDIRECT("'シフト一覧（転載）'!"&amp;BS26&amp;":AK100"))&gt;0)
            *(INDIRECT("'シフト一覧（転載）'!"&amp;BS26&amp;":AK100")&lt;&gt;"休み"),
            1,0),0)+1,4),0),"")</f>
        <v>0</v>
      </c>
      <c r="BV26" s="21">
        <f t="array" aca="1" ref="BV26" ca="1">IFERROR(IF(BU26&lt;&gt;"",IF(BU26&lt;&gt;0,INDEX(
INDIRECT("'シフト一覧（転載）'!"&amp;BU26&amp;":AK100"),1,
MATCH(1,INDEX((LEN(INDIRECT("'シフト一覧（転載）'!"&amp;BU26&amp;":AK100"))&gt;0)
*(INDIRECT("'シフト一覧（転載）'!"&amp;BU26&amp;":AK100")&lt;&gt;"休み"),1,0),0)),0),""),$E$9&amp;"保育無し")</f>
        <v>0</v>
      </c>
      <c r="BW26" s="21">
        <f t="array" aca="1" ref="BW26" ca="1">IFERROR(IF(BU26&lt;&gt;0,ADDRESS(ROW(INDIRECT(BU26)),
    COLUMN(INDIRECT(BU26)) - 1 +
    MATCH(1,INDEX((LEN(INDIRECT("'シフト一覧（転載）'!"&amp;BU26&amp;":AK100"))&gt;0)
            *(INDIRECT("'シフト一覧（転載）'!"&amp;BU26&amp;":AK100")&lt;&gt;"休み"),
            1,0),0)+1,4),0),"")</f>
        <v>0</v>
      </c>
      <c r="BX26" s="21">
        <f t="array" aca="1" ref="BX26" ca="1">IFERROR(IF(BW26&lt;&gt;"",IF(BW26&lt;&gt;0,INDEX(
INDIRECT("'シフト一覧（転載）'!"&amp;BW26&amp;":AK100"),1,
MATCH(1,INDEX((LEN(INDIRECT("'シフト一覧（転載）'!"&amp;BW26&amp;":AK100"))&gt;0)
*(INDIRECT("'シフト一覧（転載）'!"&amp;BW26&amp;":AK100")&lt;&gt;"休み"),1,0),0)),0),""),$E$9&amp;"保育無し")</f>
        <v>0</v>
      </c>
      <c r="BY26" s="21">
        <f t="array" aca="1" ref="BY26" ca="1">IFERROR(IF(BW26&lt;&gt;0,ADDRESS(ROW(INDIRECT(BW26)),
    COLUMN(INDIRECT(BW26)) - 1 +
    MATCH(1,INDEX((LEN(INDIRECT("'シフト一覧（転載）'!"&amp;BW26&amp;":AK100"))&gt;0)
            *(INDIRECT("'シフト一覧（転載）'!"&amp;BW26&amp;":AK100")&lt;&gt;"休み"),
            1,0),0)+1,4),0),"")</f>
        <v>0</v>
      </c>
    </row>
    <row r="27" spans="1:77" ht="19.2" customHeight="1" x14ac:dyDescent="0.2">
      <c r="A27" s="47">
        <f t="shared" si="4"/>
        <v>0</v>
      </c>
      <c r="B27" s="66">
        <f t="array" aca="1" ref="B27" ca="1">IFERROR(IF(INDIRECT("'Page_" &amp; A27 &amp; "'!Q3")&lt;&gt;"",INDIRECT("'Page_" &amp; A27 &amp; "'!Q3"),INDIRECT("'Page_" &amp; A27 &amp; "'!P3")),0)</f>
        <v>0</v>
      </c>
      <c r="C27" s="43">
        <f t="shared" ca="1" si="0"/>
        <v>0</v>
      </c>
      <c r="D27" s="32">
        <f t="shared" ca="1" si="1"/>
        <v>0</v>
      </c>
      <c r="E27" s="29">
        <f t="shared" ca="1" si="2"/>
        <v>0</v>
      </c>
      <c r="F27" s="70" t="str">
        <f t="array" aca="1" ref="F27" ca="1">IFERROR(INDEX('シフト一覧（転載）'!$C$8:$C$100,
MATCH(1, (ISNUMBER(SEARCH(I27,'シフト一覧（転載）'!$A$8:$A$100)))
*(ISNUMBER(SEARCH($E$9,'シフト一覧（転載）'!$B$8:$B$100))), 0)),"")</f>
        <v/>
      </c>
      <c r="G27" s="61">
        <f t="shared" ca="1" si="3"/>
        <v>0</v>
      </c>
      <c r="H27" s="29">
        <f t="array" aca="1" ref="H27" ca="1">IFERROR(SUM(INDIRECT("'Page_" &amp; A27 &amp; "'!K"&amp;MATCH("有休",INDIRECT("'Page_" &amp; A27 &amp; "'!K:K"),0)+2&amp;"")
+INDIRECT("'Page_" &amp; A27 &amp; "'!L"&amp;MATCH("特休",INDIRECT("'Page_" &amp; A27 &amp; "'!L:L"),0)+2&amp;""))*24,0)</f>
        <v>0</v>
      </c>
      <c r="I27" s="53">
        <f t="array" aca="1" ref="I27" ca="1">IFERROR(_xlfn.TEXTJOIN("", TRUE, IF(ISERR(MID(INDIRECT("'Page_" &amp; A27 &amp; "'!C2"), ROW(INDIRECT("1:" &amp; LEN(INDIRECT("'Page_" &amp; A27 &amp; "'!C2")))), 1)*1), MID(INDIRECT("'Page_" &amp; A27 &amp; "'!C2"), ROW(INDIRECT("1:" &amp; LEN(INDIRECT("'Page_" &amp; A27 &amp; "'!C2")))), 1), "")),0)</f>
        <v>0</v>
      </c>
      <c r="J27" s="54">
        <f t="array" aca="1" ref="J27" ca="1">IFERROR(IF(INDIRECT("'Page_" &amp; A27 &amp; "'!E2")&lt;&gt;"",INDIRECT("'Page_" &amp; A27 &amp; "'!E2"),INDIRECT("'Page_" &amp; A27 &amp; "'!D2")),0)</f>
        <v>0</v>
      </c>
      <c r="K27" s="67"/>
      <c r="M27" s="93"/>
      <c r="N27" s="91"/>
      <c r="O27" s="95"/>
      <c r="P27" s="22">
        <f t="array" aca="1" ref="P27" ca="1">IFERROR(IF(M26&lt;&gt;"",INDEX('シフト一覧（転載）'!$F$8:$AK$100,
    MATCH(1,(ISNUMBER(SEARCH(M26,'シフト一覧（転載）'!$A$8:$A$100)))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MATCH(1,(ISNUMBER(SEARCH(M26,'シフト一覧（転載）'!$A$8:$A$100)))
                *(ISNUMBER(SEARCH($E$9,'シフト一覧（転載）'!$B$8:$B$100))),
                0),0),0)),0),"")</f>
        <v>0</v>
      </c>
      <c r="Q27" s="22">
        <f ca="1">IF(P26=0,0,
IF(OR(P26="",COUNTIF(P26,"*保育無し*")),"",
IF(MOD(P27-P26,1)*24&gt;=8,1,
IF(MOD(P27-P26,1)*24&gt;=6,0.75,0))))</f>
        <v>0</v>
      </c>
      <c r="R27" s="22">
        <f t="array" aca="1" ref="R27" ca="1">IFERROR(IF(Q26&lt;&gt;0,INDEX(
INDIRECT("'シフト一覧（転載）'!"&amp;Q26&amp;":AK100"),1+1,
MATCH(1,INDEX((LEN(INDIRECT("'シフト一覧（転載）'!"&amp;Q26&amp;":AK100"))&gt;0)
*(INDIRECT("'シフト一覧（転載）'!"&amp;Q26&amp;":AK100")&lt;&gt;"休み"),1,0),0)),0),"")</f>
        <v>0</v>
      </c>
      <c r="S27" s="22">
        <f ca="1">IF(R26=0,0,
IF(OR(R26="",COUNTIF(R26,"*保育無し*")),"",
IF(MOD(R27-R26,1)*24&gt;=8,1,
IF(MOD(R27-R26,1)*24&gt;=6,0.75,0))))</f>
        <v>0</v>
      </c>
      <c r="T27" s="22">
        <f t="array" aca="1" ref="T27" ca="1">IFERROR(IF(S26&lt;&gt;0,INDEX(
INDIRECT("'シフト一覧（転載）'!"&amp;S26&amp;":AK100"),1+1,
MATCH(1,INDEX((LEN(INDIRECT("'シフト一覧（転載）'!"&amp;S26&amp;":AK100"))&gt;0)
*(INDIRECT("'シフト一覧（転載）'!"&amp;S26&amp;":AK100")&lt;&gt;"休み"),1,0),0)),0),"")</f>
        <v>0</v>
      </c>
      <c r="U27" s="22">
        <f ca="1">IF(T26=0,0,
IF(OR(T26="",COUNTIF(T26,"*保育無し*")),"",
IF(MOD(T27-T26,1)*24&gt;=8,1,
IF(MOD(T27-T26,1)*24&gt;=6,0.75,0))))</f>
        <v>0</v>
      </c>
      <c r="V27" s="22">
        <f t="array" aca="1" ref="V27" ca="1">IFERROR(IF(U26&lt;&gt;0,INDEX(
INDIRECT("'シフト一覧（転載）'!"&amp;U26&amp;":AK100"),1+1,
MATCH(1,INDEX((LEN(INDIRECT("'シフト一覧（転載）'!"&amp;U26&amp;":AK100"))&gt;0)
*(INDIRECT("'シフト一覧（転載）'!"&amp;U26&amp;":AK100")&lt;&gt;"休み"),1,0),0)),0),"")</f>
        <v>0</v>
      </c>
      <c r="W27" s="22">
        <f ca="1">IF(V26=0,0,
IF(OR(V26="",COUNTIF(V26,"*保育無し*")),"",
IF(MOD(V27-V26,1)*24&gt;=8,1,
IF(MOD(V27-V26,1)*24&gt;=6,0.75,0))))</f>
        <v>0</v>
      </c>
      <c r="X27" s="22">
        <f t="array" aca="1" ref="X27" ca="1">IFERROR(IF(W26&lt;&gt;0,INDEX(
INDIRECT("'シフト一覧（転載）'!"&amp;W26&amp;":AK100"),1+1,
MATCH(1,INDEX((LEN(INDIRECT("'シフト一覧（転載）'!"&amp;W26&amp;":AK100"))&gt;0)
*(INDIRECT("'シフト一覧（転載）'!"&amp;W26&amp;":AK100")&lt;&gt;"休み"),1,0),0)),0),"")</f>
        <v>0</v>
      </c>
      <c r="Y27" s="22">
        <f ca="1">IF(X26=0,0,
IF(OR(X26="",COUNTIF(X26,"*保育無し*")),"",
IF(MOD(X27-X26,1)*24&gt;=8,1,
IF(MOD(X27-X26,1)*24&gt;=6,0.75,0))))</f>
        <v>0</v>
      </c>
      <c r="Z27" s="22">
        <f t="array" aca="1" ref="Z27" ca="1">IFERROR(IF(Y26&lt;&gt;0,INDEX(
INDIRECT("'シフト一覧（転載）'!"&amp;Y26&amp;":AK100"),1+1,
MATCH(1,INDEX((LEN(INDIRECT("'シフト一覧（転載）'!"&amp;Y26&amp;":AK100"))&gt;0)
*(INDIRECT("'シフト一覧（転載）'!"&amp;Y26&amp;":AK100")&lt;&gt;"休み"),1,0),0)),0),"")</f>
        <v>0</v>
      </c>
      <c r="AA27" s="22">
        <f ca="1">IF(Z26=0,0,
IF(OR(Z26="",COUNTIF(Z26,"*保育無し*")),"",
IF(MOD(Z27-Z26,1)*24&gt;=8,1,
IF(MOD(Z27-Z26,1)*24&gt;=6,0.75,0))))</f>
        <v>0</v>
      </c>
      <c r="AB27" s="22">
        <f t="array" aca="1" ref="AB27" ca="1">IFERROR(IF(AA26&lt;&gt;0,INDEX(
INDIRECT("'シフト一覧（転載）'!"&amp;AA26&amp;":AK100"),1+1,
MATCH(1,INDEX((LEN(INDIRECT("'シフト一覧（転載）'!"&amp;AA26&amp;":AK100"))&gt;0)
*(INDIRECT("'シフト一覧（転載）'!"&amp;AA26&amp;":AK100")&lt;&gt;"休み"),1,0),0)),0),"")</f>
        <v>0</v>
      </c>
      <c r="AC27" s="22">
        <f ca="1">IF(AB26=0,0,
IF(OR(AB26="",COUNTIF(AB26,"*保育無し*")),"",
IF(MOD(AB27-AB26,1)*24&gt;=8,1,
IF(MOD(AB27-AB26,1)*24&gt;=6,0.75,0))))</f>
        <v>0</v>
      </c>
      <c r="AD27" s="22">
        <f t="array" aca="1" ref="AD27" ca="1">IFERROR(IF(AC26&lt;&gt;0,INDEX(
INDIRECT("'シフト一覧（転載）'!"&amp;AC26&amp;":AK100"),1+1,
MATCH(1,INDEX((LEN(INDIRECT("'シフト一覧（転載）'!"&amp;AC26&amp;":AK100"))&gt;0)
*(INDIRECT("'シフト一覧（転載）'!"&amp;AC26&amp;":AK100")&lt;&gt;"休み"),1,0),0)),0),"")</f>
        <v>0</v>
      </c>
      <c r="AE27" s="22">
        <f ca="1">IF(AD26=0,0,
IF(OR(AD26="",COUNTIF(AD26,"*保育無し*")),"",
IF(MOD(AD27-AD26,1)*24&gt;=8,1,
IF(MOD(AD27-AD26,1)*24&gt;=6,0.75,0))))</f>
        <v>0</v>
      </c>
      <c r="AF27" s="22">
        <f t="array" aca="1" ref="AF27" ca="1">IFERROR(IF(AE26&lt;&gt;0,INDEX(
INDIRECT("'シフト一覧（転載）'!"&amp;AE26&amp;":AK100"),1+1,
MATCH(1,INDEX((LEN(INDIRECT("'シフト一覧（転載）'!"&amp;AE26&amp;":AK100"))&gt;0)
*(INDIRECT("'シフト一覧（転載）'!"&amp;AE26&amp;":AK100")&lt;&gt;"休み"),1,0),0)),0),"")</f>
        <v>0</v>
      </c>
      <c r="AG27" s="22">
        <f ca="1">IF(AF26=0,0,
IF(OR(AF26="",COUNTIF(AF26,"*保育無し*")),"",
IF(MOD(AF27-AF26,1)*24&gt;=8,1,
IF(MOD(AF27-AF26,1)*24&gt;=6,0.75,0))))</f>
        <v>0</v>
      </c>
      <c r="AH27" s="22">
        <f t="array" aca="1" ref="AH27" ca="1">IFERROR(IF(AG26&lt;&gt;0,INDEX(
INDIRECT("'シフト一覧（転載）'!"&amp;AG26&amp;":AK100"),1+1,
MATCH(1,INDEX((LEN(INDIRECT("'シフト一覧（転載）'!"&amp;AG26&amp;":AK100"))&gt;0)
*(INDIRECT("'シフト一覧（転載）'!"&amp;AG26&amp;":AK100")&lt;&gt;"休み"),1,0),0)),0),"")</f>
        <v>0</v>
      </c>
      <c r="AI27" s="22">
        <f ca="1">IF(AH26=0,0,
IF(OR(AH26="",COUNTIF(AH26,"*保育無し*")),"",
IF(MOD(AH27-AH26,1)*24&gt;=8,1,
IF(MOD(AH27-AH26,1)*24&gt;=6,0.75,0))))</f>
        <v>0</v>
      </c>
      <c r="AJ27" s="22">
        <f t="array" aca="1" ref="AJ27" ca="1">IFERROR(IF(AI26&lt;&gt;0,INDEX(
INDIRECT("'シフト一覧（転載）'!"&amp;AI26&amp;":AK100"),1+1,
MATCH(1,INDEX((LEN(INDIRECT("'シフト一覧（転載）'!"&amp;AI26&amp;":AK100"))&gt;0)
*(INDIRECT("'シフト一覧（転載）'!"&amp;AI26&amp;":AK100")&lt;&gt;"休み"),1,0),0)),0),"")</f>
        <v>0</v>
      </c>
      <c r="AK27" s="22">
        <f ca="1">IF(AJ26=0,0,
IF(OR(AJ26="",COUNTIF(AJ26,"*保育無し*")),"",
IF(MOD(AJ27-AJ26,1)*24&gt;=8,1,
IF(MOD(AJ27-AJ26,1)*24&gt;=6,0.75,0))))</f>
        <v>0</v>
      </c>
      <c r="AL27" s="22">
        <f t="array" aca="1" ref="AL27" ca="1">IFERROR(IF(AK26&lt;&gt;0,INDEX(
INDIRECT("'シフト一覧（転載）'!"&amp;AK26&amp;":AK100"),1+1,
MATCH(1,INDEX((LEN(INDIRECT("'シフト一覧（転載）'!"&amp;AK26&amp;":AK100"))&gt;0)
*(INDIRECT("'シフト一覧（転載）'!"&amp;AK26&amp;":AK100")&lt;&gt;"休み"),1,0),0)),0),"")</f>
        <v>0</v>
      </c>
      <c r="AM27" s="22">
        <f ca="1">IF(AL26=0,0,
IF(OR(AL26="",COUNTIF(AL26,"*保育無し*")),"",
IF(MOD(AL27-AL26,1)*24&gt;=8,1,
IF(MOD(AL27-AL26,1)*24&gt;=6,0.75,0))))</f>
        <v>0</v>
      </c>
      <c r="AN27" s="22">
        <f t="array" aca="1" ref="AN27" ca="1">IFERROR(IF(AM26&lt;&gt;0,INDEX(
INDIRECT("'シフト一覧（転載）'!"&amp;AM26&amp;":AK100"),1+1,
MATCH(1,INDEX((LEN(INDIRECT("'シフト一覧（転載）'!"&amp;AM26&amp;":AK100"))&gt;0)
*(INDIRECT("'シフト一覧（転載）'!"&amp;AM26&amp;":AK100")&lt;&gt;"休み"),1,0),0)),0),"")</f>
        <v>0</v>
      </c>
      <c r="AO27" s="22">
        <f ca="1">IF(AN26=0,0,
IF(OR(AN26="",COUNTIF(AN26,"*保育無し*")),"",
IF(MOD(AN27-AN26,1)*24&gt;=8,1,
IF(MOD(AN27-AN26,1)*24&gt;=6,0.75,0))))</f>
        <v>0</v>
      </c>
      <c r="AP27" s="22">
        <f t="array" aca="1" ref="AP27" ca="1">IFERROR(IF(AO26&lt;&gt;0,INDEX(
INDIRECT("'シフト一覧（転載）'!"&amp;AO26&amp;":AK100"),1+1,
MATCH(1,INDEX((LEN(INDIRECT("'シフト一覧（転載）'!"&amp;AO26&amp;":AK100"))&gt;0)
*(INDIRECT("'シフト一覧（転載）'!"&amp;AO26&amp;":AK100")&lt;&gt;"休み"),1,0),0)),0),"")</f>
        <v>0</v>
      </c>
      <c r="AQ27" s="22">
        <f ca="1">IF(AP26=0,0,
IF(OR(AP26="",COUNTIF(AP26,"*保育無し*")),"",
IF(MOD(AP27-AP26,1)*24&gt;=8,1,
IF(MOD(AP27-AP26,1)*24&gt;=6,0.75,0))))</f>
        <v>0</v>
      </c>
      <c r="AR27" s="22">
        <f t="array" aca="1" ref="AR27" ca="1">IFERROR(IF(AQ26&lt;&gt;0,INDEX(
INDIRECT("'シフト一覧（転載）'!"&amp;AQ26&amp;":AK100"),1+1,
MATCH(1,INDEX((LEN(INDIRECT("'シフト一覧（転載）'!"&amp;AQ26&amp;":AK100"))&gt;0)
*(INDIRECT("'シフト一覧（転載）'!"&amp;AQ26&amp;":AK100")&lt;&gt;"休み"),1,0),0)),0),"")</f>
        <v>0</v>
      </c>
      <c r="AS27" s="22">
        <f ca="1">IF(AR26=0,0,
IF(OR(AR26="",COUNTIF(AR26,"*保育無し*")),"",
IF(MOD(AR27-AR26,1)*24&gt;=8,1,
IF(MOD(AR27-AR26,1)*24&gt;=6,0.75,0))))</f>
        <v>0</v>
      </c>
      <c r="AT27" s="22">
        <f t="array" aca="1" ref="AT27" ca="1">IFERROR(IF(AS26&lt;&gt;0,INDEX(
INDIRECT("'シフト一覧（転載）'!"&amp;AS26&amp;":AK100"),1+1,
MATCH(1,INDEX((LEN(INDIRECT("'シフト一覧（転載）'!"&amp;AS26&amp;":AK100"))&gt;0)
*(INDIRECT("'シフト一覧（転載）'!"&amp;AS26&amp;":AK100")&lt;&gt;"休み"),1,0),0)),0),"")</f>
        <v>0</v>
      </c>
      <c r="AU27" s="22">
        <f ca="1">IF(AT26=0,0,
IF(OR(AT26="",COUNTIF(AT26,"*保育無し*")),"",
IF(MOD(AT27-AT26,1)*24&gt;=8,1,
IF(MOD(AT27-AT26,1)*24&gt;=6,0.75,0))))</f>
        <v>0</v>
      </c>
      <c r="AV27" s="22">
        <f t="array" aca="1" ref="AV27" ca="1">IFERROR(IF(AU26&lt;&gt;0,INDEX(
INDIRECT("'シフト一覧（転載）'!"&amp;AU26&amp;":AK100"),1+1,
MATCH(1,INDEX((LEN(INDIRECT("'シフト一覧（転載）'!"&amp;AU26&amp;":AK100"))&gt;0)
*(INDIRECT("'シフト一覧（転載）'!"&amp;AU26&amp;":AK100")&lt;&gt;"休み"),1,0),0)),0),"")</f>
        <v>0</v>
      </c>
      <c r="AW27" s="22">
        <f ca="1">IF(AV26=0,0,
IF(OR(AV26="",COUNTIF(AV26,"*保育無し*")),"",
IF(MOD(AV27-AV26,1)*24&gt;=8,1,
IF(MOD(AV27-AV26,1)*24&gt;=6,0.75,0))))</f>
        <v>0</v>
      </c>
      <c r="AX27" s="22">
        <f t="array" aca="1" ref="AX27" ca="1">IFERROR(IF(AW26&lt;&gt;0,INDEX(
INDIRECT("'シフト一覧（転載）'!"&amp;AW26&amp;":AK100"),1+1,
MATCH(1,INDEX((LEN(INDIRECT("'シフト一覧（転載）'!"&amp;AW26&amp;":AK100"))&gt;0)
*(INDIRECT("'シフト一覧（転載）'!"&amp;AW26&amp;":AK100")&lt;&gt;"休み"),1,0),0)),0),"")</f>
        <v>0</v>
      </c>
      <c r="AY27" s="22">
        <f ca="1">IF(AX26=0,0,
IF(OR(AX26="",COUNTIF(AX26,"*保育無し*")),"",
IF(MOD(AX27-AX26,1)*24&gt;=8,1,
IF(MOD(AX27-AX26,1)*24&gt;=6,0.75,0))))</f>
        <v>0</v>
      </c>
      <c r="AZ27" s="22">
        <f t="array" aca="1" ref="AZ27" ca="1">IFERROR(IF(AY26&lt;&gt;0,INDEX(
INDIRECT("'シフト一覧（転載）'!"&amp;AY26&amp;":AK100"),1+1,
MATCH(1,INDEX((LEN(INDIRECT("'シフト一覧（転載）'!"&amp;AY26&amp;":AK100"))&gt;0)
*(INDIRECT("'シフト一覧（転載）'!"&amp;AY26&amp;":AK100")&lt;&gt;"休み"),1,0),0)),0),"")</f>
        <v>0</v>
      </c>
      <c r="BA27" s="22">
        <f ca="1">IF(AZ26=0,0,
IF(OR(AZ26="",COUNTIF(AZ26,"*保育無し*")),"",
IF(MOD(AZ27-AZ26,1)*24&gt;=8,1,
IF(MOD(AZ27-AZ26,1)*24&gt;=6,0.75,0))))</f>
        <v>0</v>
      </c>
      <c r="BB27" s="22">
        <f t="array" aca="1" ref="BB27" ca="1">IFERROR(IF(BA26&lt;&gt;0,INDEX(
INDIRECT("'シフト一覧（転載）'!"&amp;BA26&amp;":AK100"),1+1,
MATCH(1,INDEX((LEN(INDIRECT("'シフト一覧（転載）'!"&amp;BA26&amp;":AK100"))&gt;0)
*(INDIRECT("'シフト一覧（転載）'!"&amp;BA26&amp;":AK100")&lt;&gt;"休み"),1,0),0)),0),"")</f>
        <v>0</v>
      </c>
      <c r="BC27" s="22">
        <f ca="1">IF(BB26=0,0,
IF(OR(BB26="",COUNTIF(BB26,"*保育無し*")),"",
IF(MOD(BB27-BB26,1)*24&gt;=8,1,
IF(MOD(BB27-BB26,1)*24&gt;=6,0.75,0))))</f>
        <v>0</v>
      </c>
      <c r="BD27" s="22">
        <f t="array" aca="1" ref="BD27" ca="1">IFERROR(IF(BC26&lt;&gt;0,INDEX(
INDIRECT("'シフト一覧（転載）'!"&amp;BC26&amp;":AK100"),1+1,
MATCH(1,INDEX((LEN(INDIRECT("'シフト一覧（転載）'!"&amp;BC26&amp;":AK100"))&gt;0)
*(INDIRECT("'シフト一覧（転載）'!"&amp;BC26&amp;":AK100")&lt;&gt;"休み"),1,0),0)),0),"")</f>
        <v>0</v>
      </c>
      <c r="BE27" s="22">
        <f ca="1">IF(BD26=0,0,
IF(OR(BD26="",COUNTIF(BD26,"*保育無し*")),"",
IF(MOD(BD27-BD26,1)*24&gt;=8,1,
IF(MOD(BD27-BD26,1)*24&gt;=6,0.75,0))))</f>
        <v>0</v>
      </c>
      <c r="BF27" s="22">
        <f t="array" aca="1" ref="BF27" ca="1">IFERROR(IF(BE26&lt;&gt;0,INDEX(
INDIRECT("'シフト一覧（転載）'!"&amp;BE26&amp;":AK100"),1+1,
MATCH(1,INDEX((LEN(INDIRECT("'シフト一覧（転載）'!"&amp;BE26&amp;":AK100"))&gt;0)
*(INDIRECT("'シフト一覧（転載）'!"&amp;BE26&amp;":AK100")&lt;&gt;"休み"),1,0),0)),0),"")</f>
        <v>0</v>
      </c>
      <c r="BG27" s="22">
        <f ca="1">IF(BF26=0,0,
IF(OR(BF26="",COUNTIF(BF26,"*保育無し*")),"",
IF(MOD(BF27-BF26,1)*24&gt;=8,1,
IF(MOD(BF27-BF26,1)*24&gt;=6,0.75,0))))</f>
        <v>0</v>
      </c>
      <c r="BH27" s="22">
        <f t="array" aca="1" ref="BH27" ca="1">IFERROR(IF(BG26&lt;&gt;0,INDEX(
INDIRECT("'シフト一覧（転載）'!"&amp;BG26&amp;":AK100"),1+1,
MATCH(1,INDEX((LEN(INDIRECT("'シフト一覧（転載）'!"&amp;BG26&amp;":AK100"))&gt;0)
*(INDIRECT("'シフト一覧（転載）'!"&amp;BG26&amp;":AK100")&lt;&gt;"休み"),1,0),0)),0),"")</f>
        <v>0</v>
      </c>
      <c r="BI27" s="22">
        <f ca="1">IF(BH26=0,0,
IF(OR(BH26="",COUNTIF(BH26,"*保育無し*")),"",
IF(MOD(BH27-BH26,1)*24&gt;=8,1,
IF(MOD(BH27-BH26,1)*24&gt;=6,0.75,0))))</f>
        <v>0</v>
      </c>
      <c r="BJ27" s="22">
        <f t="array" aca="1" ref="BJ27" ca="1">IFERROR(IF(BI26&lt;&gt;0,INDEX(
INDIRECT("'シフト一覧（転載）'!"&amp;BI26&amp;":AK100"),1+1,
MATCH(1,INDEX((LEN(INDIRECT("'シフト一覧（転載）'!"&amp;BI26&amp;":AK100"))&gt;0)
*(INDIRECT("'シフト一覧（転載）'!"&amp;BI26&amp;":AK100")&lt;&gt;"休み"),1,0),0)),0),"")</f>
        <v>0</v>
      </c>
      <c r="BK27" s="22">
        <f ca="1">IF(BJ26=0,0,
IF(OR(BJ26="",COUNTIF(BJ26,"*保育無し*")),"",
IF(MOD(BJ27-BJ26,1)*24&gt;=8,1,
IF(MOD(BJ27-BJ26,1)*24&gt;=6,0.75,0))))</f>
        <v>0</v>
      </c>
      <c r="BL27" s="22">
        <f t="array" aca="1" ref="BL27" ca="1">IFERROR(IF(BK26&lt;&gt;0,INDEX(
INDIRECT("'シフト一覧（転載）'!"&amp;BK26&amp;":AK100"),1+1,
MATCH(1,INDEX((LEN(INDIRECT("'シフト一覧（転載）'!"&amp;BK26&amp;":AK100"))&gt;0)
*(INDIRECT("'シフト一覧（転載）'!"&amp;BK26&amp;":AK100")&lt;&gt;"休み"),1,0),0)),0),"")</f>
        <v>0</v>
      </c>
      <c r="BM27" s="22">
        <f ca="1">IF(BL26=0,0,
IF(OR(BL26="",COUNTIF(BL26,"*保育無し*")),"",
IF(MOD(BL27-BL26,1)*24&gt;=8,1,
IF(MOD(BL27-BL26,1)*24&gt;=6,0.75,0))))</f>
        <v>0</v>
      </c>
      <c r="BN27" s="22">
        <f t="array" aca="1" ref="BN27" ca="1">IFERROR(IF(BM26&lt;&gt;0,INDEX(
INDIRECT("'シフト一覧（転載）'!"&amp;BM26&amp;":AK100"),1+1,
MATCH(1,INDEX((LEN(INDIRECT("'シフト一覧（転載）'!"&amp;BM26&amp;":AK100"))&gt;0)
*(INDIRECT("'シフト一覧（転載）'!"&amp;BM26&amp;":AK100")&lt;&gt;"休み"),1,0),0)),0),"")</f>
        <v>0</v>
      </c>
      <c r="BO27" s="22">
        <f ca="1">IF(BN26=0,0,
IF(OR(BN26="",COUNTIF(BN26,"*保育無し*")),"",
IF(MOD(BN27-BN26,1)*24&gt;=8,1,
IF(MOD(BN27-BN26,1)*24&gt;=6,0.75,0))))</f>
        <v>0</v>
      </c>
      <c r="BP27" s="22">
        <f t="array" aca="1" ref="BP27" ca="1">IFERROR(IF(BO26&lt;&gt;0,INDEX(
INDIRECT("'シフト一覧（転載）'!"&amp;BO26&amp;":AK100"),1+1,
MATCH(1,INDEX((LEN(INDIRECT("'シフト一覧（転載）'!"&amp;BO26&amp;":AK100"))&gt;0)
*(INDIRECT("'シフト一覧（転載）'!"&amp;BO26&amp;":AK100")&lt;&gt;"休み"),1,0),0)),0),"")</f>
        <v>0</v>
      </c>
      <c r="BQ27" s="22">
        <f ca="1">IF(BP26=0,0,
IF(OR(BP26="",COUNTIF(BP26,"*保育無し*")),"",
IF(MOD(BP27-BP26,1)*24&gt;=8,1,
IF(MOD(BP27-BP26,1)*24&gt;=6,0.75,0))))</f>
        <v>0</v>
      </c>
      <c r="BR27" s="22">
        <f t="array" aca="1" ref="BR27" ca="1">IFERROR(IF(BQ26&lt;&gt;0,INDEX(
INDIRECT("'シフト一覧（転載）'!"&amp;BQ26&amp;":AK100"),1+1,
MATCH(1,INDEX((LEN(INDIRECT("'シフト一覧（転載）'!"&amp;BQ26&amp;":AK100"))&gt;0)
*(INDIRECT("'シフト一覧（転載）'!"&amp;BQ26&amp;":AK100")&lt;&gt;"休み"),1,0),0)),0),"")</f>
        <v>0</v>
      </c>
      <c r="BS27" s="22">
        <f ca="1">IF(BR26=0,0,
IF(OR(BR26="",COUNTIF(BR26,"*保育無し*")),"",
IF(MOD(BR27-BR26,1)*24&gt;=8,1,
IF(MOD(BR27-BR26,1)*24&gt;=6,0.75,0))))</f>
        <v>0</v>
      </c>
      <c r="BT27" s="22">
        <f t="array" aca="1" ref="BT27" ca="1">IFERROR(IF(BS26&lt;&gt;0,INDEX(
INDIRECT("'シフト一覧（転載）'!"&amp;BS26&amp;":AK100"),1+1,
MATCH(1,INDEX((LEN(INDIRECT("'シフト一覧（転載）'!"&amp;BS26&amp;":AK100"))&gt;0)
*(INDIRECT("'シフト一覧（転載）'!"&amp;BS26&amp;":AK100")&lt;&gt;"休み"),1,0),0)),0),"")</f>
        <v>0</v>
      </c>
      <c r="BU27" s="22">
        <f ca="1">IF(BT26=0,0,
IF(OR(BT26="",COUNTIF(BT26,"*保育無し*")),"",
IF(MOD(BT27-BT26,1)*24&gt;=8,1,
IF(MOD(BT27-BT26,1)*24&gt;=6,0.75,0))))</f>
        <v>0</v>
      </c>
      <c r="BV27" s="22">
        <f t="array" aca="1" ref="BV27" ca="1">IFERROR(IF(BU26&lt;&gt;0,INDEX(
INDIRECT("'シフト一覧（転載）'!"&amp;BU26&amp;":AK100"),1+1,
MATCH(1,INDEX((LEN(INDIRECT("'シフト一覧（転載）'!"&amp;BU26&amp;":AK100"))&gt;0)
*(INDIRECT("'シフト一覧（転載）'!"&amp;BU26&amp;":AK100")&lt;&gt;"休み"),1,0),0)),0),"")</f>
        <v>0</v>
      </c>
      <c r="BW27" s="22">
        <f ca="1">IF(BV26=0,0,
IF(OR(BV26="",COUNTIF(BV26,"*保育無し*")),"",
IF(MOD(BV27-BV26,1)*24&gt;=8,1,
IF(MOD(BV27-BV26,1)*24&gt;=6,0.75,0))))</f>
        <v>0</v>
      </c>
      <c r="BX27" s="22">
        <f t="array" aca="1" ref="BX27" ca="1">IFERROR(IF(BW26&lt;&gt;0,INDEX(
INDIRECT("'シフト一覧（転載）'!"&amp;BW26&amp;":AK100"),1+1,
MATCH(1,INDEX((LEN(INDIRECT("'シフト一覧（転載）'!"&amp;BW26&amp;":AK100"))&gt;0)
*(INDIRECT("'シフト一覧（転載）'!"&amp;BW26&amp;":AK100")&lt;&gt;"休み"),1,0),0)),0),"")</f>
        <v>0</v>
      </c>
      <c r="BY27" s="22">
        <f ca="1">IF(BX26=0,0,
IF(OR(BX26="",COUNTIF(BX26,"*保育無し*")),"",
IF(MOD(BX27-BX26,1)*24&gt;=8,1,
IF(MOD(BX27-BX26,1)*24&gt;=6,0.75,0))))</f>
        <v>0</v>
      </c>
    </row>
    <row r="28" spans="1:77" ht="19.2" customHeight="1" x14ac:dyDescent="0.2">
      <c r="M28" s="92" t="str">
        <f t="array" aca="1" ref="M28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8" s="90" t="str">
        <f ca="1">IF(M28&lt;&gt;"",VLOOKUP(M28,$I$12:$J$27,2,FALSE),"")</f>
        <v/>
      </c>
      <c r="O28" s="94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21">
        <f t="array" aca="1" ref="P28" ca="1">IFERROR(IF(M28&lt;&gt;"",INDEX('シフト一覧（転載）'!$F$8:$AK$100,
    MATCH(1,(ISNUMBER(SEARCH(M28,'シフト一覧（転載）'!$A$8:$A$100)))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MATCH(1,(ISNUMBER(SEARCH(M28,'シフト一覧（転載）'!$A$8:$A$100)))
                *(ISNUMBER(SEARCH($E$9,'シフト一覧（転載）'!$B$8:$B$100))),
                0),0),0)),0),$E$9&amp;"保育無し")</f>
        <v>0</v>
      </c>
      <c r="Q28" s="21">
        <f t="array" aca="1" ref="Q28" ca="1">IFERROR(IF(COUNTIF(P28,"*無*"),"",IF(M28&lt;&gt;"",ADDRESS(
    MATCH(1,(ISNUMBER(SEARCH(M28,'シフト一覧（転載）'!$A$8:$A$100)))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MATCH(1,(ISNUMBER(SEARCH(M28,'シフト一覧（転載）'!$A$8:$A$100)))
                *(ISNUMBER(SEARCH($E$9,'シフト一覧（転載）'!$B$8:$B$100))),0),0),0) + 6,4),0)),0)</f>
        <v>0</v>
      </c>
      <c r="R28" s="21">
        <f t="array" aca="1" ref="R28" ca="1">IFERROR(IF(Q28&lt;&gt;"",IF(Q28&lt;&gt;0,INDEX(
INDIRECT("'シフト一覧（転載）'!"&amp;Q28&amp;":AK100"),1,
MATCH(1,INDEX((LEN(INDIRECT("'シフト一覧（転載）'!"&amp;Q28&amp;":AK100"))&gt;0)
*(INDIRECT("'シフト一覧（転載）'!"&amp;Q28&amp;":AK100")&lt;&gt;"休み"),1,0),0)),0),""),$E$9&amp;"保育無し")</f>
        <v>0</v>
      </c>
      <c r="S28" s="21">
        <f t="array" aca="1" ref="S28" ca="1">IFERROR(IF(Q28&lt;&gt;0,ADDRESS(ROW(INDIRECT(Q28)),
    COLUMN(INDIRECT(Q28)) - 1 +
    MATCH(1,INDEX((LEN(INDIRECT("'シフト一覧（転載）'!"&amp;Q28&amp;":AK100"))&gt;0)
            *(INDIRECT("'シフト一覧（転載）'!"&amp;Q28&amp;":AK100")&lt;&gt;"休み"),
            1,0),0)+1,4),0),"")</f>
        <v>0</v>
      </c>
      <c r="T28" s="21">
        <f t="array" aca="1" ref="T28" ca="1">IFERROR(IF(S28&lt;&gt;"",IF(S28&lt;&gt;0,INDEX(
INDIRECT("'シフト一覧（転載）'!"&amp;S28&amp;":AK100"),1,
MATCH(1,INDEX((LEN(INDIRECT("'シフト一覧（転載）'!"&amp;S28&amp;":AK100"))&gt;0)
*(INDIRECT("'シフト一覧（転載）'!"&amp;S28&amp;":AK100")&lt;&gt;"休み"),1,0),0)),0),""),$E$9&amp;"保育無し")</f>
        <v>0</v>
      </c>
      <c r="U28" s="21">
        <f t="array" aca="1" ref="U28" ca="1">IFERROR(IF(S28&lt;&gt;0,ADDRESS(ROW(INDIRECT(S28)),
    COLUMN(INDIRECT(S28)) - 1 +
    MATCH(1,INDEX((LEN(INDIRECT("'シフト一覧（転載）'!"&amp;S28&amp;":AK100"))&gt;0)
            *(INDIRECT("'シフト一覧（転載）'!"&amp;S28&amp;":AK100")&lt;&gt;"休み"),
            1,0),0)+1,4),0),"")</f>
        <v>0</v>
      </c>
      <c r="V28" s="21">
        <f t="array" aca="1" ref="V28" ca="1">IFERROR(IF(U28&lt;&gt;"",IF(U28&lt;&gt;0,INDEX(
INDIRECT("'シフト一覧（転載）'!"&amp;U28&amp;":AK100"),1,
MATCH(1,INDEX((LEN(INDIRECT("'シフト一覧（転載）'!"&amp;U28&amp;":AK100"))&gt;0)
*(INDIRECT("'シフト一覧（転載）'!"&amp;U28&amp;":AK100")&lt;&gt;"休み"),1,0),0)),0),""),$E$9&amp;"保育無し")</f>
        <v>0</v>
      </c>
      <c r="W28" s="21">
        <f t="array" aca="1" ref="W28" ca="1">IFERROR(IF(U28&lt;&gt;0,ADDRESS(ROW(INDIRECT(U28)),
    COLUMN(INDIRECT(U28)) - 1 +
    MATCH(1,INDEX((LEN(INDIRECT("'シフト一覧（転載）'!"&amp;U28&amp;":AK100"))&gt;0)
            *(INDIRECT("'シフト一覧（転載）'!"&amp;U28&amp;":AK100")&lt;&gt;"休み"),
            1,0),0)+1,4),0),"")</f>
        <v>0</v>
      </c>
      <c r="X28" s="21">
        <f t="array" aca="1" ref="X28" ca="1">IFERROR(IF(W28&lt;&gt;"",IF(W28&lt;&gt;0,INDEX(
INDIRECT("'シフト一覧（転載）'!"&amp;W28&amp;":AK100"),1,
MATCH(1,INDEX((LEN(INDIRECT("'シフト一覧（転載）'!"&amp;W28&amp;":AK100"))&gt;0)
*(INDIRECT("'シフト一覧（転載）'!"&amp;W28&amp;":AK100")&lt;&gt;"休み"),1,0),0)),0),""),$E$9&amp;"保育無し")</f>
        <v>0</v>
      </c>
      <c r="Y28" s="21">
        <f t="array" aca="1" ref="Y28" ca="1">IFERROR(IF(W28&lt;&gt;0,ADDRESS(ROW(INDIRECT(W28)),
    COLUMN(INDIRECT(W28)) - 1 +
    MATCH(1,INDEX((LEN(INDIRECT("'シフト一覧（転載）'!"&amp;W28&amp;":AK100"))&gt;0)
            *(INDIRECT("'シフト一覧（転載）'!"&amp;W28&amp;":AK100")&lt;&gt;"休み"),
            1,0),0)+1,4),0),"")</f>
        <v>0</v>
      </c>
      <c r="Z28" s="21">
        <f t="array" aca="1" ref="Z28" ca="1">IFERROR(IF(Y28&lt;&gt;"",IF(Y28&lt;&gt;0,INDEX(
INDIRECT("'シフト一覧（転載）'!"&amp;Y28&amp;":AK100"),1,
MATCH(1,INDEX((LEN(INDIRECT("'シフト一覧（転載）'!"&amp;Y28&amp;":AK100"))&gt;0)
*(INDIRECT("'シフト一覧（転載）'!"&amp;Y28&amp;":AK100")&lt;&gt;"休み"),1,0),0)),0),""),$E$9&amp;"保育無し")</f>
        <v>0</v>
      </c>
      <c r="AA28" s="21">
        <f t="array" aca="1" ref="AA28" ca="1">IFERROR(IF(Y28&lt;&gt;0,ADDRESS(ROW(INDIRECT(Y28)),
    COLUMN(INDIRECT(Y28)) - 1 +
    MATCH(1,INDEX((LEN(INDIRECT("'シフト一覧（転載）'!"&amp;Y28&amp;":AK100"))&gt;0)
            *(INDIRECT("'シフト一覧（転載）'!"&amp;Y28&amp;":AK100")&lt;&gt;"休み"),
            1,0),0)+1,4),0),"")</f>
        <v>0</v>
      </c>
      <c r="AB28" s="21">
        <f t="array" aca="1" ref="AB28" ca="1">IFERROR(IF(AA28&lt;&gt;"",IF(AA28&lt;&gt;0,INDEX(
INDIRECT("'シフト一覧（転載）'!"&amp;AA28&amp;":AK100"),1,
MATCH(1,INDEX((LEN(INDIRECT("'シフト一覧（転載）'!"&amp;AA28&amp;":AK100"))&gt;0)
*(INDIRECT("'シフト一覧（転載）'!"&amp;AA28&amp;":AK100")&lt;&gt;"休み"),1,0),0)),0),""),$E$9&amp;"保育無し")</f>
        <v>0</v>
      </c>
      <c r="AC28" s="21">
        <f t="array" aca="1" ref="AC28" ca="1">IFERROR(IF(AA28&lt;&gt;0,ADDRESS(ROW(INDIRECT(AA28)),
    COLUMN(INDIRECT(AA28)) - 1 +
    MATCH(1,INDEX((LEN(INDIRECT("'シフト一覧（転載）'!"&amp;AA28&amp;":AK100"))&gt;0)
            *(INDIRECT("'シフト一覧（転載）'!"&amp;AA28&amp;":AK100")&lt;&gt;"休み"),
            1,0),0)+1,4),0),"")</f>
        <v>0</v>
      </c>
      <c r="AD28" s="21">
        <f t="array" aca="1" ref="AD28" ca="1">IFERROR(IF(AC28&lt;&gt;"",IF(AC28&lt;&gt;0,INDEX(
INDIRECT("'シフト一覧（転載）'!"&amp;AC28&amp;":AK100"),1,
MATCH(1,INDEX((LEN(INDIRECT("'シフト一覧（転載）'!"&amp;AC28&amp;":AK100"))&gt;0)
*(INDIRECT("'シフト一覧（転載）'!"&amp;AC28&amp;":AK100")&lt;&gt;"休み"),1,0),0)),0),""),$E$9&amp;"保育無し")</f>
        <v>0</v>
      </c>
      <c r="AE28" s="21">
        <f t="array" aca="1" ref="AE28" ca="1">IFERROR(IF(AC28&lt;&gt;0,ADDRESS(ROW(INDIRECT(AC28)),
    COLUMN(INDIRECT(AC28)) - 1 +
    MATCH(1,INDEX((LEN(INDIRECT("'シフト一覧（転載）'!"&amp;AC28&amp;":AK100"))&gt;0)
            *(INDIRECT("'シフト一覧（転載）'!"&amp;AC28&amp;":AK100")&lt;&gt;"休み"),
            1,0),0)+1,4),0),"")</f>
        <v>0</v>
      </c>
      <c r="AF28" s="21">
        <f t="array" aca="1" ref="AF28" ca="1">IFERROR(IF(AE28&lt;&gt;"",IF(AE28&lt;&gt;0,INDEX(
INDIRECT("'シフト一覧（転載）'!"&amp;AE28&amp;":AK100"),1,
MATCH(1,INDEX((LEN(INDIRECT("'シフト一覧（転載）'!"&amp;AE28&amp;":AK100"))&gt;0)
*(INDIRECT("'シフト一覧（転載）'!"&amp;AE28&amp;":AK100")&lt;&gt;"休み"),1,0),0)),0),""),$E$9&amp;"保育無し")</f>
        <v>0</v>
      </c>
      <c r="AG28" s="21">
        <f t="array" aca="1" ref="AG28" ca="1">IFERROR(IF(AE28&lt;&gt;0,ADDRESS(ROW(INDIRECT(AE28)),
    COLUMN(INDIRECT(AE28)) - 1 +
    MATCH(1,INDEX((LEN(INDIRECT("'シフト一覧（転載）'!"&amp;AE28&amp;":AK100"))&gt;0)
            *(INDIRECT("'シフト一覧（転載）'!"&amp;AE28&amp;":AK100")&lt;&gt;"休み"),
            1,0),0)+1,4),0),"")</f>
        <v>0</v>
      </c>
      <c r="AH28" s="21">
        <f t="array" aca="1" ref="AH28" ca="1">IFERROR(IF(AG28&lt;&gt;"",IF(AG28&lt;&gt;0,INDEX(
INDIRECT("'シフト一覧（転載）'!"&amp;AG28&amp;":AK100"),1,
MATCH(1,INDEX((LEN(INDIRECT("'シフト一覧（転載）'!"&amp;AG28&amp;":AK100"))&gt;0)
*(INDIRECT("'シフト一覧（転載）'!"&amp;AG28&amp;":AK100")&lt;&gt;"休み"),1,0),0)),0),""),$E$9&amp;"保育無し")</f>
        <v>0</v>
      </c>
      <c r="AI28" s="21">
        <f t="array" aca="1" ref="AI28" ca="1">IFERROR(IF(AG28&lt;&gt;0,ADDRESS(ROW(INDIRECT(AG28)),
    COLUMN(INDIRECT(AG28)) - 1 +
    MATCH(1,INDEX((LEN(INDIRECT("'シフト一覧（転載）'!"&amp;AG28&amp;":AK100"))&gt;0)
            *(INDIRECT("'シフト一覧（転載）'!"&amp;AG28&amp;":AK100")&lt;&gt;"休み"),
            1,0),0)+1,4),0),"")</f>
        <v>0</v>
      </c>
      <c r="AJ28" s="21">
        <f t="array" aca="1" ref="AJ28" ca="1">IFERROR(IF(AI28&lt;&gt;"",IF(AI28&lt;&gt;0,INDEX(
INDIRECT("'シフト一覧（転載）'!"&amp;AI28&amp;":AK100"),1,
MATCH(1,INDEX((LEN(INDIRECT("'シフト一覧（転載）'!"&amp;AI28&amp;":AK100"))&gt;0)
*(INDIRECT("'シフト一覧（転載）'!"&amp;AI28&amp;":AK100")&lt;&gt;"休み"),1,0),0)),0),""),$E$9&amp;"保育無し")</f>
        <v>0</v>
      </c>
      <c r="AK28" s="21">
        <f t="array" aca="1" ref="AK28" ca="1">IFERROR(IF(AI28&lt;&gt;0,ADDRESS(ROW(INDIRECT(AI28)),
    COLUMN(INDIRECT(AI28)) - 1 +
    MATCH(1,INDEX((LEN(INDIRECT("'シフト一覧（転載）'!"&amp;AI28&amp;":AK100"))&gt;0)
            *(INDIRECT("'シフト一覧（転載）'!"&amp;AI28&amp;":AK100")&lt;&gt;"休み"),
            1,0),0)+1,4),0),"")</f>
        <v>0</v>
      </c>
      <c r="AL28" s="21">
        <f t="array" aca="1" ref="AL28" ca="1">IFERROR(IF(AK28&lt;&gt;"",IF(AK28&lt;&gt;0,INDEX(
INDIRECT("'シフト一覧（転載）'!"&amp;AK28&amp;":AK100"),1,
MATCH(1,INDEX((LEN(INDIRECT("'シフト一覧（転載）'!"&amp;AK28&amp;":AK100"))&gt;0)
*(INDIRECT("'シフト一覧（転載）'!"&amp;AK28&amp;":AK100")&lt;&gt;"休み"),1,0),0)),0),""),$E$9&amp;"保育無し")</f>
        <v>0</v>
      </c>
      <c r="AM28" s="21">
        <f t="array" aca="1" ref="AM28" ca="1">IFERROR(IF(AK28&lt;&gt;0,ADDRESS(ROW(INDIRECT(AK28)),
    COLUMN(INDIRECT(AK28)) - 1 +
    MATCH(1,INDEX((LEN(INDIRECT("'シフト一覧（転載）'!"&amp;AK28&amp;":AK100"))&gt;0)
            *(INDIRECT("'シフト一覧（転載）'!"&amp;AK28&amp;":AK100")&lt;&gt;"休み"),
            1,0),0)+1,4),0),"")</f>
        <v>0</v>
      </c>
      <c r="AN28" s="21">
        <f t="array" aca="1" ref="AN28" ca="1">IFERROR(IF(AM28&lt;&gt;"",IF(AM28&lt;&gt;0,INDEX(
INDIRECT("'シフト一覧（転載）'!"&amp;AM28&amp;":AK100"),1,
MATCH(1,INDEX((LEN(INDIRECT("'シフト一覧（転載）'!"&amp;AM28&amp;":AK100"))&gt;0)
*(INDIRECT("'シフト一覧（転載）'!"&amp;AM28&amp;":AK100")&lt;&gt;"休み"),1,0),0)),0),""),$E$9&amp;"保育無し")</f>
        <v>0</v>
      </c>
      <c r="AO28" s="21">
        <f t="array" aca="1" ref="AO28" ca="1">IFERROR(IF(AM28&lt;&gt;0,ADDRESS(ROW(INDIRECT(AM28)),
    COLUMN(INDIRECT(AM28)) - 1 +
    MATCH(1,INDEX((LEN(INDIRECT("'シフト一覧（転載）'!"&amp;AM28&amp;":AK100"))&gt;0)
            *(INDIRECT("'シフト一覧（転載）'!"&amp;AM28&amp;":AK100")&lt;&gt;"休み"),
            1,0),0)+1,4),0),"")</f>
        <v>0</v>
      </c>
      <c r="AP28" s="21">
        <f t="array" aca="1" ref="AP28" ca="1">IFERROR(IF(AO28&lt;&gt;"",IF(AO28&lt;&gt;0,INDEX(
INDIRECT("'シフト一覧（転載）'!"&amp;AO28&amp;":AK100"),1,
MATCH(1,INDEX((LEN(INDIRECT("'シフト一覧（転載）'!"&amp;AO28&amp;":AK100"))&gt;0)
*(INDIRECT("'シフト一覧（転載）'!"&amp;AO28&amp;":AK100")&lt;&gt;"休み"),1,0),0)),0),""),$E$9&amp;"保育無し")</f>
        <v>0</v>
      </c>
      <c r="AQ28" s="21">
        <f t="array" aca="1" ref="AQ28" ca="1">IFERROR(IF(AO28&lt;&gt;0,ADDRESS(ROW(INDIRECT(AO28)),
    COLUMN(INDIRECT(AO28)) - 1 +
    MATCH(1,INDEX((LEN(INDIRECT("'シフト一覧（転載）'!"&amp;AO28&amp;":AK100"))&gt;0)
            *(INDIRECT("'シフト一覧（転載）'!"&amp;AO28&amp;":AK100")&lt;&gt;"休み"),
            1,0),0)+1,4),0),"")</f>
        <v>0</v>
      </c>
      <c r="AR28" s="21">
        <f t="array" aca="1" ref="AR28" ca="1">IFERROR(IF(AQ28&lt;&gt;"",IF(AQ28&lt;&gt;0,INDEX(
INDIRECT("'シフト一覧（転載）'!"&amp;AQ28&amp;":AK100"),1,
MATCH(1,INDEX((LEN(INDIRECT("'シフト一覧（転載）'!"&amp;AQ28&amp;":AK100"))&gt;0)
*(INDIRECT("'シフト一覧（転載）'!"&amp;AQ28&amp;":AK100")&lt;&gt;"休み"),1,0),0)),0),""),$E$9&amp;"保育無し")</f>
        <v>0</v>
      </c>
      <c r="AS28" s="21">
        <f t="array" aca="1" ref="AS28" ca="1">IFERROR(IF(AQ28&lt;&gt;0,ADDRESS(ROW(INDIRECT(AQ28)),
    COLUMN(INDIRECT(AQ28)) - 1 +
    MATCH(1,INDEX((LEN(INDIRECT("'シフト一覧（転載）'!"&amp;AQ28&amp;":AK100"))&gt;0)
            *(INDIRECT("'シフト一覧（転載）'!"&amp;AQ28&amp;":AK100")&lt;&gt;"休み"),
            1,0),0)+1,4),0),"")</f>
        <v>0</v>
      </c>
      <c r="AT28" s="21">
        <f t="array" aca="1" ref="AT28" ca="1">IFERROR(IF(AS28&lt;&gt;"",IF(AS28&lt;&gt;0,INDEX(
INDIRECT("'シフト一覧（転載）'!"&amp;AS28&amp;":AK100"),1,
MATCH(1,INDEX((LEN(INDIRECT("'シフト一覧（転載）'!"&amp;AS28&amp;":AK100"))&gt;0)
*(INDIRECT("'シフト一覧（転載）'!"&amp;AS28&amp;":AK100")&lt;&gt;"休み"),1,0),0)),0),""),$E$9&amp;"保育無し")</f>
        <v>0</v>
      </c>
      <c r="AU28" s="21">
        <f t="array" aca="1" ref="AU28" ca="1">IFERROR(IF(AS28&lt;&gt;0,ADDRESS(ROW(INDIRECT(AS28)),
    COLUMN(INDIRECT(AS28)) - 1 +
    MATCH(1,INDEX((LEN(INDIRECT("'シフト一覧（転載）'!"&amp;AS28&amp;":AK100"))&gt;0)
            *(INDIRECT("'シフト一覧（転載）'!"&amp;AS28&amp;":AK100")&lt;&gt;"休み"),
            1,0),0)+1,4),0),"")</f>
        <v>0</v>
      </c>
      <c r="AV28" s="21">
        <f t="array" aca="1" ref="AV28" ca="1">IFERROR(IF(AU28&lt;&gt;"",IF(AU28&lt;&gt;0,INDEX(
INDIRECT("'シフト一覧（転載）'!"&amp;AU28&amp;":AK100"),1,
MATCH(1,INDEX((LEN(INDIRECT("'シフト一覧（転載）'!"&amp;AU28&amp;":AK100"))&gt;0)
*(INDIRECT("'シフト一覧（転載）'!"&amp;AU28&amp;":AK100")&lt;&gt;"休み"),1,0),0)),0),""),$E$9&amp;"保育無し")</f>
        <v>0</v>
      </c>
      <c r="AW28" s="21">
        <f t="array" aca="1" ref="AW28" ca="1">IFERROR(IF(AU28&lt;&gt;0,ADDRESS(ROW(INDIRECT(AU28)),
    COLUMN(INDIRECT(AU28)) - 1 +
    MATCH(1,INDEX((LEN(INDIRECT("'シフト一覧（転載）'!"&amp;AU28&amp;":AK100"))&gt;0)
            *(INDIRECT("'シフト一覧（転載）'!"&amp;AU28&amp;":AK100")&lt;&gt;"休み"),
            1,0),0)+1,4),0),"")</f>
        <v>0</v>
      </c>
      <c r="AX28" s="21">
        <f t="array" aca="1" ref="AX28" ca="1">IFERROR(IF(AW28&lt;&gt;"",IF(AW28&lt;&gt;0,INDEX(
INDIRECT("'シフト一覧（転載）'!"&amp;AW28&amp;":AK100"),1,
MATCH(1,INDEX((LEN(INDIRECT("'シフト一覧（転載）'!"&amp;AW28&amp;":AK100"))&gt;0)
*(INDIRECT("'シフト一覧（転載）'!"&amp;AW28&amp;":AK100")&lt;&gt;"休み"),1,0),0)),0),""),$E$9&amp;"保育無し")</f>
        <v>0</v>
      </c>
      <c r="AY28" s="21">
        <f t="array" aca="1" ref="AY28" ca="1">IFERROR(IF(AW28&lt;&gt;0,ADDRESS(ROW(INDIRECT(AW28)),
    COLUMN(INDIRECT(AW28)) - 1 +
    MATCH(1,INDEX((LEN(INDIRECT("'シフト一覧（転載）'!"&amp;AW28&amp;":AK100"))&gt;0)
            *(INDIRECT("'シフト一覧（転載）'!"&amp;AW28&amp;":AK100")&lt;&gt;"休み"),
            1,0),0)+1,4),0),"")</f>
        <v>0</v>
      </c>
      <c r="AZ28" s="21">
        <f t="array" aca="1" ref="AZ28" ca="1">IFERROR(IF(AY28&lt;&gt;"",IF(AY28&lt;&gt;0,INDEX(
INDIRECT("'シフト一覧（転載）'!"&amp;AY28&amp;":AK100"),1,
MATCH(1,INDEX((LEN(INDIRECT("'シフト一覧（転載）'!"&amp;AY28&amp;":AK100"))&gt;0)
*(INDIRECT("'シフト一覧（転載）'!"&amp;AY28&amp;":AK100")&lt;&gt;"休み"),1,0),0)),0),""),$E$9&amp;"保育無し")</f>
        <v>0</v>
      </c>
      <c r="BA28" s="21">
        <f t="array" aca="1" ref="BA28" ca="1">IFERROR(IF(AY28&lt;&gt;0,ADDRESS(ROW(INDIRECT(AY28)),
    COLUMN(INDIRECT(AY28)) - 1 +
    MATCH(1,INDEX((LEN(INDIRECT("'シフト一覧（転載）'!"&amp;AY28&amp;":AK100"))&gt;0)
            *(INDIRECT("'シフト一覧（転載）'!"&amp;AY28&amp;":AK100")&lt;&gt;"休み"),
            1,0),0)+1,4),0),"")</f>
        <v>0</v>
      </c>
      <c r="BB28" s="21">
        <f t="array" aca="1" ref="BB28" ca="1">IFERROR(IF(BA28&lt;&gt;"",IF(BA28&lt;&gt;0,INDEX(
INDIRECT("'シフト一覧（転載）'!"&amp;BA28&amp;":AK100"),1,
MATCH(1,INDEX((LEN(INDIRECT("'シフト一覧（転載）'!"&amp;BA28&amp;":AK100"))&gt;0)
*(INDIRECT("'シフト一覧（転載）'!"&amp;BA28&amp;":AK100")&lt;&gt;"休み"),1,0),0)),0),""),$E$9&amp;"保育無し")</f>
        <v>0</v>
      </c>
      <c r="BC28" s="21">
        <f t="array" aca="1" ref="BC28" ca="1">IFERROR(IF(BA28&lt;&gt;0,ADDRESS(ROW(INDIRECT(BA28)),
    COLUMN(INDIRECT(BA28)) - 1 +
    MATCH(1,INDEX((LEN(INDIRECT("'シフト一覧（転載）'!"&amp;BA28&amp;":AK100"))&gt;0)
            *(INDIRECT("'シフト一覧（転載）'!"&amp;BA28&amp;":AK100")&lt;&gt;"休み"),
            1,0),0)+1,4),0),"")</f>
        <v>0</v>
      </c>
      <c r="BD28" s="21">
        <f t="array" aca="1" ref="BD28" ca="1">IFERROR(IF(BC28&lt;&gt;"",IF(BC28&lt;&gt;0,INDEX(
INDIRECT("'シフト一覧（転載）'!"&amp;BC28&amp;":AK100"),1,
MATCH(1,INDEX((LEN(INDIRECT("'シフト一覧（転載）'!"&amp;BC28&amp;":AK100"))&gt;0)
*(INDIRECT("'シフト一覧（転載）'!"&amp;BC28&amp;":AK100")&lt;&gt;"休み"),1,0),0)),0),""),$E$9&amp;"保育無し")</f>
        <v>0</v>
      </c>
      <c r="BE28" s="21">
        <f t="array" aca="1" ref="BE28" ca="1">IFERROR(IF(BC28&lt;&gt;0,ADDRESS(ROW(INDIRECT(BC28)),
    COLUMN(INDIRECT(BC28)) - 1 +
    MATCH(1,INDEX((LEN(INDIRECT("'シフト一覧（転載）'!"&amp;BC28&amp;":AK100"))&gt;0)
            *(INDIRECT("'シフト一覧（転載）'!"&amp;BC28&amp;":AK100")&lt;&gt;"休み"),
            1,0),0)+1,4),0),"")</f>
        <v>0</v>
      </c>
      <c r="BF28" s="21">
        <f t="array" aca="1" ref="BF28" ca="1">IFERROR(IF(BE28&lt;&gt;"",IF(BE28&lt;&gt;0,INDEX(
INDIRECT("'シフト一覧（転載）'!"&amp;BE28&amp;":AK100"),1,
MATCH(1,INDEX((LEN(INDIRECT("'シフト一覧（転載）'!"&amp;BE28&amp;":AK100"))&gt;0)
*(INDIRECT("'シフト一覧（転載）'!"&amp;BE28&amp;":AK100")&lt;&gt;"休み"),1,0),0)),0),""),$E$9&amp;"保育無し")</f>
        <v>0</v>
      </c>
      <c r="BG28" s="21">
        <f t="array" aca="1" ref="BG28" ca="1">IFERROR(IF(BE28&lt;&gt;0,ADDRESS(ROW(INDIRECT(BE28)),
    COLUMN(INDIRECT(BE28)) - 1 +
    MATCH(1,INDEX((LEN(INDIRECT("'シフト一覧（転載）'!"&amp;BE28&amp;":AK100"))&gt;0)
            *(INDIRECT("'シフト一覧（転載）'!"&amp;BE28&amp;":AK100")&lt;&gt;"休み"),
            1,0),0)+1,4),0),"")</f>
        <v>0</v>
      </c>
      <c r="BH28" s="21">
        <f t="array" aca="1" ref="BH28" ca="1">IFERROR(IF(BG28&lt;&gt;"",IF(BG28&lt;&gt;0,INDEX(
INDIRECT("'シフト一覧（転載）'!"&amp;BG28&amp;":AK100"),1,
MATCH(1,INDEX((LEN(INDIRECT("'シフト一覧（転載）'!"&amp;BG28&amp;":AK100"))&gt;0)
*(INDIRECT("'シフト一覧（転載）'!"&amp;BG28&amp;":AK100")&lt;&gt;"休み"),1,0),0)),0),""),$E$9&amp;"保育無し")</f>
        <v>0</v>
      </c>
      <c r="BI28" s="21">
        <f t="array" aca="1" ref="BI28" ca="1">IFERROR(IF(BG28&lt;&gt;0,ADDRESS(ROW(INDIRECT(BG28)),
    COLUMN(INDIRECT(BG28)) - 1 +
    MATCH(1,INDEX((LEN(INDIRECT("'シフト一覧（転載）'!"&amp;BG28&amp;":AK100"))&gt;0)
            *(INDIRECT("'シフト一覧（転載）'!"&amp;BG28&amp;":AK100")&lt;&gt;"休み"),
            1,0),0)+1,4),0),"")</f>
        <v>0</v>
      </c>
      <c r="BJ28" s="21">
        <f t="array" aca="1" ref="BJ28" ca="1">IFERROR(IF(BI28&lt;&gt;"",IF(BI28&lt;&gt;0,INDEX(
INDIRECT("'シフト一覧（転載）'!"&amp;BI28&amp;":AK100"),1,
MATCH(1,INDEX((LEN(INDIRECT("'シフト一覧（転載）'!"&amp;BI28&amp;":AK100"))&gt;0)
*(INDIRECT("'シフト一覧（転載）'!"&amp;BI28&amp;":AK100")&lt;&gt;"休み"),1,0),0)),0),""),$E$9&amp;"保育無し")</f>
        <v>0</v>
      </c>
      <c r="BK28" s="21">
        <f t="array" aca="1" ref="BK28" ca="1">IFERROR(IF(BI28&lt;&gt;0,ADDRESS(ROW(INDIRECT(BI28)),
    COLUMN(INDIRECT(BI28)) - 1 +
    MATCH(1,INDEX((LEN(INDIRECT("'シフト一覧（転載）'!"&amp;BI28&amp;":AK100"))&gt;0)
            *(INDIRECT("'シフト一覧（転載）'!"&amp;BI28&amp;":AK100")&lt;&gt;"休み"),
            1,0),0)+1,4),0),"")</f>
        <v>0</v>
      </c>
      <c r="BL28" s="21">
        <f t="array" aca="1" ref="BL28" ca="1">IFERROR(IF(BK28&lt;&gt;"",IF(BK28&lt;&gt;0,INDEX(
INDIRECT("'シフト一覧（転載）'!"&amp;BK28&amp;":AK100"),1,
MATCH(1,INDEX((LEN(INDIRECT("'シフト一覧（転載）'!"&amp;BK28&amp;":AK100"))&gt;0)
*(INDIRECT("'シフト一覧（転載）'!"&amp;BK28&amp;":AK100")&lt;&gt;"休み"),1,0),0)),0),""),$E$9&amp;"保育無し")</f>
        <v>0</v>
      </c>
      <c r="BM28" s="21">
        <f t="array" aca="1" ref="BM28" ca="1">IFERROR(IF(BK28&lt;&gt;0,ADDRESS(ROW(INDIRECT(BK28)),
    COLUMN(INDIRECT(BK28)) - 1 +
    MATCH(1,INDEX((LEN(INDIRECT("'シフト一覧（転載）'!"&amp;BK28&amp;":AK100"))&gt;0)
            *(INDIRECT("'シフト一覧（転載）'!"&amp;BK28&amp;":AK100")&lt;&gt;"休み"),
            1,0),0)+1,4),0),"")</f>
        <v>0</v>
      </c>
      <c r="BN28" s="21">
        <f t="array" aca="1" ref="BN28" ca="1">IFERROR(IF(BM28&lt;&gt;"",IF(BM28&lt;&gt;0,INDEX(
INDIRECT("'シフト一覧（転載）'!"&amp;BM28&amp;":AK100"),1,
MATCH(1,INDEX((LEN(INDIRECT("'シフト一覧（転載）'!"&amp;BM28&amp;":AK100"))&gt;0)
*(INDIRECT("'シフト一覧（転載）'!"&amp;BM28&amp;":AK100")&lt;&gt;"休み"),1,0),0)),0),""),$E$9&amp;"保育無し")</f>
        <v>0</v>
      </c>
      <c r="BO28" s="21">
        <f t="array" aca="1" ref="BO28" ca="1">IFERROR(IF(BM28&lt;&gt;0,ADDRESS(ROW(INDIRECT(BM28)),
    COLUMN(INDIRECT(BM28)) - 1 +
    MATCH(1,INDEX((LEN(INDIRECT("'シフト一覧（転載）'!"&amp;BM28&amp;":AK100"))&gt;0)
            *(INDIRECT("'シフト一覧（転載）'!"&amp;BM28&amp;":AK100")&lt;&gt;"休み"),
            1,0),0)+1,4),0),"")</f>
        <v>0</v>
      </c>
      <c r="BP28" s="21">
        <f t="array" aca="1" ref="BP28" ca="1">IFERROR(IF(BO28&lt;&gt;"",IF(BO28&lt;&gt;0,INDEX(
INDIRECT("'シフト一覧（転載）'!"&amp;BO28&amp;":AK100"),1,
MATCH(1,INDEX((LEN(INDIRECT("'シフト一覧（転載）'!"&amp;BO28&amp;":AK100"))&gt;0)
*(INDIRECT("'シフト一覧（転載）'!"&amp;BO28&amp;":AK100")&lt;&gt;"休み"),1,0),0)),0),""),$E$9&amp;"保育無し")</f>
        <v>0</v>
      </c>
      <c r="BQ28" s="21">
        <f t="array" aca="1" ref="BQ28" ca="1">IFERROR(IF(BO28&lt;&gt;0,ADDRESS(ROW(INDIRECT(BO28)),
    COLUMN(INDIRECT(BO28)) - 1 +
    MATCH(1,INDEX((LEN(INDIRECT("'シフト一覧（転載）'!"&amp;BO28&amp;":AK100"))&gt;0)
            *(INDIRECT("'シフト一覧（転載）'!"&amp;BO28&amp;":AK100")&lt;&gt;"休み"),
            1,0),0)+1,4),0),"")</f>
        <v>0</v>
      </c>
      <c r="BR28" s="21">
        <f t="array" aca="1" ref="BR28" ca="1">IFERROR(IF(BQ28&lt;&gt;"",IF(BQ28&lt;&gt;0,INDEX(
INDIRECT("'シフト一覧（転載）'!"&amp;BQ28&amp;":AK100"),1,
MATCH(1,INDEX((LEN(INDIRECT("'シフト一覧（転載）'!"&amp;BQ28&amp;":AK100"))&gt;0)
*(INDIRECT("'シフト一覧（転載）'!"&amp;BQ28&amp;":AK100")&lt;&gt;"休み"),1,0),0)),0),""),$E$9&amp;"保育無し")</f>
        <v>0</v>
      </c>
      <c r="BS28" s="21">
        <f t="array" aca="1" ref="BS28" ca="1">IFERROR(IF(BQ28&lt;&gt;0,ADDRESS(ROW(INDIRECT(BQ28)),
    COLUMN(INDIRECT(BQ28)) - 1 +
    MATCH(1,INDEX((LEN(INDIRECT("'シフト一覧（転載）'!"&amp;BQ28&amp;":AK100"))&gt;0)
            *(INDIRECT("'シフト一覧（転載）'!"&amp;BQ28&amp;":AK100")&lt;&gt;"休み"),
            1,0),0)+1,4),0),"")</f>
        <v>0</v>
      </c>
      <c r="BT28" s="21">
        <f t="array" aca="1" ref="BT28" ca="1">IFERROR(IF(BS28&lt;&gt;"",IF(BS28&lt;&gt;0,INDEX(
INDIRECT("'シフト一覧（転載）'!"&amp;BS28&amp;":AK100"),1,
MATCH(1,INDEX((LEN(INDIRECT("'シフト一覧（転載）'!"&amp;BS28&amp;":AK100"))&gt;0)
*(INDIRECT("'シフト一覧（転載）'!"&amp;BS28&amp;":AK100")&lt;&gt;"休み"),1,0),0)),0),""),$E$9&amp;"保育無し")</f>
        <v>0</v>
      </c>
      <c r="BU28" s="21">
        <f t="array" aca="1" ref="BU28" ca="1">IFERROR(IF(BS28&lt;&gt;0,ADDRESS(ROW(INDIRECT(BS28)),
    COLUMN(INDIRECT(BS28)) - 1 +
    MATCH(1,INDEX((LEN(INDIRECT("'シフト一覧（転載）'!"&amp;BS28&amp;":AK100"))&gt;0)
            *(INDIRECT("'シフト一覧（転載）'!"&amp;BS28&amp;":AK100")&lt;&gt;"休み"),
            1,0),0)+1,4),0),"")</f>
        <v>0</v>
      </c>
      <c r="BV28" s="21">
        <f t="array" aca="1" ref="BV28" ca="1">IFERROR(IF(BU28&lt;&gt;"",IF(BU28&lt;&gt;0,INDEX(
INDIRECT("'シフト一覧（転載）'!"&amp;BU28&amp;":AK100"),1,
MATCH(1,INDEX((LEN(INDIRECT("'シフト一覧（転載）'!"&amp;BU28&amp;":AK100"))&gt;0)
*(INDIRECT("'シフト一覧（転載）'!"&amp;BU28&amp;":AK100")&lt;&gt;"休み"),1,0),0)),0),""),$E$9&amp;"保育無し")</f>
        <v>0</v>
      </c>
      <c r="BW28" s="21">
        <f t="array" aca="1" ref="BW28" ca="1">IFERROR(IF(BU28&lt;&gt;0,ADDRESS(ROW(INDIRECT(BU28)),
    COLUMN(INDIRECT(BU28)) - 1 +
    MATCH(1,INDEX((LEN(INDIRECT("'シフト一覧（転載）'!"&amp;BU28&amp;":AK100"))&gt;0)
            *(INDIRECT("'シフト一覧（転載）'!"&amp;BU28&amp;":AK100")&lt;&gt;"休み"),
            1,0),0)+1,4),0),"")</f>
        <v>0</v>
      </c>
      <c r="BX28" s="21">
        <f t="array" aca="1" ref="BX28" ca="1">IFERROR(IF(BW28&lt;&gt;"",IF(BW28&lt;&gt;0,INDEX(
INDIRECT("'シフト一覧（転載）'!"&amp;BW28&amp;":AK100"),1,
MATCH(1,INDEX((LEN(INDIRECT("'シフト一覧（転載）'!"&amp;BW28&amp;":AK100"))&gt;0)
*(INDIRECT("'シフト一覧（転載）'!"&amp;BW28&amp;":AK100")&lt;&gt;"休み"),1,0),0)),0),""),$E$9&amp;"保育無し")</f>
        <v>0</v>
      </c>
      <c r="BY28" s="21">
        <f t="array" aca="1" ref="BY28" ca="1">IFERROR(IF(BW28&lt;&gt;0,ADDRESS(ROW(INDIRECT(BW28)),
    COLUMN(INDIRECT(BW28)) - 1 +
    MATCH(1,INDEX((LEN(INDIRECT("'シフト一覧（転載）'!"&amp;BW28&amp;":AK100"))&gt;0)
            *(INDIRECT("'シフト一覧（転載）'!"&amp;BW28&amp;":AK100")&lt;&gt;"休み"),
            1,0),0)+1,4),0),"")</f>
        <v>0</v>
      </c>
    </row>
    <row r="29" spans="1:77" ht="19.2" customHeight="1" x14ac:dyDescent="0.2">
      <c r="M29" s="93"/>
      <c r="N29" s="91"/>
      <c r="O29" s="95"/>
      <c r="P29" s="22">
        <f t="array" aca="1" ref="P29" ca="1">IFERROR(IF(M28&lt;&gt;"",INDEX('シフト一覧（転載）'!$F$8:$AK$100,
    MATCH(1,(ISNUMBER(SEARCH(M28,'シフト一覧（転載）'!$A$8:$A$100)))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MATCH(1,(ISNUMBER(SEARCH(M28,'シフト一覧（転載）'!$A$8:$A$100)))
                *(ISNUMBER(SEARCH($E$9,'シフト一覧（転載）'!$B$8:$B$100))),
                0),0),0)),0),"")</f>
        <v>0</v>
      </c>
      <c r="Q29" s="22">
        <f ca="1">IF(P28=0,0,
IF(OR(P28="",COUNTIF(P28,"*保育無し*")),"",
IF(MOD(P29-P28,1)*24&gt;=8,1,
IF(MOD(P29-P28,1)*24&gt;=6,0.75,0))))</f>
        <v>0</v>
      </c>
      <c r="R29" s="22">
        <f t="array" aca="1" ref="R29" ca="1">IFERROR(IF(Q28&lt;&gt;0,INDEX(
INDIRECT("'シフト一覧（転載）'!"&amp;Q28&amp;":AK100"),1+1,
MATCH(1,INDEX((LEN(INDIRECT("'シフト一覧（転載）'!"&amp;Q28&amp;":AK100"))&gt;0)
*(INDIRECT("'シフト一覧（転載）'!"&amp;Q28&amp;":AK100")&lt;&gt;"休み"),1,0),0)),0),"")</f>
        <v>0</v>
      </c>
      <c r="S29" s="22">
        <f ca="1">IF(R28=0,0,
IF(OR(R28="",COUNTIF(R28,"*保育無し*")),"",
IF(MOD(R29-R28,1)*24&gt;=8,1,
IF(MOD(R29-R28,1)*24&gt;=6,0.75,0))))</f>
        <v>0</v>
      </c>
      <c r="T29" s="22">
        <f t="array" aca="1" ref="T29" ca="1">IFERROR(IF(S28&lt;&gt;0,INDEX(
INDIRECT("'シフト一覧（転載）'!"&amp;S28&amp;":AK100"),1+1,
MATCH(1,INDEX((LEN(INDIRECT("'シフト一覧（転載）'!"&amp;S28&amp;":AK100"))&gt;0)
*(INDIRECT("'シフト一覧（転載）'!"&amp;S28&amp;":AK100")&lt;&gt;"休み"),1,0),0)),0),"")</f>
        <v>0</v>
      </c>
      <c r="U29" s="22">
        <f ca="1">IF(T28=0,0,
IF(OR(T28="",COUNTIF(T28,"*保育無し*")),"",
IF(MOD(T29-T28,1)*24&gt;=8,1,
IF(MOD(T29-T28,1)*24&gt;=6,0.75,0))))</f>
        <v>0</v>
      </c>
      <c r="V29" s="22">
        <f t="array" aca="1" ref="V29" ca="1">IFERROR(IF(U28&lt;&gt;0,INDEX(
INDIRECT("'シフト一覧（転載）'!"&amp;U28&amp;":AK100"),1+1,
MATCH(1,INDEX((LEN(INDIRECT("'シフト一覧（転載）'!"&amp;U28&amp;":AK100"))&gt;0)
*(INDIRECT("'シフト一覧（転載）'!"&amp;U28&amp;":AK100")&lt;&gt;"休み"),1,0),0)),0),"")</f>
        <v>0</v>
      </c>
      <c r="W29" s="22">
        <f ca="1">IF(V28=0,0,
IF(OR(V28="",COUNTIF(V28,"*保育無し*")),"",
IF(MOD(V29-V28,1)*24&gt;=8,1,
IF(MOD(V29-V28,1)*24&gt;=6,0.75,0))))</f>
        <v>0</v>
      </c>
      <c r="X29" s="22">
        <f t="array" aca="1" ref="X29" ca="1">IFERROR(IF(W28&lt;&gt;0,INDEX(
INDIRECT("'シフト一覧（転載）'!"&amp;W28&amp;":AK100"),1+1,
MATCH(1,INDEX((LEN(INDIRECT("'シフト一覧（転載）'!"&amp;W28&amp;":AK100"))&gt;0)
*(INDIRECT("'シフト一覧（転載）'!"&amp;W28&amp;":AK100")&lt;&gt;"休み"),1,0),0)),0),"")</f>
        <v>0</v>
      </c>
      <c r="Y29" s="22">
        <f ca="1">IF(X28=0,0,
IF(OR(X28="",COUNTIF(X28,"*保育無し*")),"",
IF(MOD(X29-X28,1)*24&gt;=8,1,
IF(MOD(X29-X28,1)*24&gt;=6,0.75,0))))</f>
        <v>0</v>
      </c>
      <c r="Z29" s="22">
        <f t="array" aca="1" ref="Z29" ca="1">IFERROR(IF(Y28&lt;&gt;0,INDEX(
INDIRECT("'シフト一覧（転載）'!"&amp;Y28&amp;":AK100"),1+1,
MATCH(1,INDEX((LEN(INDIRECT("'シフト一覧（転載）'!"&amp;Y28&amp;":AK100"))&gt;0)
*(INDIRECT("'シフト一覧（転載）'!"&amp;Y28&amp;":AK100")&lt;&gt;"休み"),1,0),0)),0),"")</f>
        <v>0</v>
      </c>
      <c r="AA29" s="22">
        <f ca="1">IF(Z28=0,0,
IF(OR(Z28="",COUNTIF(Z28,"*保育無し*")),"",
IF(MOD(Z29-Z28,1)*24&gt;=8,1,
IF(MOD(Z29-Z28,1)*24&gt;=6,0.75,0))))</f>
        <v>0</v>
      </c>
      <c r="AB29" s="22">
        <f t="array" aca="1" ref="AB29" ca="1">IFERROR(IF(AA28&lt;&gt;0,INDEX(
INDIRECT("'シフト一覧（転載）'!"&amp;AA28&amp;":AK100"),1+1,
MATCH(1,INDEX((LEN(INDIRECT("'シフト一覧（転載）'!"&amp;AA28&amp;":AK100"))&gt;0)
*(INDIRECT("'シフト一覧（転載）'!"&amp;AA28&amp;":AK100")&lt;&gt;"休み"),1,0),0)),0),"")</f>
        <v>0</v>
      </c>
      <c r="AC29" s="22">
        <f ca="1">IF(AB28=0,0,
IF(OR(AB28="",COUNTIF(AB28,"*保育無し*")),"",
IF(MOD(AB29-AB28,1)*24&gt;=8,1,
IF(MOD(AB29-AB28,1)*24&gt;=6,0.75,0))))</f>
        <v>0</v>
      </c>
      <c r="AD29" s="22">
        <f t="array" aca="1" ref="AD29" ca="1">IFERROR(IF(AC28&lt;&gt;0,INDEX(
INDIRECT("'シフト一覧（転載）'!"&amp;AC28&amp;":AK100"),1+1,
MATCH(1,INDEX((LEN(INDIRECT("'シフト一覧（転載）'!"&amp;AC28&amp;":AK100"))&gt;0)
*(INDIRECT("'シフト一覧（転載）'!"&amp;AC28&amp;":AK100")&lt;&gt;"休み"),1,0),0)),0),"")</f>
        <v>0</v>
      </c>
      <c r="AE29" s="22">
        <f ca="1">IF(AD28=0,0,
IF(OR(AD28="",COUNTIF(AD28,"*保育無し*")),"",
IF(MOD(AD29-AD28,1)*24&gt;=8,1,
IF(MOD(AD29-AD28,1)*24&gt;=6,0.75,0))))</f>
        <v>0</v>
      </c>
      <c r="AF29" s="22">
        <f t="array" aca="1" ref="AF29" ca="1">IFERROR(IF(AE28&lt;&gt;0,INDEX(
INDIRECT("'シフト一覧（転載）'!"&amp;AE28&amp;":AK100"),1+1,
MATCH(1,INDEX((LEN(INDIRECT("'シフト一覧（転載）'!"&amp;AE28&amp;":AK100"))&gt;0)
*(INDIRECT("'シフト一覧（転載）'!"&amp;AE28&amp;":AK100")&lt;&gt;"休み"),1,0),0)),0),"")</f>
        <v>0</v>
      </c>
      <c r="AG29" s="22">
        <f ca="1">IF(AF28=0,0,
IF(OR(AF28="",COUNTIF(AF28,"*保育無し*")),"",
IF(MOD(AF29-AF28,1)*24&gt;=8,1,
IF(MOD(AF29-AF28,1)*24&gt;=6,0.75,0))))</f>
        <v>0</v>
      </c>
      <c r="AH29" s="22">
        <f t="array" aca="1" ref="AH29" ca="1">IFERROR(IF(AG28&lt;&gt;0,INDEX(
INDIRECT("'シフト一覧（転載）'!"&amp;AG28&amp;":AK100"),1+1,
MATCH(1,INDEX((LEN(INDIRECT("'シフト一覧（転載）'!"&amp;AG28&amp;":AK100"))&gt;0)
*(INDIRECT("'シフト一覧（転載）'!"&amp;AG28&amp;":AK100")&lt;&gt;"休み"),1,0),0)),0),"")</f>
        <v>0</v>
      </c>
      <c r="AI29" s="22">
        <f ca="1">IF(AH28=0,0,
IF(OR(AH28="",COUNTIF(AH28,"*保育無し*")),"",
IF(MOD(AH29-AH28,1)*24&gt;=8,1,
IF(MOD(AH29-AH28,1)*24&gt;=6,0.75,0))))</f>
        <v>0</v>
      </c>
      <c r="AJ29" s="22">
        <f t="array" aca="1" ref="AJ29" ca="1">IFERROR(IF(AI28&lt;&gt;0,INDEX(
INDIRECT("'シフト一覧（転載）'!"&amp;AI28&amp;":AK100"),1+1,
MATCH(1,INDEX((LEN(INDIRECT("'シフト一覧（転載）'!"&amp;AI28&amp;":AK100"))&gt;0)
*(INDIRECT("'シフト一覧（転載）'!"&amp;AI28&amp;":AK100")&lt;&gt;"休み"),1,0),0)),0),"")</f>
        <v>0</v>
      </c>
      <c r="AK29" s="22">
        <f ca="1">IF(AJ28=0,0,
IF(OR(AJ28="",COUNTIF(AJ28,"*保育無し*")),"",
IF(MOD(AJ29-AJ28,1)*24&gt;=8,1,
IF(MOD(AJ29-AJ28,1)*24&gt;=6,0.75,0))))</f>
        <v>0</v>
      </c>
      <c r="AL29" s="22">
        <f t="array" aca="1" ref="AL29" ca="1">IFERROR(IF(AK28&lt;&gt;0,INDEX(
INDIRECT("'シフト一覧（転載）'!"&amp;AK28&amp;":AK100"),1+1,
MATCH(1,INDEX((LEN(INDIRECT("'シフト一覧（転載）'!"&amp;AK28&amp;":AK100"))&gt;0)
*(INDIRECT("'シフト一覧（転載）'!"&amp;AK28&amp;":AK100")&lt;&gt;"休み"),1,0),0)),0),"")</f>
        <v>0</v>
      </c>
      <c r="AM29" s="22">
        <f ca="1">IF(AL28=0,0,
IF(OR(AL28="",COUNTIF(AL28,"*保育無し*")),"",
IF(MOD(AL29-AL28,1)*24&gt;=8,1,
IF(MOD(AL29-AL28,1)*24&gt;=6,0.75,0))))</f>
        <v>0</v>
      </c>
      <c r="AN29" s="22">
        <f t="array" aca="1" ref="AN29" ca="1">IFERROR(IF(AM28&lt;&gt;0,INDEX(
INDIRECT("'シフト一覧（転載）'!"&amp;AM28&amp;":AK100"),1+1,
MATCH(1,INDEX((LEN(INDIRECT("'シフト一覧（転載）'!"&amp;AM28&amp;":AK100"))&gt;0)
*(INDIRECT("'シフト一覧（転載）'!"&amp;AM28&amp;":AK100")&lt;&gt;"休み"),1,0),0)),0),"")</f>
        <v>0</v>
      </c>
      <c r="AO29" s="22">
        <f ca="1">IF(AN28=0,0,
IF(OR(AN28="",COUNTIF(AN28,"*保育無し*")),"",
IF(MOD(AN29-AN28,1)*24&gt;=8,1,
IF(MOD(AN29-AN28,1)*24&gt;=6,0.75,0))))</f>
        <v>0</v>
      </c>
      <c r="AP29" s="22">
        <f t="array" aca="1" ref="AP29" ca="1">IFERROR(IF(AO28&lt;&gt;0,INDEX(
INDIRECT("'シフト一覧（転載）'!"&amp;AO28&amp;":AK100"),1+1,
MATCH(1,INDEX((LEN(INDIRECT("'シフト一覧（転載）'!"&amp;AO28&amp;":AK100"))&gt;0)
*(INDIRECT("'シフト一覧（転載）'!"&amp;AO28&amp;":AK100")&lt;&gt;"休み"),1,0),0)),0),"")</f>
        <v>0</v>
      </c>
      <c r="AQ29" s="22">
        <f ca="1">IF(AP28=0,0,
IF(OR(AP28="",COUNTIF(AP28,"*保育無し*")),"",
IF(MOD(AP29-AP28,1)*24&gt;=8,1,
IF(MOD(AP29-AP28,1)*24&gt;=6,0.75,0))))</f>
        <v>0</v>
      </c>
      <c r="AR29" s="22">
        <f t="array" aca="1" ref="AR29" ca="1">IFERROR(IF(AQ28&lt;&gt;0,INDEX(
INDIRECT("'シフト一覧（転載）'!"&amp;AQ28&amp;":AK100"),1+1,
MATCH(1,INDEX((LEN(INDIRECT("'シフト一覧（転載）'!"&amp;AQ28&amp;":AK100"))&gt;0)
*(INDIRECT("'シフト一覧（転載）'!"&amp;AQ28&amp;":AK100")&lt;&gt;"休み"),1,0),0)),0),"")</f>
        <v>0</v>
      </c>
      <c r="AS29" s="22">
        <f ca="1">IF(AR28=0,0,
IF(OR(AR28="",COUNTIF(AR28,"*保育無し*")),"",
IF(MOD(AR29-AR28,1)*24&gt;=8,1,
IF(MOD(AR29-AR28,1)*24&gt;=6,0.75,0))))</f>
        <v>0</v>
      </c>
      <c r="AT29" s="22">
        <f t="array" aca="1" ref="AT29" ca="1">IFERROR(IF(AS28&lt;&gt;0,INDEX(
INDIRECT("'シフト一覧（転載）'!"&amp;AS28&amp;":AK100"),1+1,
MATCH(1,INDEX((LEN(INDIRECT("'シフト一覧（転載）'!"&amp;AS28&amp;":AK100"))&gt;0)
*(INDIRECT("'シフト一覧（転載）'!"&amp;AS28&amp;":AK100")&lt;&gt;"休み"),1,0),0)),0),"")</f>
        <v>0</v>
      </c>
      <c r="AU29" s="22">
        <f ca="1">IF(AT28=0,0,
IF(OR(AT28="",COUNTIF(AT28,"*保育無し*")),"",
IF(MOD(AT29-AT28,1)*24&gt;=8,1,
IF(MOD(AT29-AT28,1)*24&gt;=6,0.75,0))))</f>
        <v>0</v>
      </c>
      <c r="AV29" s="22">
        <f t="array" aca="1" ref="AV29" ca="1">IFERROR(IF(AU28&lt;&gt;0,INDEX(
INDIRECT("'シフト一覧（転載）'!"&amp;AU28&amp;":AK100"),1+1,
MATCH(1,INDEX((LEN(INDIRECT("'シフト一覧（転載）'!"&amp;AU28&amp;":AK100"))&gt;0)
*(INDIRECT("'シフト一覧（転載）'!"&amp;AU28&amp;":AK100")&lt;&gt;"休み"),1,0),0)),0),"")</f>
        <v>0</v>
      </c>
      <c r="AW29" s="22">
        <f ca="1">IF(AV28=0,0,
IF(OR(AV28="",COUNTIF(AV28,"*保育無し*")),"",
IF(MOD(AV29-AV28,1)*24&gt;=8,1,
IF(MOD(AV29-AV28,1)*24&gt;=6,0.75,0))))</f>
        <v>0</v>
      </c>
      <c r="AX29" s="22">
        <f t="array" aca="1" ref="AX29" ca="1">IFERROR(IF(AW28&lt;&gt;0,INDEX(
INDIRECT("'シフト一覧（転載）'!"&amp;AW28&amp;":AK100"),1+1,
MATCH(1,INDEX((LEN(INDIRECT("'シフト一覧（転載）'!"&amp;AW28&amp;":AK100"))&gt;0)
*(INDIRECT("'シフト一覧（転載）'!"&amp;AW28&amp;":AK100")&lt;&gt;"休み"),1,0),0)),0),"")</f>
        <v>0</v>
      </c>
      <c r="AY29" s="22">
        <f ca="1">IF(AX28=0,0,
IF(OR(AX28="",COUNTIF(AX28,"*保育無し*")),"",
IF(MOD(AX29-AX28,1)*24&gt;=8,1,
IF(MOD(AX29-AX28,1)*24&gt;=6,0.75,0))))</f>
        <v>0</v>
      </c>
      <c r="AZ29" s="22">
        <f t="array" aca="1" ref="AZ29" ca="1">IFERROR(IF(AY28&lt;&gt;0,INDEX(
INDIRECT("'シフト一覧（転載）'!"&amp;AY28&amp;":AK100"),1+1,
MATCH(1,INDEX((LEN(INDIRECT("'シフト一覧（転載）'!"&amp;AY28&amp;":AK100"))&gt;0)
*(INDIRECT("'シフト一覧（転載）'!"&amp;AY28&amp;":AK100")&lt;&gt;"休み"),1,0),0)),0),"")</f>
        <v>0</v>
      </c>
      <c r="BA29" s="22">
        <f ca="1">IF(AZ28=0,0,
IF(OR(AZ28="",COUNTIF(AZ28,"*保育無し*")),"",
IF(MOD(AZ29-AZ28,1)*24&gt;=8,1,
IF(MOD(AZ29-AZ28,1)*24&gt;=6,0.75,0))))</f>
        <v>0</v>
      </c>
      <c r="BB29" s="22">
        <f t="array" aca="1" ref="BB29" ca="1">IFERROR(IF(BA28&lt;&gt;0,INDEX(
INDIRECT("'シフト一覧（転載）'!"&amp;BA28&amp;":AK100"),1+1,
MATCH(1,INDEX((LEN(INDIRECT("'シフト一覧（転載）'!"&amp;BA28&amp;":AK100"))&gt;0)
*(INDIRECT("'シフト一覧（転載）'!"&amp;BA28&amp;":AK100")&lt;&gt;"休み"),1,0),0)),0),"")</f>
        <v>0</v>
      </c>
      <c r="BC29" s="22">
        <f ca="1">IF(BB28=0,0,
IF(OR(BB28="",COUNTIF(BB28,"*保育無し*")),"",
IF(MOD(BB29-BB28,1)*24&gt;=8,1,
IF(MOD(BB29-BB28,1)*24&gt;=6,0.75,0))))</f>
        <v>0</v>
      </c>
      <c r="BD29" s="22">
        <f t="array" aca="1" ref="BD29" ca="1">IFERROR(IF(BC28&lt;&gt;0,INDEX(
INDIRECT("'シフト一覧（転載）'!"&amp;BC28&amp;":AK100"),1+1,
MATCH(1,INDEX((LEN(INDIRECT("'シフト一覧（転載）'!"&amp;BC28&amp;":AK100"))&gt;0)
*(INDIRECT("'シフト一覧（転載）'!"&amp;BC28&amp;":AK100")&lt;&gt;"休み"),1,0),0)),0),"")</f>
        <v>0</v>
      </c>
      <c r="BE29" s="22">
        <f ca="1">IF(BD28=0,0,
IF(OR(BD28="",COUNTIF(BD28,"*保育無し*")),"",
IF(MOD(BD29-BD28,1)*24&gt;=8,1,
IF(MOD(BD29-BD28,1)*24&gt;=6,0.75,0))))</f>
        <v>0</v>
      </c>
      <c r="BF29" s="22">
        <f t="array" aca="1" ref="BF29" ca="1">IFERROR(IF(BE28&lt;&gt;0,INDEX(
INDIRECT("'シフト一覧（転載）'!"&amp;BE28&amp;":AK100"),1+1,
MATCH(1,INDEX((LEN(INDIRECT("'シフト一覧（転載）'!"&amp;BE28&amp;":AK100"))&gt;0)
*(INDIRECT("'シフト一覧（転載）'!"&amp;BE28&amp;":AK100")&lt;&gt;"休み"),1,0),0)),0),"")</f>
        <v>0</v>
      </c>
      <c r="BG29" s="22">
        <f ca="1">IF(BF28=0,0,
IF(OR(BF28="",COUNTIF(BF28,"*保育無し*")),"",
IF(MOD(BF29-BF28,1)*24&gt;=8,1,
IF(MOD(BF29-BF28,1)*24&gt;=6,0.75,0))))</f>
        <v>0</v>
      </c>
      <c r="BH29" s="22">
        <f t="array" aca="1" ref="BH29" ca="1">IFERROR(IF(BG28&lt;&gt;0,INDEX(
INDIRECT("'シフト一覧（転載）'!"&amp;BG28&amp;":AK100"),1+1,
MATCH(1,INDEX((LEN(INDIRECT("'シフト一覧（転載）'!"&amp;BG28&amp;":AK100"))&gt;0)
*(INDIRECT("'シフト一覧（転載）'!"&amp;BG28&amp;":AK100")&lt;&gt;"休み"),1,0),0)),0),"")</f>
        <v>0</v>
      </c>
      <c r="BI29" s="22">
        <f ca="1">IF(BH28=0,0,
IF(OR(BH28="",COUNTIF(BH28,"*保育無し*")),"",
IF(MOD(BH29-BH28,1)*24&gt;=8,1,
IF(MOD(BH29-BH28,1)*24&gt;=6,0.75,0))))</f>
        <v>0</v>
      </c>
      <c r="BJ29" s="22">
        <f t="array" aca="1" ref="BJ29" ca="1">IFERROR(IF(BI28&lt;&gt;0,INDEX(
INDIRECT("'シフト一覧（転載）'!"&amp;BI28&amp;":AK100"),1+1,
MATCH(1,INDEX((LEN(INDIRECT("'シフト一覧（転載）'!"&amp;BI28&amp;":AK100"))&gt;0)
*(INDIRECT("'シフト一覧（転載）'!"&amp;BI28&amp;":AK100")&lt;&gt;"休み"),1,0),0)),0),"")</f>
        <v>0</v>
      </c>
      <c r="BK29" s="22">
        <f ca="1">IF(BJ28=0,0,
IF(OR(BJ28="",COUNTIF(BJ28,"*保育無し*")),"",
IF(MOD(BJ29-BJ28,1)*24&gt;=8,1,
IF(MOD(BJ29-BJ28,1)*24&gt;=6,0.75,0))))</f>
        <v>0</v>
      </c>
      <c r="BL29" s="22">
        <f t="array" aca="1" ref="BL29" ca="1">IFERROR(IF(BK28&lt;&gt;0,INDEX(
INDIRECT("'シフト一覧（転載）'!"&amp;BK28&amp;":AK100"),1+1,
MATCH(1,INDEX((LEN(INDIRECT("'シフト一覧（転載）'!"&amp;BK28&amp;":AK100"))&gt;0)
*(INDIRECT("'シフト一覧（転載）'!"&amp;BK28&amp;":AK100")&lt;&gt;"休み"),1,0),0)),0),"")</f>
        <v>0</v>
      </c>
      <c r="BM29" s="22">
        <f ca="1">IF(BL28=0,0,
IF(OR(BL28="",COUNTIF(BL28,"*保育無し*")),"",
IF(MOD(BL29-BL28,1)*24&gt;=8,1,
IF(MOD(BL29-BL28,1)*24&gt;=6,0.75,0))))</f>
        <v>0</v>
      </c>
      <c r="BN29" s="22">
        <f t="array" aca="1" ref="BN29" ca="1">IFERROR(IF(BM28&lt;&gt;0,INDEX(
INDIRECT("'シフト一覧（転載）'!"&amp;BM28&amp;":AK100"),1+1,
MATCH(1,INDEX((LEN(INDIRECT("'シフト一覧（転載）'!"&amp;BM28&amp;":AK100"))&gt;0)
*(INDIRECT("'シフト一覧（転載）'!"&amp;BM28&amp;":AK100")&lt;&gt;"休み"),1,0),0)),0),"")</f>
        <v>0</v>
      </c>
      <c r="BO29" s="22">
        <f ca="1">IF(BN28=0,0,
IF(OR(BN28="",COUNTIF(BN28,"*保育無し*")),"",
IF(MOD(BN29-BN28,1)*24&gt;=8,1,
IF(MOD(BN29-BN28,1)*24&gt;=6,0.75,0))))</f>
        <v>0</v>
      </c>
      <c r="BP29" s="22">
        <f t="array" aca="1" ref="BP29" ca="1">IFERROR(IF(BO28&lt;&gt;0,INDEX(
INDIRECT("'シフト一覧（転載）'!"&amp;BO28&amp;":AK100"),1+1,
MATCH(1,INDEX((LEN(INDIRECT("'シフト一覧（転載）'!"&amp;BO28&amp;":AK100"))&gt;0)
*(INDIRECT("'シフト一覧（転載）'!"&amp;BO28&amp;":AK100")&lt;&gt;"休み"),1,0),0)),0),"")</f>
        <v>0</v>
      </c>
      <c r="BQ29" s="22">
        <f ca="1">IF(BP28=0,0,
IF(OR(BP28="",COUNTIF(BP28,"*保育無し*")),"",
IF(MOD(BP29-BP28,1)*24&gt;=8,1,
IF(MOD(BP29-BP28,1)*24&gt;=6,0.75,0))))</f>
        <v>0</v>
      </c>
      <c r="BR29" s="22">
        <f t="array" aca="1" ref="BR29" ca="1">IFERROR(IF(BQ28&lt;&gt;0,INDEX(
INDIRECT("'シフト一覧（転載）'!"&amp;BQ28&amp;":AK100"),1+1,
MATCH(1,INDEX((LEN(INDIRECT("'シフト一覧（転載）'!"&amp;BQ28&amp;":AK100"))&gt;0)
*(INDIRECT("'シフト一覧（転載）'!"&amp;BQ28&amp;":AK100")&lt;&gt;"休み"),1,0),0)),0),"")</f>
        <v>0</v>
      </c>
      <c r="BS29" s="22">
        <f ca="1">IF(BR28=0,0,
IF(OR(BR28="",COUNTIF(BR28,"*保育無し*")),"",
IF(MOD(BR29-BR28,1)*24&gt;=8,1,
IF(MOD(BR29-BR28,1)*24&gt;=6,0.75,0))))</f>
        <v>0</v>
      </c>
      <c r="BT29" s="22">
        <f t="array" aca="1" ref="BT29" ca="1">IFERROR(IF(BS28&lt;&gt;0,INDEX(
INDIRECT("'シフト一覧（転載）'!"&amp;BS28&amp;":AK100"),1+1,
MATCH(1,INDEX((LEN(INDIRECT("'シフト一覧（転載）'!"&amp;BS28&amp;":AK100"))&gt;0)
*(INDIRECT("'シフト一覧（転載）'!"&amp;BS28&amp;":AK100")&lt;&gt;"休み"),1,0),0)),0),"")</f>
        <v>0</v>
      </c>
      <c r="BU29" s="22">
        <f ca="1">IF(BT28=0,0,
IF(OR(BT28="",COUNTIF(BT28,"*保育無し*")),"",
IF(MOD(BT29-BT28,1)*24&gt;=8,1,
IF(MOD(BT29-BT28,1)*24&gt;=6,0.75,0))))</f>
        <v>0</v>
      </c>
      <c r="BV29" s="22">
        <f t="array" aca="1" ref="BV29" ca="1">IFERROR(IF(BU28&lt;&gt;0,INDEX(
INDIRECT("'シフト一覧（転載）'!"&amp;BU28&amp;":AK100"),1+1,
MATCH(1,INDEX((LEN(INDIRECT("'シフト一覧（転載）'!"&amp;BU28&amp;":AK100"))&gt;0)
*(INDIRECT("'シフト一覧（転載）'!"&amp;BU28&amp;":AK100")&lt;&gt;"休み"),1,0),0)),0),"")</f>
        <v>0</v>
      </c>
      <c r="BW29" s="22">
        <f ca="1">IF(BV28=0,0,
IF(OR(BV28="",COUNTIF(BV28,"*保育無し*")),"",
IF(MOD(BV29-BV28,1)*24&gt;=8,1,
IF(MOD(BV29-BV28,1)*24&gt;=6,0.75,0))))</f>
        <v>0</v>
      </c>
      <c r="BX29" s="22">
        <f t="array" aca="1" ref="BX29" ca="1">IFERROR(IF(BW28&lt;&gt;0,INDEX(
INDIRECT("'シフト一覧（転載）'!"&amp;BW28&amp;":AK100"),1+1,
MATCH(1,INDEX((LEN(INDIRECT("'シフト一覧（転載）'!"&amp;BW28&amp;":AK100"))&gt;0)
*(INDIRECT("'シフト一覧（転載）'!"&amp;BW28&amp;":AK100")&lt;&gt;"休み"),1,0),0)),0),"")</f>
        <v>0</v>
      </c>
      <c r="BY29" s="22">
        <f ca="1">IF(BX28=0,0,
IF(OR(BX28="",COUNTIF(BX28,"*保育無し*")),"",
IF(MOD(BX29-BX28,1)*24&gt;=8,1,
IF(MOD(BX29-BX28,1)*24&gt;=6,0.75,0))))</f>
        <v>0</v>
      </c>
    </row>
    <row r="30" spans="1:77" ht="19.2" customHeight="1" x14ac:dyDescent="0.2">
      <c r="M30" s="92" t="str">
        <f t="array" aca="1" ref="M30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0" s="90" t="str">
        <f ca="1">IF(M30&lt;&gt;"",VLOOKUP(M30,$I$12:$J$27,2,FALSE),"")</f>
        <v/>
      </c>
      <c r="O30" s="94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21">
        <f t="array" aca="1" ref="P30" ca="1">IFERROR(IF(M30&lt;&gt;"",INDEX('シフト一覧（転載）'!$F$8:$AK$100,
    MATCH(1,(ISNUMBER(SEARCH(M30,'シフト一覧（転載）'!$A$8:$A$100)))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MATCH(1,(ISNUMBER(SEARCH(M30,'シフト一覧（転載）'!$A$8:$A$100)))
                *(ISNUMBER(SEARCH($E$9,'シフト一覧（転載）'!$B$8:$B$100))),
                0),0),0)),0),$E$9&amp;"保育無し")</f>
        <v>0</v>
      </c>
      <c r="Q30" s="21">
        <f t="array" aca="1" ref="Q30" ca="1">IFERROR(IF(COUNTIF(P30,"*無*"),"",IF(M30&lt;&gt;"",ADDRESS(
    MATCH(1,(ISNUMBER(SEARCH(M30,'シフト一覧（転載）'!$A$8:$A$100)))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MATCH(1,(ISNUMBER(SEARCH(M30,'シフト一覧（転載）'!$A$8:$A$100)))
                *(ISNUMBER(SEARCH($E$9,'シフト一覧（転載）'!$B$8:$B$100))),0),0),0) + 6,4),0)),0)</f>
        <v>0</v>
      </c>
      <c r="R30" s="21">
        <f t="array" aca="1" ref="R30" ca="1">IFERROR(IF(Q30&lt;&gt;"",IF(Q30&lt;&gt;0,INDEX(
INDIRECT("'シフト一覧（転載）'!"&amp;Q30&amp;":AK100"),1,
MATCH(1,INDEX((LEN(INDIRECT("'シフト一覧（転載）'!"&amp;Q30&amp;":AK100"))&gt;0)
*(INDIRECT("'シフト一覧（転載）'!"&amp;Q30&amp;":AK100")&lt;&gt;"休み"),1,0),0)),0),""),$E$9&amp;"保育無し")</f>
        <v>0</v>
      </c>
      <c r="S30" s="21">
        <f t="array" aca="1" ref="S30" ca="1">IFERROR(IF(Q30&lt;&gt;0,ADDRESS(ROW(INDIRECT(Q30)),
    COLUMN(INDIRECT(Q30)) - 1 +
    MATCH(1,INDEX((LEN(INDIRECT("'シフト一覧（転載）'!"&amp;Q30&amp;":AK100"))&gt;0)
            *(INDIRECT("'シフト一覧（転載）'!"&amp;Q30&amp;":AK100")&lt;&gt;"休み"),
            1,0),0)+1,4),0),"")</f>
        <v>0</v>
      </c>
      <c r="T30" s="21">
        <f t="array" aca="1" ref="T30" ca="1">IFERROR(IF(S30&lt;&gt;"",IF(S30&lt;&gt;0,INDEX(
INDIRECT("'シフト一覧（転載）'!"&amp;S30&amp;":AK100"),1,
MATCH(1,INDEX((LEN(INDIRECT("'シフト一覧（転載）'!"&amp;S30&amp;":AK100"))&gt;0)
*(INDIRECT("'シフト一覧（転載）'!"&amp;S30&amp;":AK100")&lt;&gt;"休み"),1,0),0)),0),""),$E$9&amp;"保育無し")</f>
        <v>0</v>
      </c>
      <c r="U30" s="21">
        <f t="array" aca="1" ref="U30" ca="1">IFERROR(IF(S30&lt;&gt;0,ADDRESS(ROW(INDIRECT(S30)),
    COLUMN(INDIRECT(S30)) - 1 +
    MATCH(1,INDEX((LEN(INDIRECT("'シフト一覧（転載）'!"&amp;S30&amp;":AK100"))&gt;0)
            *(INDIRECT("'シフト一覧（転載）'!"&amp;S30&amp;":AK100")&lt;&gt;"休み"),
            1,0),0)+1,4),0),"")</f>
        <v>0</v>
      </c>
      <c r="V30" s="21">
        <f t="array" aca="1" ref="V30" ca="1">IFERROR(IF(U30&lt;&gt;"",IF(U30&lt;&gt;0,INDEX(
INDIRECT("'シフト一覧（転載）'!"&amp;U30&amp;":AK100"),1,
MATCH(1,INDEX((LEN(INDIRECT("'シフト一覧（転載）'!"&amp;U30&amp;":AK100"))&gt;0)
*(INDIRECT("'シフト一覧（転載）'!"&amp;U30&amp;":AK100")&lt;&gt;"休み"),1,0),0)),0),""),$E$9&amp;"保育無し")</f>
        <v>0</v>
      </c>
      <c r="W30" s="21">
        <f t="array" aca="1" ref="W30" ca="1">IFERROR(IF(U30&lt;&gt;0,ADDRESS(ROW(INDIRECT(U30)),
    COLUMN(INDIRECT(U30)) - 1 +
    MATCH(1,INDEX((LEN(INDIRECT("'シフト一覧（転載）'!"&amp;U30&amp;":AK100"))&gt;0)
            *(INDIRECT("'シフト一覧（転載）'!"&amp;U30&amp;":AK100")&lt;&gt;"休み"),
            1,0),0)+1,4),0),"")</f>
        <v>0</v>
      </c>
      <c r="X30" s="21">
        <f t="array" aca="1" ref="X30" ca="1">IFERROR(IF(W30&lt;&gt;"",IF(W30&lt;&gt;0,INDEX(
INDIRECT("'シフト一覧（転載）'!"&amp;W30&amp;":AK100"),1,
MATCH(1,INDEX((LEN(INDIRECT("'シフト一覧（転載）'!"&amp;W30&amp;":AK100"))&gt;0)
*(INDIRECT("'シフト一覧（転載）'!"&amp;W30&amp;":AK100")&lt;&gt;"休み"),1,0),0)),0),""),$E$9&amp;"保育無し")</f>
        <v>0</v>
      </c>
      <c r="Y30" s="21">
        <f t="array" aca="1" ref="Y30" ca="1">IFERROR(IF(W30&lt;&gt;0,ADDRESS(ROW(INDIRECT(W30)),
    COLUMN(INDIRECT(W30)) - 1 +
    MATCH(1,INDEX((LEN(INDIRECT("'シフト一覧（転載）'!"&amp;W30&amp;":AK100"))&gt;0)
            *(INDIRECT("'シフト一覧（転載）'!"&amp;W30&amp;":AK100")&lt;&gt;"休み"),
            1,0),0)+1,4),0),"")</f>
        <v>0</v>
      </c>
      <c r="Z30" s="21">
        <f t="array" aca="1" ref="Z30" ca="1">IFERROR(IF(Y30&lt;&gt;"",IF(Y30&lt;&gt;0,INDEX(
INDIRECT("'シフト一覧（転載）'!"&amp;Y30&amp;":AK100"),1,
MATCH(1,INDEX((LEN(INDIRECT("'シフト一覧（転載）'!"&amp;Y30&amp;":AK100"))&gt;0)
*(INDIRECT("'シフト一覧（転載）'!"&amp;Y30&amp;":AK100")&lt;&gt;"休み"),1,0),0)),0),""),$E$9&amp;"保育無し")</f>
        <v>0</v>
      </c>
      <c r="AA30" s="21">
        <f t="array" aca="1" ref="AA30" ca="1">IFERROR(IF(Y30&lt;&gt;0,ADDRESS(ROW(INDIRECT(Y30)),
    COLUMN(INDIRECT(Y30)) - 1 +
    MATCH(1,INDEX((LEN(INDIRECT("'シフト一覧（転載）'!"&amp;Y30&amp;":AK100"))&gt;0)
            *(INDIRECT("'シフト一覧（転載）'!"&amp;Y30&amp;":AK100")&lt;&gt;"休み"),
            1,0),0)+1,4),0),"")</f>
        <v>0</v>
      </c>
      <c r="AB30" s="21">
        <f t="array" aca="1" ref="AB30" ca="1">IFERROR(IF(AA30&lt;&gt;"",IF(AA30&lt;&gt;0,INDEX(
INDIRECT("'シフト一覧（転載）'!"&amp;AA30&amp;":AK100"),1,
MATCH(1,INDEX((LEN(INDIRECT("'シフト一覧（転載）'!"&amp;AA30&amp;":AK100"))&gt;0)
*(INDIRECT("'シフト一覧（転載）'!"&amp;AA30&amp;":AK100")&lt;&gt;"休み"),1,0),0)),0),""),$E$9&amp;"保育無し")</f>
        <v>0</v>
      </c>
      <c r="AC30" s="21">
        <f t="array" aca="1" ref="AC30" ca="1">IFERROR(IF(AA30&lt;&gt;0,ADDRESS(ROW(INDIRECT(AA30)),
    COLUMN(INDIRECT(AA30)) - 1 +
    MATCH(1,INDEX((LEN(INDIRECT("'シフト一覧（転載）'!"&amp;AA30&amp;":AK100"))&gt;0)
            *(INDIRECT("'シフト一覧（転載）'!"&amp;AA30&amp;":AK100")&lt;&gt;"休み"),
            1,0),0)+1,4),0),"")</f>
        <v>0</v>
      </c>
      <c r="AD30" s="21">
        <f t="array" aca="1" ref="AD30" ca="1">IFERROR(IF(AC30&lt;&gt;"",IF(AC30&lt;&gt;0,INDEX(
INDIRECT("'シフト一覧（転載）'!"&amp;AC30&amp;":AK100"),1,
MATCH(1,INDEX((LEN(INDIRECT("'シフト一覧（転載）'!"&amp;AC30&amp;":AK100"))&gt;0)
*(INDIRECT("'シフト一覧（転載）'!"&amp;AC30&amp;":AK100")&lt;&gt;"休み"),1,0),0)),0),""),$E$9&amp;"保育無し")</f>
        <v>0</v>
      </c>
      <c r="AE30" s="21">
        <f t="array" aca="1" ref="AE30" ca="1">IFERROR(IF(AC30&lt;&gt;0,ADDRESS(ROW(INDIRECT(AC30)),
    COLUMN(INDIRECT(AC30)) - 1 +
    MATCH(1,INDEX((LEN(INDIRECT("'シフト一覧（転載）'!"&amp;AC30&amp;":AK100"))&gt;0)
            *(INDIRECT("'シフト一覧（転載）'!"&amp;AC30&amp;":AK100")&lt;&gt;"休み"),
            1,0),0)+1,4),0),"")</f>
        <v>0</v>
      </c>
      <c r="AF30" s="21">
        <f t="array" aca="1" ref="AF30" ca="1">IFERROR(IF(AE30&lt;&gt;"",IF(AE30&lt;&gt;0,INDEX(
INDIRECT("'シフト一覧（転載）'!"&amp;AE30&amp;":AK100"),1,
MATCH(1,INDEX((LEN(INDIRECT("'シフト一覧（転載）'!"&amp;AE30&amp;":AK100"))&gt;0)
*(INDIRECT("'シフト一覧（転載）'!"&amp;AE30&amp;":AK100")&lt;&gt;"休み"),1,0),0)),0),""),$E$9&amp;"保育無し")</f>
        <v>0</v>
      </c>
      <c r="AG30" s="21">
        <f t="array" aca="1" ref="AG30" ca="1">IFERROR(IF(AE30&lt;&gt;0,ADDRESS(ROW(INDIRECT(AE30)),
    COLUMN(INDIRECT(AE30)) - 1 +
    MATCH(1,INDEX((LEN(INDIRECT("'シフト一覧（転載）'!"&amp;AE30&amp;":AK100"))&gt;0)
            *(INDIRECT("'シフト一覧（転載）'!"&amp;AE30&amp;":AK100")&lt;&gt;"休み"),
            1,0),0)+1,4),0),"")</f>
        <v>0</v>
      </c>
      <c r="AH30" s="21">
        <f t="array" aca="1" ref="AH30" ca="1">IFERROR(IF(AG30&lt;&gt;"",IF(AG30&lt;&gt;0,INDEX(
INDIRECT("'シフト一覧（転載）'!"&amp;AG30&amp;":AK100"),1,
MATCH(1,INDEX((LEN(INDIRECT("'シフト一覧（転載）'!"&amp;AG30&amp;":AK100"))&gt;0)
*(INDIRECT("'シフト一覧（転載）'!"&amp;AG30&amp;":AK100")&lt;&gt;"休み"),1,0),0)),0),""),$E$9&amp;"保育無し")</f>
        <v>0</v>
      </c>
      <c r="AI30" s="21">
        <f t="array" aca="1" ref="AI30" ca="1">IFERROR(IF(AG30&lt;&gt;0,ADDRESS(ROW(INDIRECT(AG30)),
    COLUMN(INDIRECT(AG30)) - 1 +
    MATCH(1,INDEX((LEN(INDIRECT("'シフト一覧（転載）'!"&amp;AG30&amp;":AK100"))&gt;0)
            *(INDIRECT("'シフト一覧（転載）'!"&amp;AG30&amp;":AK100")&lt;&gt;"休み"),
            1,0),0)+1,4),0),"")</f>
        <v>0</v>
      </c>
      <c r="AJ30" s="21">
        <f t="array" aca="1" ref="AJ30" ca="1">IFERROR(IF(AI30&lt;&gt;"",IF(AI30&lt;&gt;0,INDEX(
INDIRECT("'シフト一覧（転載）'!"&amp;AI30&amp;":AK100"),1,
MATCH(1,INDEX((LEN(INDIRECT("'シフト一覧（転載）'!"&amp;AI30&amp;":AK100"))&gt;0)
*(INDIRECT("'シフト一覧（転載）'!"&amp;AI30&amp;":AK100")&lt;&gt;"休み"),1,0),0)),0),""),$E$9&amp;"保育無し")</f>
        <v>0</v>
      </c>
      <c r="AK30" s="21">
        <f t="array" aca="1" ref="AK30" ca="1">IFERROR(IF(AI30&lt;&gt;0,ADDRESS(ROW(INDIRECT(AI30)),
    COLUMN(INDIRECT(AI30)) - 1 +
    MATCH(1,INDEX((LEN(INDIRECT("'シフト一覧（転載）'!"&amp;AI30&amp;":AK100"))&gt;0)
            *(INDIRECT("'シフト一覧（転載）'!"&amp;AI30&amp;":AK100")&lt;&gt;"休み"),
            1,0),0)+1,4),0),"")</f>
        <v>0</v>
      </c>
      <c r="AL30" s="21">
        <f t="array" aca="1" ref="AL30" ca="1">IFERROR(IF(AK30&lt;&gt;"",IF(AK30&lt;&gt;0,INDEX(
INDIRECT("'シフト一覧（転載）'!"&amp;AK30&amp;":AK100"),1,
MATCH(1,INDEX((LEN(INDIRECT("'シフト一覧（転載）'!"&amp;AK30&amp;":AK100"))&gt;0)
*(INDIRECT("'シフト一覧（転載）'!"&amp;AK30&amp;":AK100")&lt;&gt;"休み"),1,0),0)),0),""),$E$9&amp;"保育無し")</f>
        <v>0</v>
      </c>
      <c r="AM30" s="21">
        <f t="array" aca="1" ref="AM30" ca="1">IFERROR(IF(AK30&lt;&gt;0,ADDRESS(ROW(INDIRECT(AK30)),
    COLUMN(INDIRECT(AK30)) - 1 +
    MATCH(1,INDEX((LEN(INDIRECT("'シフト一覧（転載）'!"&amp;AK30&amp;":AK100"))&gt;0)
            *(INDIRECT("'シフト一覧（転載）'!"&amp;AK30&amp;":AK100")&lt;&gt;"休み"),
            1,0),0)+1,4),0),"")</f>
        <v>0</v>
      </c>
      <c r="AN30" s="21">
        <f t="array" aca="1" ref="AN30" ca="1">IFERROR(IF(AM30&lt;&gt;"",IF(AM30&lt;&gt;0,INDEX(
INDIRECT("'シフト一覧（転載）'!"&amp;AM30&amp;":AK100"),1,
MATCH(1,INDEX((LEN(INDIRECT("'シフト一覧（転載）'!"&amp;AM30&amp;":AK100"))&gt;0)
*(INDIRECT("'シフト一覧（転載）'!"&amp;AM30&amp;":AK100")&lt;&gt;"休み"),1,0),0)),0),""),$E$9&amp;"保育無し")</f>
        <v>0</v>
      </c>
      <c r="AO30" s="21">
        <f t="array" aca="1" ref="AO30" ca="1">IFERROR(IF(AM30&lt;&gt;0,ADDRESS(ROW(INDIRECT(AM30)),
    COLUMN(INDIRECT(AM30)) - 1 +
    MATCH(1,INDEX((LEN(INDIRECT("'シフト一覧（転載）'!"&amp;AM30&amp;":AK100"))&gt;0)
            *(INDIRECT("'シフト一覧（転載）'!"&amp;AM30&amp;":AK100")&lt;&gt;"休み"),
            1,0),0)+1,4),0),"")</f>
        <v>0</v>
      </c>
      <c r="AP30" s="21">
        <f t="array" aca="1" ref="AP30" ca="1">IFERROR(IF(AO30&lt;&gt;"",IF(AO30&lt;&gt;0,INDEX(
INDIRECT("'シフト一覧（転載）'!"&amp;AO30&amp;":AK100"),1,
MATCH(1,INDEX((LEN(INDIRECT("'シフト一覧（転載）'!"&amp;AO30&amp;":AK100"))&gt;0)
*(INDIRECT("'シフト一覧（転載）'!"&amp;AO30&amp;":AK100")&lt;&gt;"休み"),1,0),0)),0),""),$E$9&amp;"保育無し")</f>
        <v>0</v>
      </c>
      <c r="AQ30" s="21">
        <f t="array" aca="1" ref="AQ30" ca="1">IFERROR(IF(AO30&lt;&gt;0,ADDRESS(ROW(INDIRECT(AO30)),
    COLUMN(INDIRECT(AO30)) - 1 +
    MATCH(1,INDEX((LEN(INDIRECT("'シフト一覧（転載）'!"&amp;AO30&amp;":AK100"))&gt;0)
            *(INDIRECT("'シフト一覧（転載）'!"&amp;AO30&amp;":AK100")&lt;&gt;"休み"),
            1,0),0)+1,4),0),"")</f>
        <v>0</v>
      </c>
      <c r="AR30" s="21">
        <f t="array" aca="1" ref="AR30" ca="1">IFERROR(IF(AQ30&lt;&gt;"",IF(AQ30&lt;&gt;0,INDEX(
INDIRECT("'シフト一覧（転載）'!"&amp;AQ30&amp;":AK100"),1,
MATCH(1,INDEX((LEN(INDIRECT("'シフト一覧（転載）'!"&amp;AQ30&amp;":AK100"))&gt;0)
*(INDIRECT("'シフト一覧（転載）'!"&amp;AQ30&amp;":AK100")&lt;&gt;"休み"),1,0),0)),0),""),$E$9&amp;"保育無し")</f>
        <v>0</v>
      </c>
      <c r="AS30" s="21">
        <f t="array" aca="1" ref="AS30" ca="1">IFERROR(IF(AQ30&lt;&gt;0,ADDRESS(ROW(INDIRECT(AQ30)),
    COLUMN(INDIRECT(AQ30)) - 1 +
    MATCH(1,INDEX((LEN(INDIRECT("'シフト一覧（転載）'!"&amp;AQ30&amp;":AK100"))&gt;0)
            *(INDIRECT("'シフト一覧（転載）'!"&amp;AQ30&amp;":AK100")&lt;&gt;"休み"),
            1,0),0)+1,4),0),"")</f>
        <v>0</v>
      </c>
      <c r="AT30" s="21">
        <f t="array" aca="1" ref="AT30" ca="1">IFERROR(IF(AS30&lt;&gt;"",IF(AS30&lt;&gt;0,INDEX(
INDIRECT("'シフト一覧（転載）'!"&amp;AS30&amp;":AK100"),1,
MATCH(1,INDEX((LEN(INDIRECT("'シフト一覧（転載）'!"&amp;AS30&amp;":AK100"))&gt;0)
*(INDIRECT("'シフト一覧（転載）'!"&amp;AS30&amp;":AK100")&lt;&gt;"休み"),1,0),0)),0),""),$E$9&amp;"保育無し")</f>
        <v>0</v>
      </c>
      <c r="AU30" s="21">
        <f t="array" aca="1" ref="AU30" ca="1">IFERROR(IF(AS30&lt;&gt;0,ADDRESS(ROW(INDIRECT(AS30)),
    COLUMN(INDIRECT(AS30)) - 1 +
    MATCH(1,INDEX((LEN(INDIRECT("'シフト一覧（転載）'!"&amp;AS30&amp;":AK100"))&gt;0)
            *(INDIRECT("'シフト一覧（転載）'!"&amp;AS30&amp;":AK100")&lt;&gt;"休み"),
            1,0),0)+1,4),0),"")</f>
        <v>0</v>
      </c>
      <c r="AV30" s="21">
        <f t="array" aca="1" ref="AV30" ca="1">IFERROR(IF(AU30&lt;&gt;"",IF(AU30&lt;&gt;0,INDEX(
INDIRECT("'シフト一覧（転載）'!"&amp;AU30&amp;":AK100"),1,
MATCH(1,INDEX((LEN(INDIRECT("'シフト一覧（転載）'!"&amp;AU30&amp;":AK100"))&gt;0)
*(INDIRECT("'シフト一覧（転載）'!"&amp;AU30&amp;":AK100")&lt;&gt;"休み"),1,0),0)),0),""),$E$9&amp;"保育無し")</f>
        <v>0</v>
      </c>
      <c r="AW30" s="21">
        <f t="array" aca="1" ref="AW30" ca="1">IFERROR(IF(AU30&lt;&gt;0,ADDRESS(ROW(INDIRECT(AU30)),
    COLUMN(INDIRECT(AU30)) - 1 +
    MATCH(1,INDEX((LEN(INDIRECT("'シフト一覧（転載）'!"&amp;AU30&amp;":AK100"))&gt;0)
            *(INDIRECT("'シフト一覧（転載）'!"&amp;AU30&amp;":AK100")&lt;&gt;"休み"),
            1,0),0)+1,4),0),"")</f>
        <v>0</v>
      </c>
      <c r="AX30" s="21">
        <f t="array" aca="1" ref="AX30" ca="1">IFERROR(IF(AW30&lt;&gt;"",IF(AW30&lt;&gt;0,INDEX(
INDIRECT("'シフト一覧（転載）'!"&amp;AW30&amp;":AK100"),1,
MATCH(1,INDEX((LEN(INDIRECT("'シフト一覧（転載）'!"&amp;AW30&amp;":AK100"))&gt;0)
*(INDIRECT("'シフト一覧（転載）'!"&amp;AW30&amp;":AK100")&lt;&gt;"休み"),1,0),0)),0),""),$E$9&amp;"保育無し")</f>
        <v>0</v>
      </c>
      <c r="AY30" s="21">
        <f t="array" aca="1" ref="AY30" ca="1">IFERROR(IF(AW30&lt;&gt;0,ADDRESS(ROW(INDIRECT(AW30)),
    COLUMN(INDIRECT(AW30)) - 1 +
    MATCH(1,INDEX((LEN(INDIRECT("'シフト一覧（転載）'!"&amp;AW30&amp;":AK100"))&gt;0)
            *(INDIRECT("'シフト一覧（転載）'!"&amp;AW30&amp;":AK100")&lt;&gt;"休み"),
            1,0),0)+1,4),0),"")</f>
        <v>0</v>
      </c>
      <c r="AZ30" s="21">
        <f t="array" aca="1" ref="AZ30" ca="1">IFERROR(IF(AY30&lt;&gt;"",IF(AY30&lt;&gt;0,INDEX(
INDIRECT("'シフト一覧（転載）'!"&amp;AY30&amp;":AK100"),1,
MATCH(1,INDEX((LEN(INDIRECT("'シフト一覧（転載）'!"&amp;AY30&amp;":AK100"))&gt;0)
*(INDIRECT("'シフト一覧（転載）'!"&amp;AY30&amp;":AK100")&lt;&gt;"休み"),1,0),0)),0),""),$E$9&amp;"保育無し")</f>
        <v>0</v>
      </c>
      <c r="BA30" s="21">
        <f t="array" aca="1" ref="BA30" ca="1">IFERROR(IF(AY30&lt;&gt;0,ADDRESS(ROW(INDIRECT(AY30)),
    COLUMN(INDIRECT(AY30)) - 1 +
    MATCH(1,INDEX((LEN(INDIRECT("'シフト一覧（転載）'!"&amp;AY30&amp;":AK100"))&gt;0)
            *(INDIRECT("'シフト一覧（転載）'!"&amp;AY30&amp;":AK100")&lt;&gt;"休み"),
            1,0),0)+1,4),0),"")</f>
        <v>0</v>
      </c>
      <c r="BB30" s="21">
        <f t="array" aca="1" ref="BB30" ca="1">IFERROR(IF(BA30&lt;&gt;"",IF(BA30&lt;&gt;0,INDEX(
INDIRECT("'シフト一覧（転載）'!"&amp;BA30&amp;":AK100"),1,
MATCH(1,INDEX((LEN(INDIRECT("'シフト一覧（転載）'!"&amp;BA30&amp;":AK100"))&gt;0)
*(INDIRECT("'シフト一覧（転載）'!"&amp;BA30&amp;":AK100")&lt;&gt;"休み"),1,0),0)),0),""),$E$9&amp;"保育無し")</f>
        <v>0</v>
      </c>
      <c r="BC30" s="21">
        <f t="array" aca="1" ref="BC30" ca="1">IFERROR(IF(BA30&lt;&gt;0,ADDRESS(ROW(INDIRECT(BA30)),
    COLUMN(INDIRECT(BA30)) - 1 +
    MATCH(1,INDEX((LEN(INDIRECT("'シフト一覧（転載）'!"&amp;BA30&amp;":AK100"))&gt;0)
            *(INDIRECT("'シフト一覧（転載）'!"&amp;BA30&amp;":AK100")&lt;&gt;"休み"),
            1,0),0)+1,4),0),"")</f>
        <v>0</v>
      </c>
      <c r="BD30" s="21">
        <f t="array" aca="1" ref="BD30" ca="1">IFERROR(IF(BC30&lt;&gt;"",IF(BC30&lt;&gt;0,INDEX(
INDIRECT("'シフト一覧（転載）'!"&amp;BC30&amp;":AK100"),1,
MATCH(1,INDEX((LEN(INDIRECT("'シフト一覧（転載）'!"&amp;BC30&amp;":AK100"))&gt;0)
*(INDIRECT("'シフト一覧（転載）'!"&amp;BC30&amp;":AK100")&lt;&gt;"休み"),1,0),0)),0),""),$E$9&amp;"保育無し")</f>
        <v>0</v>
      </c>
      <c r="BE30" s="21">
        <f t="array" aca="1" ref="BE30" ca="1">IFERROR(IF(BC30&lt;&gt;0,ADDRESS(ROW(INDIRECT(BC30)),
    COLUMN(INDIRECT(BC30)) - 1 +
    MATCH(1,INDEX((LEN(INDIRECT("'シフト一覧（転載）'!"&amp;BC30&amp;":AK100"))&gt;0)
            *(INDIRECT("'シフト一覧（転載）'!"&amp;BC30&amp;":AK100")&lt;&gt;"休み"),
            1,0),0)+1,4),0),"")</f>
        <v>0</v>
      </c>
      <c r="BF30" s="21">
        <f t="array" aca="1" ref="BF30" ca="1">IFERROR(IF(BE30&lt;&gt;"",IF(BE30&lt;&gt;0,INDEX(
INDIRECT("'シフト一覧（転載）'!"&amp;BE30&amp;":AK100"),1,
MATCH(1,INDEX((LEN(INDIRECT("'シフト一覧（転載）'!"&amp;BE30&amp;":AK100"))&gt;0)
*(INDIRECT("'シフト一覧（転載）'!"&amp;BE30&amp;":AK100")&lt;&gt;"休み"),1,0),0)),0),""),$E$9&amp;"保育無し")</f>
        <v>0</v>
      </c>
      <c r="BG30" s="21">
        <f t="array" aca="1" ref="BG30" ca="1">IFERROR(IF(BE30&lt;&gt;0,ADDRESS(ROW(INDIRECT(BE30)),
    COLUMN(INDIRECT(BE30)) - 1 +
    MATCH(1,INDEX((LEN(INDIRECT("'シフト一覧（転載）'!"&amp;BE30&amp;":AK100"))&gt;0)
            *(INDIRECT("'シフト一覧（転載）'!"&amp;BE30&amp;":AK100")&lt;&gt;"休み"),
            1,0),0)+1,4),0),"")</f>
        <v>0</v>
      </c>
      <c r="BH30" s="21">
        <f t="array" aca="1" ref="BH30" ca="1">IFERROR(IF(BG30&lt;&gt;"",IF(BG30&lt;&gt;0,INDEX(
INDIRECT("'シフト一覧（転載）'!"&amp;BG30&amp;":AK100"),1,
MATCH(1,INDEX((LEN(INDIRECT("'シフト一覧（転載）'!"&amp;BG30&amp;":AK100"))&gt;0)
*(INDIRECT("'シフト一覧（転載）'!"&amp;BG30&amp;":AK100")&lt;&gt;"休み"),1,0),0)),0),""),$E$9&amp;"保育無し")</f>
        <v>0</v>
      </c>
      <c r="BI30" s="21">
        <f t="array" aca="1" ref="BI30" ca="1">IFERROR(IF(BG30&lt;&gt;0,ADDRESS(ROW(INDIRECT(BG30)),
    COLUMN(INDIRECT(BG30)) - 1 +
    MATCH(1,INDEX((LEN(INDIRECT("'シフト一覧（転載）'!"&amp;BG30&amp;":AK100"))&gt;0)
            *(INDIRECT("'シフト一覧（転載）'!"&amp;BG30&amp;":AK100")&lt;&gt;"休み"),
            1,0),0)+1,4),0),"")</f>
        <v>0</v>
      </c>
      <c r="BJ30" s="21">
        <f t="array" aca="1" ref="BJ30" ca="1">IFERROR(IF(BI30&lt;&gt;"",IF(BI30&lt;&gt;0,INDEX(
INDIRECT("'シフト一覧（転載）'!"&amp;BI30&amp;":AK100"),1,
MATCH(1,INDEX((LEN(INDIRECT("'シフト一覧（転載）'!"&amp;BI30&amp;":AK100"))&gt;0)
*(INDIRECT("'シフト一覧（転載）'!"&amp;BI30&amp;":AK100")&lt;&gt;"休み"),1,0),0)),0),""),$E$9&amp;"保育無し")</f>
        <v>0</v>
      </c>
      <c r="BK30" s="21">
        <f t="array" aca="1" ref="BK30" ca="1">IFERROR(IF(BI30&lt;&gt;0,ADDRESS(ROW(INDIRECT(BI30)),
    COLUMN(INDIRECT(BI30)) - 1 +
    MATCH(1,INDEX((LEN(INDIRECT("'シフト一覧（転載）'!"&amp;BI30&amp;":AK100"))&gt;0)
            *(INDIRECT("'シフト一覧（転載）'!"&amp;BI30&amp;":AK100")&lt;&gt;"休み"),
            1,0),0)+1,4),0),"")</f>
        <v>0</v>
      </c>
      <c r="BL30" s="21">
        <f t="array" aca="1" ref="BL30" ca="1">IFERROR(IF(BK30&lt;&gt;"",IF(BK30&lt;&gt;0,INDEX(
INDIRECT("'シフト一覧（転載）'!"&amp;BK30&amp;":AK100"),1,
MATCH(1,INDEX((LEN(INDIRECT("'シフト一覧（転載）'!"&amp;BK30&amp;":AK100"))&gt;0)
*(INDIRECT("'シフト一覧（転載）'!"&amp;BK30&amp;":AK100")&lt;&gt;"休み"),1,0),0)),0),""),$E$9&amp;"保育無し")</f>
        <v>0</v>
      </c>
      <c r="BM30" s="21">
        <f t="array" aca="1" ref="BM30" ca="1">IFERROR(IF(BK30&lt;&gt;0,ADDRESS(ROW(INDIRECT(BK30)),
    COLUMN(INDIRECT(BK30)) - 1 +
    MATCH(1,INDEX((LEN(INDIRECT("'シフト一覧（転載）'!"&amp;BK30&amp;":AK100"))&gt;0)
            *(INDIRECT("'シフト一覧（転載）'!"&amp;BK30&amp;":AK100")&lt;&gt;"休み"),
            1,0),0)+1,4),0),"")</f>
        <v>0</v>
      </c>
      <c r="BN30" s="21">
        <f t="array" aca="1" ref="BN30" ca="1">IFERROR(IF(BM30&lt;&gt;"",IF(BM30&lt;&gt;0,INDEX(
INDIRECT("'シフト一覧（転載）'!"&amp;BM30&amp;":AK100"),1,
MATCH(1,INDEX((LEN(INDIRECT("'シフト一覧（転載）'!"&amp;BM30&amp;":AK100"))&gt;0)
*(INDIRECT("'シフト一覧（転載）'!"&amp;BM30&amp;":AK100")&lt;&gt;"休み"),1,0),0)),0),""),$E$9&amp;"保育無し")</f>
        <v>0</v>
      </c>
      <c r="BO30" s="21">
        <f t="array" aca="1" ref="BO30" ca="1">IFERROR(IF(BM30&lt;&gt;0,ADDRESS(ROW(INDIRECT(BM30)),
    COLUMN(INDIRECT(BM30)) - 1 +
    MATCH(1,INDEX((LEN(INDIRECT("'シフト一覧（転載）'!"&amp;BM30&amp;":AK100"))&gt;0)
            *(INDIRECT("'シフト一覧（転載）'!"&amp;BM30&amp;":AK100")&lt;&gt;"休み"),
            1,0),0)+1,4),0),"")</f>
        <v>0</v>
      </c>
      <c r="BP30" s="21">
        <f t="array" aca="1" ref="BP30" ca="1">IFERROR(IF(BO30&lt;&gt;"",IF(BO30&lt;&gt;0,INDEX(
INDIRECT("'シフト一覧（転載）'!"&amp;BO30&amp;":AK100"),1,
MATCH(1,INDEX((LEN(INDIRECT("'シフト一覧（転載）'!"&amp;BO30&amp;":AK100"))&gt;0)
*(INDIRECT("'シフト一覧（転載）'!"&amp;BO30&amp;":AK100")&lt;&gt;"休み"),1,0),0)),0),""),$E$9&amp;"保育無し")</f>
        <v>0</v>
      </c>
      <c r="BQ30" s="21">
        <f t="array" aca="1" ref="BQ30" ca="1">IFERROR(IF(BO30&lt;&gt;0,ADDRESS(ROW(INDIRECT(BO30)),
    COLUMN(INDIRECT(BO30)) - 1 +
    MATCH(1,INDEX((LEN(INDIRECT("'シフト一覧（転載）'!"&amp;BO30&amp;":AK100"))&gt;0)
            *(INDIRECT("'シフト一覧（転載）'!"&amp;BO30&amp;":AK100")&lt;&gt;"休み"),
            1,0),0)+1,4),0),"")</f>
        <v>0</v>
      </c>
      <c r="BR30" s="21">
        <f t="array" aca="1" ref="BR30" ca="1">IFERROR(IF(BQ30&lt;&gt;"",IF(BQ30&lt;&gt;0,INDEX(
INDIRECT("'シフト一覧（転載）'!"&amp;BQ30&amp;":AK100"),1,
MATCH(1,INDEX((LEN(INDIRECT("'シフト一覧（転載）'!"&amp;BQ30&amp;":AK100"))&gt;0)
*(INDIRECT("'シフト一覧（転載）'!"&amp;BQ30&amp;":AK100")&lt;&gt;"休み"),1,0),0)),0),""),$E$9&amp;"保育無し")</f>
        <v>0</v>
      </c>
      <c r="BS30" s="21">
        <f t="array" aca="1" ref="BS30" ca="1">IFERROR(IF(BQ30&lt;&gt;0,ADDRESS(ROW(INDIRECT(BQ30)),
    COLUMN(INDIRECT(BQ30)) - 1 +
    MATCH(1,INDEX((LEN(INDIRECT("'シフト一覧（転載）'!"&amp;BQ30&amp;":AK100"))&gt;0)
            *(INDIRECT("'シフト一覧（転載）'!"&amp;BQ30&amp;":AK100")&lt;&gt;"休み"),
            1,0),0)+1,4),0),"")</f>
        <v>0</v>
      </c>
      <c r="BT30" s="21">
        <f t="array" aca="1" ref="BT30" ca="1">IFERROR(IF(BS30&lt;&gt;"",IF(BS30&lt;&gt;0,INDEX(
INDIRECT("'シフト一覧（転載）'!"&amp;BS30&amp;":AK100"),1,
MATCH(1,INDEX((LEN(INDIRECT("'シフト一覧（転載）'!"&amp;BS30&amp;":AK100"))&gt;0)
*(INDIRECT("'シフト一覧（転載）'!"&amp;BS30&amp;":AK100")&lt;&gt;"休み"),1,0),0)),0),""),$E$9&amp;"保育無し")</f>
        <v>0</v>
      </c>
      <c r="BU30" s="21">
        <f t="array" aca="1" ref="BU30" ca="1">IFERROR(IF(BS30&lt;&gt;0,ADDRESS(ROW(INDIRECT(BS30)),
    COLUMN(INDIRECT(BS30)) - 1 +
    MATCH(1,INDEX((LEN(INDIRECT("'シフト一覧（転載）'!"&amp;BS30&amp;":AK100"))&gt;0)
            *(INDIRECT("'シフト一覧（転載）'!"&amp;BS30&amp;":AK100")&lt;&gt;"休み"),
            1,0),0)+1,4),0),"")</f>
        <v>0</v>
      </c>
      <c r="BV30" s="21">
        <f t="array" aca="1" ref="BV30" ca="1">IFERROR(IF(BU30&lt;&gt;"",IF(BU30&lt;&gt;0,INDEX(
INDIRECT("'シフト一覧（転載）'!"&amp;BU30&amp;":AK100"),1,
MATCH(1,INDEX((LEN(INDIRECT("'シフト一覧（転載）'!"&amp;BU30&amp;":AK100"))&gt;0)
*(INDIRECT("'シフト一覧（転載）'!"&amp;BU30&amp;":AK100")&lt;&gt;"休み"),1,0),0)),0),""),$E$9&amp;"保育無し")</f>
        <v>0</v>
      </c>
      <c r="BW30" s="21">
        <f t="array" aca="1" ref="BW30" ca="1">IFERROR(IF(BU30&lt;&gt;0,ADDRESS(ROW(INDIRECT(BU30)),
    COLUMN(INDIRECT(BU30)) - 1 +
    MATCH(1,INDEX((LEN(INDIRECT("'シフト一覧（転載）'!"&amp;BU30&amp;":AK100"))&gt;0)
            *(INDIRECT("'シフト一覧（転載）'!"&amp;BU30&amp;":AK100")&lt;&gt;"休み"),
            1,0),0)+1,4),0),"")</f>
        <v>0</v>
      </c>
      <c r="BX30" s="21">
        <f t="array" aca="1" ref="BX30" ca="1">IFERROR(IF(BW30&lt;&gt;"",IF(BW30&lt;&gt;0,INDEX(
INDIRECT("'シフト一覧（転載）'!"&amp;BW30&amp;":AK100"),1,
MATCH(1,INDEX((LEN(INDIRECT("'シフト一覧（転載）'!"&amp;BW30&amp;":AK100"))&gt;0)
*(INDIRECT("'シフト一覧（転載）'!"&amp;BW30&amp;":AK100")&lt;&gt;"休み"),1,0),0)),0),""),$E$9&amp;"保育無し")</f>
        <v>0</v>
      </c>
      <c r="BY30" s="21">
        <f t="array" aca="1" ref="BY30" ca="1">IFERROR(IF(BW30&lt;&gt;0,ADDRESS(ROW(INDIRECT(BW30)),
    COLUMN(INDIRECT(BW30)) - 1 +
    MATCH(1,INDEX((LEN(INDIRECT("'シフト一覧（転載）'!"&amp;BW30&amp;":AK100"))&gt;0)
            *(INDIRECT("'シフト一覧（転載）'!"&amp;BW30&amp;":AK100")&lt;&gt;"休み"),
            1,0),0)+1,4),0),"")</f>
        <v>0</v>
      </c>
    </row>
    <row r="31" spans="1:77" ht="19.2" customHeight="1" x14ac:dyDescent="0.2">
      <c r="M31" s="93"/>
      <c r="N31" s="91"/>
      <c r="O31" s="95"/>
      <c r="P31" s="22">
        <f t="array" aca="1" ref="P31" ca="1">IFERROR(IF(M30&lt;&gt;"",INDEX('シフト一覧（転載）'!$F$8:$AK$100,
    MATCH(1,(ISNUMBER(SEARCH(M30,'シフト一覧（転載）'!$A$8:$A$100)))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MATCH(1,(ISNUMBER(SEARCH(M30,'シフト一覧（転載）'!$A$8:$A$100)))
                *(ISNUMBER(SEARCH($E$9,'シフト一覧（転載）'!$B$8:$B$100))),
                0),0),0)),0),"")</f>
        <v>0</v>
      </c>
      <c r="Q31" s="22">
        <f ca="1">IF(P30=0,0,
IF(OR(P30="",COUNTIF(P30,"*保育無し*")),"",
IF(MOD(P31-P30,1)*24&gt;=8,1,
IF(MOD(P31-P30,1)*24&gt;=6,0.75,0))))</f>
        <v>0</v>
      </c>
      <c r="R31" s="22">
        <f t="array" aca="1" ref="R31" ca="1">IFERROR(IF(Q30&lt;&gt;0,INDEX(
INDIRECT("'シフト一覧（転載）'!"&amp;Q30&amp;":AK100"),1+1,
MATCH(1,INDEX((LEN(INDIRECT("'シフト一覧（転載）'!"&amp;Q30&amp;":AK100"))&gt;0)
*(INDIRECT("'シフト一覧（転載）'!"&amp;Q30&amp;":AK100")&lt;&gt;"休み"),1,0),0)),0),"")</f>
        <v>0</v>
      </c>
      <c r="S31" s="22">
        <f ca="1">IF(R30=0,0,
IF(OR(R30="",COUNTIF(R30,"*保育無し*")),"",
IF(MOD(R31-R30,1)*24&gt;=8,1,
IF(MOD(R31-R30,1)*24&gt;=6,0.75,0))))</f>
        <v>0</v>
      </c>
      <c r="T31" s="22">
        <f t="array" aca="1" ref="T31" ca="1">IFERROR(IF(S30&lt;&gt;0,INDEX(
INDIRECT("'シフト一覧（転載）'!"&amp;S30&amp;":AK100"),1+1,
MATCH(1,INDEX((LEN(INDIRECT("'シフト一覧（転載）'!"&amp;S30&amp;":AK100"))&gt;0)
*(INDIRECT("'シフト一覧（転載）'!"&amp;S30&amp;":AK100")&lt;&gt;"休み"),1,0),0)),0),"")</f>
        <v>0</v>
      </c>
      <c r="U31" s="22">
        <f ca="1">IF(T30=0,0,
IF(OR(T30="",COUNTIF(T30,"*保育無し*")),"",
IF(MOD(T31-T30,1)*24&gt;=8,1,
IF(MOD(T31-T30,1)*24&gt;=6,0.75,0))))</f>
        <v>0</v>
      </c>
      <c r="V31" s="22">
        <f t="array" aca="1" ref="V31" ca="1">IFERROR(IF(U30&lt;&gt;0,INDEX(
INDIRECT("'シフト一覧（転載）'!"&amp;U30&amp;":AK100"),1+1,
MATCH(1,INDEX((LEN(INDIRECT("'シフト一覧（転載）'!"&amp;U30&amp;":AK100"))&gt;0)
*(INDIRECT("'シフト一覧（転載）'!"&amp;U30&amp;":AK100")&lt;&gt;"休み"),1,0),0)),0),"")</f>
        <v>0</v>
      </c>
      <c r="W31" s="22">
        <f ca="1">IF(V30=0,0,
IF(OR(V30="",COUNTIF(V30,"*保育無し*")),"",
IF(MOD(V31-V30,1)*24&gt;=8,1,
IF(MOD(V31-V30,1)*24&gt;=6,0.75,0))))</f>
        <v>0</v>
      </c>
      <c r="X31" s="22">
        <f t="array" aca="1" ref="X31" ca="1">IFERROR(IF(W30&lt;&gt;0,INDEX(
INDIRECT("'シフト一覧（転載）'!"&amp;W30&amp;":AK100"),1+1,
MATCH(1,INDEX((LEN(INDIRECT("'シフト一覧（転載）'!"&amp;W30&amp;":AK100"))&gt;0)
*(INDIRECT("'シフト一覧（転載）'!"&amp;W30&amp;":AK100")&lt;&gt;"休み"),1,0),0)),0),"")</f>
        <v>0</v>
      </c>
      <c r="Y31" s="22">
        <f ca="1">IF(X30=0,0,
IF(OR(X30="",COUNTIF(X30,"*保育無し*")),"",
IF(MOD(X31-X30,1)*24&gt;=8,1,
IF(MOD(X31-X30,1)*24&gt;=6,0.75,0))))</f>
        <v>0</v>
      </c>
      <c r="Z31" s="22">
        <f t="array" aca="1" ref="Z31" ca="1">IFERROR(IF(Y30&lt;&gt;0,INDEX(
INDIRECT("'シフト一覧（転載）'!"&amp;Y30&amp;":AK100"),1+1,
MATCH(1,INDEX((LEN(INDIRECT("'シフト一覧（転載）'!"&amp;Y30&amp;":AK100"))&gt;0)
*(INDIRECT("'シフト一覧（転載）'!"&amp;Y30&amp;":AK100")&lt;&gt;"休み"),1,0),0)),0),"")</f>
        <v>0</v>
      </c>
      <c r="AA31" s="22">
        <f ca="1">IF(Z30=0,0,
IF(OR(Z30="",COUNTIF(Z30,"*保育無し*")),"",
IF(MOD(Z31-Z30,1)*24&gt;=8,1,
IF(MOD(Z31-Z30,1)*24&gt;=6,0.75,0))))</f>
        <v>0</v>
      </c>
      <c r="AB31" s="22">
        <f t="array" aca="1" ref="AB31" ca="1">IFERROR(IF(AA30&lt;&gt;0,INDEX(
INDIRECT("'シフト一覧（転載）'!"&amp;AA30&amp;":AK100"),1+1,
MATCH(1,INDEX((LEN(INDIRECT("'シフト一覧（転載）'!"&amp;AA30&amp;":AK100"))&gt;0)
*(INDIRECT("'シフト一覧（転載）'!"&amp;AA30&amp;":AK100")&lt;&gt;"休み"),1,0),0)),0),"")</f>
        <v>0</v>
      </c>
      <c r="AC31" s="22">
        <f ca="1">IF(AB30=0,0,
IF(OR(AB30="",COUNTIF(AB30,"*保育無し*")),"",
IF(MOD(AB31-AB30,1)*24&gt;=8,1,
IF(MOD(AB31-AB30,1)*24&gt;=6,0.75,0))))</f>
        <v>0</v>
      </c>
      <c r="AD31" s="22">
        <f t="array" aca="1" ref="AD31" ca="1">IFERROR(IF(AC30&lt;&gt;0,INDEX(
INDIRECT("'シフト一覧（転載）'!"&amp;AC30&amp;":AK100"),1+1,
MATCH(1,INDEX((LEN(INDIRECT("'シフト一覧（転載）'!"&amp;AC30&amp;":AK100"))&gt;0)
*(INDIRECT("'シフト一覧（転載）'!"&amp;AC30&amp;":AK100")&lt;&gt;"休み"),1,0),0)),0),"")</f>
        <v>0</v>
      </c>
      <c r="AE31" s="22">
        <f ca="1">IF(AD30=0,0,
IF(OR(AD30="",COUNTIF(AD30,"*保育無し*")),"",
IF(MOD(AD31-AD30,1)*24&gt;=8,1,
IF(MOD(AD31-AD30,1)*24&gt;=6,0.75,0))))</f>
        <v>0</v>
      </c>
      <c r="AF31" s="22">
        <f t="array" aca="1" ref="AF31" ca="1">IFERROR(IF(AE30&lt;&gt;0,INDEX(
INDIRECT("'シフト一覧（転載）'!"&amp;AE30&amp;":AK100"),1+1,
MATCH(1,INDEX((LEN(INDIRECT("'シフト一覧（転載）'!"&amp;AE30&amp;":AK100"))&gt;0)
*(INDIRECT("'シフト一覧（転載）'!"&amp;AE30&amp;":AK100")&lt;&gt;"休み"),1,0),0)),0),"")</f>
        <v>0</v>
      </c>
      <c r="AG31" s="22">
        <f ca="1">IF(AF30=0,0,
IF(OR(AF30="",COUNTIF(AF30,"*保育無し*")),"",
IF(MOD(AF31-AF30,1)*24&gt;=8,1,
IF(MOD(AF31-AF30,1)*24&gt;=6,0.75,0))))</f>
        <v>0</v>
      </c>
      <c r="AH31" s="22">
        <f t="array" aca="1" ref="AH31" ca="1">IFERROR(IF(AG30&lt;&gt;0,INDEX(
INDIRECT("'シフト一覧（転載）'!"&amp;AG30&amp;":AK100"),1+1,
MATCH(1,INDEX((LEN(INDIRECT("'シフト一覧（転載）'!"&amp;AG30&amp;":AK100"))&gt;0)
*(INDIRECT("'シフト一覧（転載）'!"&amp;AG30&amp;":AK100")&lt;&gt;"休み"),1,0),0)),0),"")</f>
        <v>0</v>
      </c>
      <c r="AI31" s="22">
        <f ca="1">IF(AH30=0,0,
IF(OR(AH30="",COUNTIF(AH30,"*保育無し*")),"",
IF(MOD(AH31-AH30,1)*24&gt;=8,1,
IF(MOD(AH31-AH30,1)*24&gt;=6,0.75,0))))</f>
        <v>0</v>
      </c>
      <c r="AJ31" s="22">
        <f t="array" aca="1" ref="AJ31" ca="1">IFERROR(IF(AI30&lt;&gt;0,INDEX(
INDIRECT("'シフト一覧（転載）'!"&amp;AI30&amp;":AK100"),1+1,
MATCH(1,INDEX((LEN(INDIRECT("'シフト一覧（転載）'!"&amp;AI30&amp;":AK100"))&gt;0)
*(INDIRECT("'シフト一覧（転載）'!"&amp;AI30&amp;":AK100")&lt;&gt;"休み"),1,0),0)),0),"")</f>
        <v>0</v>
      </c>
      <c r="AK31" s="22">
        <f ca="1">IF(AJ30=0,0,
IF(OR(AJ30="",COUNTIF(AJ30,"*保育無し*")),"",
IF(MOD(AJ31-AJ30,1)*24&gt;=8,1,
IF(MOD(AJ31-AJ30,1)*24&gt;=6,0.75,0))))</f>
        <v>0</v>
      </c>
      <c r="AL31" s="22">
        <f t="array" aca="1" ref="AL31" ca="1">IFERROR(IF(AK30&lt;&gt;0,INDEX(
INDIRECT("'シフト一覧（転載）'!"&amp;AK30&amp;":AK100"),1+1,
MATCH(1,INDEX((LEN(INDIRECT("'シフト一覧（転載）'!"&amp;AK30&amp;":AK100"))&gt;0)
*(INDIRECT("'シフト一覧（転載）'!"&amp;AK30&amp;":AK100")&lt;&gt;"休み"),1,0),0)),0),"")</f>
        <v>0</v>
      </c>
      <c r="AM31" s="22">
        <f ca="1">IF(AL30=0,0,
IF(OR(AL30="",COUNTIF(AL30,"*保育無し*")),"",
IF(MOD(AL31-AL30,1)*24&gt;=8,1,
IF(MOD(AL31-AL30,1)*24&gt;=6,0.75,0))))</f>
        <v>0</v>
      </c>
      <c r="AN31" s="22">
        <f t="array" aca="1" ref="AN31" ca="1">IFERROR(IF(AM30&lt;&gt;0,INDEX(
INDIRECT("'シフト一覧（転載）'!"&amp;AM30&amp;":AK100"),1+1,
MATCH(1,INDEX((LEN(INDIRECT("'シフト一覧（転載）'!"&amp;AM30&amp;":AK100"))&gt;0)
*(INDIRECT("'シフト一覧（転載）'!"&amp;AM30&amp;":AK100")&lt;&gt;"休み"),1,0),0)),0),"")</f>
        <v>0</v>
      </c>
      <c r="AO31" s="22">
        <f ca="1">IF(AN30=0,0,
IF(OR(AN30="",COUNTIF(AN30,"*保育無し*")),"",
IF(MOD(AN31-AN30,1)*24&gt;=8,1,
IF(MOD(AN31-AN30,1)*24&gt;=6,0.75,0))))</f>
        <v>0</v>
      </c>
      <c r="AP31" s="22">
        <f t="array" aca="1" ref="AP31" ca="1">IFERROR(IF(AO30&lt;&gt;0,INDEX(
INDIRECT("'シフト一覧（転載）'!"&amp;AO30&amp;":AK100"),1+1,
MATCH(1,INDEX((LEN(INDIRECT("'シフト一覧（転載）'!"&amp;AO30&amp;":AK100"))&gt;0)
*(INDIRECT("'シフト一覧（転載）'!"&amp;AO30&amp;":AK100")&lt;&gt;"休み"),1,0),0)),0),"")</f>
        <v>0</v>
      </c>
      <c r="AQ31" s="22">
        <f ca="1">IF(AP30=0,0,
IF(OR(AP30="",COUNTIF(AP30,"*保育無し*")),"",
IF(MOD(AP31-AP30,1)*24&gt;=8,1,
IF(MOD(AP31-AP30,1)*24&gt;=6,0.75,0))))</f>
        <v>0</v>
      </c>
      <c r="AR31" s="22">
        <f t="array" aca="1" ref="AR31" ca="1">IFERROR(IF(AQ30&lt;&gt;0,INDEX(
INDIRECT("'シフト一覧（転載）'!"&amp;AQ30&amp;":AK100"),1+1,
MATCH(1,INDEX((LEN(INDIRECT("'シフト一覧（転載）'!"&amp;AQ30&amp;":AK100"))&gt;0)
*(INDIRECT("'シフト一覧（転載）'!"&amp;AQ30&amp;":AK100")&lt;&gt;"休み"),1,0),0)),0),"")</f>
        <v>0</v>
      </c>
      <c r="AS31" s="22">
        <f ca="1">IF(AR30=0,0,
IF(OR(AR30="",COUNTIF(AR30,"*保育無し*")),"",
IF(MOD(AR31-AR30,1)*24&gt;=8,1,
IF(MOD(AR31-AR30,1)*24&gt;=6,0.75,0))))</f>
        <v>0</v>
      </c>
      <c r="AT31" s="22">
        <f t="array" aca="1" ref="AT31" ca="1">IFERROR(IF(AS30&lt;&gt;0,INDEX(
INDIRECT("'シフト一覧（転載）'!"&amp;AS30&amp;":AK100"),1+1,
MATCH(1,INDEX((LEN(INDIRECT("'シフト一覧（転載）'!"&amp;AS30&amp;":AK100"))&gt;0)
*(INDIRECT("'シフト一覧（転載）'!"&amp;AS30&amp;":AK100")&lt;&gt;"休み"),1,0),0)),0),"")</f>
        <v>0</v>
      </c>
      <c r="AU31" s="22">
        <f ca="1">IF(AT30=0,0,
IF(OR(AT30="",COUNTIF(AT30,"*保育無し*")),"",
IF(MOD(AT31-AT30,1)*24&gt;=8,1,
IF(MOD(AT31-AT30,1)*24&gt;=6,0.75,0))))</f>
        <v>0</v>
      </c>
      <c r="AV31" s="22">
        <f t="array" aca="1" ref="AV31" ca="1">IFERROR(IF(AU30&lt;&gt;0,INDEX(
INDIRECT("'シフト一覧（転載）'!"&amp;AU30&amp;":AK100"),1+1,
MATCH(1,INDEX((LEN(INDIRECT("'シフト一覧（転載）'!"&amp;AU30&amp;":AK100"))&gt;0)
*(INDIRECT("'シフト一覧（転載）'!"&amp;AU30&amp;":AK100")&lt;&gt;"休み"),1,0),0)),0),"")</f>
        <v>0</v>
      </c>
      <c r="AW31" s="22">
        <f ca="1">IF(AV30=0,0,
IF(OR(AV30="",COUNTIF(AV30,"*保育無し*")),"",
IF(MOD(AV31-AV30,1)*24&gt;=8,1,
IF(MOD(AV31-AV30,1)*24&gt;=6,0.75,0))))</f>
        <v>0</v>
      </c>
      <c r="AX31" s="22">
        <f t="array" aca="1" ref="AX31" ca="1">IFERROR(IF(AW30&lt;&gt;0,INDEX(
INDIRECT("'シフト一覧（転載）'!"&amp;AW30&amp;":AK100"),1+1,
MATCH(1,INDEX((LEN(INDIRECT("'シフト一覧（転載）'!"&amp;AW30&amp;":AK100"))&gt;0)
*(INDIRECT("'シフト一覧（転載）'!"&amp;AW30&amp;":AK100")&lt;&gt;"休み"),1,0),0)),0),"")</f>
        <v>0</v>
      </c>
      <c r="AY31" s="22">
        <f ca="1">IF(AX30=0,0,
IF(OR(AX30="",COUNTIF(AX30,"*保育無し*")),"",
IF(MOD(AX31-AX30,1)*24&gt;=8,1,
IF(MOD(AX31-AX30,1)*24&gt;=6,0.75,0))))</f>
        <v>0</v>
      </c>
      <c r="AZ31" s="22">
        <f t="array" aca="1" ref="AZ31" ca="1">IFERROR(IF(AY30&lt;&gt;0,INDEX(
INDIRECT("'シフト一覧（転載）'!"&amp;AY30&amp;":AK100"),1+1,
MATCH(1,INDEX((LEN(INDIRECT("'シフト一覧（転載）'!"&amp;AY30&amp;":AK100"))&gt;0)
*(INDIRECT("'シフト一覧（転載）'!"&amp;AY30&amp;":AK100")&lt;&gt;"休み"),1,0),0)),0),"")</f>
        <v>0</v>
      </c>
      <c r="BA31" s="22">
        <f ca="1">IF(AZ30=0,0,
IF(OR(AZ30="",COUNTIF(AZ30,"*保育無し*")),"",
IF(MOD(AZ31-AZ30,1)*24&gt;=8,1,
IF(MOD(AZ31-AZ30,1)*24&gt;=6,0.75,0))))</f>
        <v>0</v>
      </c>
      <c r="BB31" s="22">
        <f t="array" aca="1" ref="BB31" ca="1">IFERROR(IF(BA30&lt;&gt;0,INDEX(
INDIRECT("'シフト一覧（転載）'!"&amp;BA30&amp;":AK100"),1+1,
MATCH(1,INDEX((LEN(INDIRECT("'シフト一覧（転載）'!"&amp;BA30&amp;":AK100"))&gt;0)
*(INDIRECT("'シフト一覧（転載）'!"&amp;BA30&amp;":AK100")&lt;&gt;"休み"),1,0),0)),0),"")</f>
        <v>0</v>
      </c>
      <c r="BC31" s="22">
        <f ca="1">IF(BB30=0,0,
IF(OR(BB30="",COUNTIF(BB30,"*保育無し*")),"",
IF(MOD(BB31-BB30,1)*24&gt;=8,1,
IF(MOD(BB31-BB30,1)*24&gt;=6,0.75,0))))</f>
        <v>0</v>
      </c>
      <c r="BD31" s="22">
        <f t="array" aca="1" ref="BD31" ca="1">IFERROR(IF(BC30&lt;&gt;0,INDEX(
INDIRECT("'シフト一覧（転載）'!"&amp;BC30&amp;":AK100"),1+1,
MATCH(1,INDEX((LEN(INDIRECT("'シフト一覧（転載）'!"&amp;BC30&amp;":AK100"))&gt;0)
*(INDIRECT("'シフト一覧（転載）'!"&amp;BC30&amp;":AK100")&lt;&gt;"休み"),1,0),0)),0),"")</f>
        <v>0</v>
      </c>
      <c r="BE31" s="22">
        <f ca="1">IF(BD30=0,0,
IF(OR(BD30="",COUNTIF(BD30,"*保育無し*")),"",
IF(MOD(BD31-BD30,1)*24&gt;=8,1,
IF(MOD(BD31-BD30,1)*24&gt;=6,0.75,0))))</f>
        <v>0</v>
      </c>
      <c r="BF31" s="22">
        <f t="array" aca="1" ref="BF31" ca="1">IFERROR(IF(BE30&lt;&gt;0,INDEX(
INDIRECT("'シフト一覧（転載）'!"&amp;BE30&amp;":AK100"),1+1,
MATCH(1,INDEX((LEN(INDIRECT("'シフト一覧（転載）'!"&amp;BE30&amp;":AK100"))&gt;0)
*(INDIRECT("'シフト一覧（転載）'!"&amp;BE30&amp;":AK100")&lt;&gt;"休み"),1,0),0)),0),"")</f>
        <v>0</v>
      </c>
      <c r="BG31" s="22">
        <f ca="1">IF(BF30=0,0,
IF(OR(BF30="",COUNTIF(BF30,"*保育無し*")),"",
IF(MOD(BF31-BF30,1)*24&gt;=8,1,
IF(MOD(BF31-BF30,1)*24&gt;=6,0.75,0))))</f>
        <v>0</v>
      </c>
      <c r="BH31" s="22">
        <f t="array" aca="1" ref="BH31" ca="1">IFERROR(IF(BG30&lt;&gt;0,INDEX(
INDIRECT("'シフト一覧（転載）'!"&amp;BG30&amp;":AK100"),1+1,
MATCH(1,INDEX((LEN(INDIRECT("'シフト一覧（転載）'!"&amp;BG30&amp;":AK100"))&gt;0)
*(INDIRECT("'シフト一覧（転載）'!"&amp;BG30&amp;":AK100")&lt;&gt;"休み"),1,0),0)),0),"")</f>
        <v>0</v>
      </c>
      <c r="BI31" s="22">
        <f ca="1">IF(BH30=0,0,
IF(OR(BH30="",COUNTIF(BH30,"*保育無し*")),"",
IF(MOD(BH31-BH30,1)*24&gt;=8,1,
IF(MOD(BH31-BH30,1)*24&gt;=6,0.75,0))))</f>
        <v>0</v>
      </c>
      <c r="BJ31" s="22">
        <f t="array" aca="1" ref="BJ31" ca="1">IFERROR(IF(BI30&lt;&gt;0,INDEX(
INDIRECT("'シフト一覧（転載）'!"&amp;BI30&amp;":AK100"),1+1,
MATCH(1,INDEX((LEN(INDIRECT("'シフト一覧（転載）'!"&amp;BI30&amp;":AK100"))&gt;0)
*(INDIRECT("'シフト一覧（転載）'!"&amp;BI30&amp;":AK100")&lt;&gt;"休み"),1,0),0)),0),"")</f>
        <v>0</v>
      </c>
      <c r="BK31" s="22">
        <f ca="1">IF(BJ30=0,0,
IF(OR(BJ30="",COUNTIF(BJ30,"*保育無し*")),"",
IF(MOD(BJ31-BJ30,1)*24&gt;=8,1,
IF(MOD(BJ31-BJ30,1)*24&gt;=6,0.75,0))))</f>
        <v>0</v>
      </c>
      <c r="BL31" s="22">
        <f t="array" aca="1" ref="BL31" ca="1">IFERROR(IF(BK30&lt;&gt;0,INDEX(
INDIRECT("'シフト一覧（転載）'!"&amp;BK30&amp;":AK100"),1+1,
MATCH(1,INDEX((LEN(INDIRECT("'シフト一覧（転載）'!"&amp;BK30&amp;":AK100"))&gt;0)
*(INDIRECT("'シフト一覧（転載）'!"&amp;BK30&amp;":AK100")&lt;&gt;"休み"),1,0),0)),0),"")</f>
        <v>0</v>
      </c>
      <c r="BM31" s="22">
        <f ca="1">IF(BL30=0,0,
IF(OR(BL30="",COUNTIF(BL30,"*保育無し*")),"",
IF(MOD(BL31-BL30,1)*24&gt;=8,1,
IF(MOD(BL31-BL30,1)*24&gt;=6,0.75,0))))</f>
        <v>0</v>
      </c>
      <c r="BN31" s="22">
        <f t="array" aca="1" ref="BN31" ca="1">IFERROR(IF(BM30&lt;&gt;0,INDEX(
INDIRECT("'シフト一覧（転載）'!"&amp;BM30&amp;":AK100"),1+1,
MATCH(1,INDEX((LEN(INDIRECT("'シフト一覧（転載）'!"&amp;BM30&amp;":AK100"))&gt;0)
*(INDIRECT("'シフト一覧（転載）'!"&amp;BM30&amp;":AK100")&lt;&gt;"休み"),1,0),0)),0),"")</f>
        <v>0</v>
      </c>
      <c r="BO31" s="22">
        <f ca="1">IF(BN30=0,0,
IF(OR(BN30="",COUNTIF(BN30,"*保育無し*")),"",
IF(MOD(BN31-BN30,1)*24&gt;=8,1,
IF(MOD(BN31-BN30,1)*24&gt;=6,0.75,0))))</f>
        <v>0</v>
      </c>
      <c r="BP31" s="22">
        <f t="array" aca="1" ref="BP31" ca="1">IFERROR(IF(BO30&lt;&gt;0,INDEX(
INDIRECT("'シフト一覧（転載）'!"&amp;BO30&amp;":AK100"),1+1,
MATCH(1,INDEX((LEN(INDIRECT("'シフト一覧（転載）'!"&amp;BO30&amp;":AK100"))&gt;0)
*(INDIRECT("'シフト一覧（転載）'!"&amp;BO30&amp;":AK100")&lt;&gt;"休み"),1,0),0)),0),"")</f>
        <v>0</v>
      </c>
      <c r="BQ31" s="22">
        <f ca="1">IF(BP30=0,0,
IF(OR(BP30="",COUNTIF(BP30,"*保育無し*")),"",
IF(MOD(BP31-BP30,1)*24&gt;=8,1,
IF(MOD(BP31-BP30,1)*24&gt;=6,0.75,0))))</f>
        <v>0</v>
      </c>
      <c r="BR31" s="22">
        <f t="array" aca="1" ref="BR31" ca="1">IFERROR(IF(BQ30&lt;&gt;0,INDEX(
INDIRECT("'シフト一覧（転載）'!"&amp;BQ30&amp;":AK100"),1+1,
MATCH(1,INDEX((LEN(INDIRECT("'シフト一覧（転載）'!"&amp;BQ30&amp;":AK100"))&gt;0)
*(INDIRECT("'シフト一覧（転載）'!"&amp;BQ30&amp;":AK100")&lt;&gt;"休み"),1,0),0)),0),"")</f>
        <v>0</v>
      </c>
      <c r="BS31" s="22">
        <f ca="1">IF(BR30=0,0,
IF(OR(BR30="",COUNTIF(BR30,"*保育無し*")),"",
IF(MOD(BR31-BR30,1)*24&gt;=8,1,
IF(MOD(BR31-BR30,1)*24&gt;=6,0.75,0))))</f>
        <v>0</v>
      </c>
      <c r="BT31" s="22">
        <f t="array" aca="1" ref="BT31" ca="1">IFERROR(IF(BS30&lt;&gt;0,INDEX(
INDIRECT("'シフト一覧（転載）'!"&amp;BS30&amp;":AK100"),1+1,
MATCH(1,INDEX((LEN(INDIRECT("'シフト一覧（転載）'!"&amp;BS30&amp;":AK100"))&gt;0)
*(INDIRECT("'シフト一覧（転載）'!"&amp;BS30&amp;":AK100")&lt;&gt;"休み"),1,0),0)),0),"")</f>
        <v>0</v>
      </c>
      <c r="BU31" s="22">
        <f ca="1">IF(BT30=0,0,
IF(OR(BT30="",COUNTIF(BT30,"*保育無し*")),"",
IF(MOD(BT31-BT30,1)*24&gt;=8,1,
IF(MOD(BT31-BT30,1)*24&gt;=6,0.75,0))))</f>
        <v>0</v>
      </c>
      <c r="BV31" s="22">
        <f t="array" aca="1" ref="BV31" ca="1">IFERROR(IF(BU30&lt;&gt;0,INDEX(
INDIRECT("'シフト一覧（転載）'!"&amp;BU30&amp;":AK100"),1+1,
MATCH(1,INDEX((LEN(INDIRECT("'シフト一覧（転載）'!"&amp;BU30&amp;":AK100"))&gt;0)
*(INDIRECT("'シフト一覧（転載）'!"&amp;BU30&amp;":AK100")&lt;&gt;"休み"),1,0),0)),0),"")</f>
        <v>0</v>
      </c>
      <c r="BW31" s="22">
        <f ca="1">IF(BV30=0,0,
IF(OR(BV30="",COUNTIF(BV30,"*保育無し*")),"",
IF(MOD(BV31-BV30,1)*24&gt;=8,1,
IF(MOD(BV31-BV30,1)*24&gt;=6,0.75,0))))</f>
        <v>0</v>
      </c>
      <c r="BX31" s="22">
        <f t="array" aca="1" ref="BX31" ca="1">IFERROR(IF(BW30&lt;&gt;0,INDEX(
INDIRECT("'シフト一覧（転載）'!"&amp;BW30&amp;":AK100"),1+1,
MATCH(1,INDEX((LEN(INDIRECT("'シフト一覧（転載）'!"&amp;BW30&amp;":AK100"))&gt;0)
*(INDIRECT("'シフト一覧（転載）'!"&amp;BW30&amp;":AK100")&lt;&gt;"休み"),1,0),0)),0),"")</f>
        <v>0</v>
      </c>
      <c r="BY31" s="22">
        <f ca="1">IF(BX30=0,0,
IF(OR(BX30="",COUNTIF(BX30,"*保育無し*")),"",
IF(MOD(BX31-BX30,1)*24&gt;=8,1,
IF(MOD(BX31-BX30,1)*24&gt;=6,0.75,0))))</f>
        <v>0</v>
      </c>
    </row>
    <row r="32" spans="1:77" ht="19.2" customHeight="1" x14ac:dyDescent="0.2">
      <c r="M32" s="92" t="str">
        <f t="array" aca="1" ref="M32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2" s="90" t="str">
        <f ca="1">IF(M32&lt;&gt;"",VLOOKUP(M32,$I$12:$J$27,2,FALSE),"")</f>
        <v/>
      </c>
      <c r="O32" s="94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21">
        <f t="array" aca="1" ref="P32" ca="1">IFERROR(IF(M32&lt;&gt;"",INDEX('シフト一覧（転載）'!$F$8:$AK$100,
    MATCH(1,(ISNUMBER(SEARCH(M32,'シフト一覧（転載）'!$A$8:$A$100)))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MATCH(1,(ISNUMBER(SEARCH(M32,'シフト一覧（転載）'!$A$8:$A$100)))
                *(ISNUMBER(SEARCH($E$9,'シフト一覧（転載）'!$B$8:$B$100))),
                0),0),0)),0),$E$9&amp;"保育無し")</f>
        <v>0</v>
      </c>
      <c r="Q32" s="21">
        <f t="array" aca="1" ref="Q32" ca="1">IFERROR(IF(COUNTIF(P32,"*無*"),"",IF(M32&lt;&gt;"",ADDRESS(
    MATCH(1,(ISNUMBER(SEARCH(M32,'シフト一覧（転載）'!$A$8:$A$100)))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MATCH(1,(ISNUMBER(SEARCH(M32,'シフト一覧（転載）'!$A$8:$A$100)))
                *(ISNUMBER(SEARCH($E$9,'シフト一覧（転載）'!$B$8:$B$100))),0),0),0) + 6,4),0)),0)</f>
        <v>0</v>
      </c>
      <c r="R32" s="21">
        <f t="array" aca="1" ref="R32" ca="1">IFERROR(IF(Q32&lt;&gt;"",IF(Q32&lt;&gt;0,INDEX(
INDIRECT("'シフト一覧（転載）'!"&amp;Q32&amp;":AK100"),1,
MATCH(1,INDEX((LEN(INDIRECT("'シフト一覧（転載）'!"&amp;Q32&amp;":AK100"))&gt;0)
*(INDIRECT("'シフト一覧（転載）'!"&amp;Q32&amp;":AK100")&lt;&gt;"休み"),1,0),0)),0),""),$E$9&amp;"保育無し")</f>
        <v>0</v>
      </c>
      <c r="S32" s="21">
        <f t="array" aca="1" ref="S32" ca="1">IFERROR(IF(Q32&lt;&gt;0,ADDRESS(ROW(INDIRECT(Q32)),
    COLUMN(INDIRECT(Q32)) - 1 +
    MATCH(1,INDEX((LEN(INDIRECT("'シフト一覧（転載）'!"&amp;Q32&amp;":AK100"))&gt;0)
            *(INDIRECT("'シフト一覧（転載）'!"&amp;Q32&amp;":AK100")&lt;&gt;"休み"),
            1,0),0)+1,4),0),"")</f>
        <v>0</v>
      </c>
      <c r="T32" s="21">
        <f t="array" aca="1" ref="T32" ca="1">IFERROR(IF(S32&lt;&gt;"",IF(S32&lt;&gt;0,INDEX(
INDIRECT("'シフト一覧（転載）'!"&amp;S32&amp;":AK100"),1,
MATCH(1,INDEX((LEN(INDIRECT("'シフト一覧（転載）'!"&amp;S32&amp;":AK100"))&gt;0)
*(INDIRECT("'シフト一覧（転載）'!"&amp;S32&amp;":AK100")&lt;&gt;"休み"),1,0),0)),0),""),$E$9&amp;"保育無し")</f>
        <v>0</v>
      </c>
      <c r="U32" s="21">
        <f t="array" aca="1" ref="U32" ca="1">IFERROR(IF(S32&lt;&gt;0,ADDRESS(ROW(INDIRECT(S32)),
    COLUMN(INDIRECT(S32)) - 1 +
    MATCH(1,INDEX((LEN(INDIRECT("'シフト一覧（転載）'!"&amp;S32&amp;":AK100"))&gt;0)
            *(INDIRECT("'シフト一覧（転載）'!"&amp;S32&amp;":AK100")&lt;&gt;"休み"),
            1,0),0)+1,4),0),"")</f>
        <v>0</v>
      </c>
      <c r="V32" s="21">
        <f t="array" aca="1" ref="V32" ca="1">IFERROR(IF(U32&lt;&gt;"",IF(U32&lt;&gt;0,INDEX(
INDIRECT("'シフト一覧（転載）'!"&amp;U32&amp;":AK100"),1,
MATCH(1,INDEX((LEN(INDIRECT("'シフト一覧（転載）'!"&amp;U32&amp;":AK100"))&gt;0)
*(INDIRECT("'シフト一覧（転載）'!"&amp;U32&amp;":AK100")&lt;&gt;"休み"),1,0),0)),0),""),$E$9&amp;"保育無し")</f>
        <v>0</v>
      </c>
      <c r="W32" s="21">
        <f t="array" aca="1" ref="W32" ca="1">IFERROR(IF(U32&lt;&gt;0,ADDRESS(ROW(INDIRECT(U32)),
    COLUMN(INDIRECT(U32)) - 1 +
    MATCH(1,INDEX((LEN(INDIRECT("'シフト一覧（転載）'!"&amp;U32&amp;":AK100"))&gt;0)
            *(INDIRECT("'シフト一覧（転載）'!"&amp;U32&amp;":AK100")&lt;&gt;"休み"),
            1,0),0)+1,4),0),"")</f>
        <v>0</v>
      </c>
      <c r="X32" s="21">
        <f t="array" aca="1" ref="X32" ca="1">IFERROR(IF(W32&lt;&gt;"",IF(W32&lt;&gt;0,INDEX(
INDIRECT("'シフト一覧（転載）'!"&amp;W32&amp;":AK100"),1,
MATCH(1,INDEX((LEN(INDIRECT("'シフト一覧（転載）'!"&amp;W32&amp;":AK100"))&gt;0)
*(INDIRECT("'シフト一覧（転載）'!"&amp;W32&amp;":AK100")&lt;&gt;"休み"),1,0),0)),0),""),$E$9&amp;"保育無し")</f>
        <v>0</v>
      </c>
      <c r="Y32" s="21">
        <f t="array" aca="1" ref="Y32" ca="1">IFERROR(IF(W32&lt;&gt;0,ADDRESS(ROW(INDIRECT(W32)),
    COLUMN(INDIRECT(W32)) - 1 +
    MATCH(1,INDEX((LEN(INDIRECT("'シフト一覧（転載）'!"&amp;W32&amp;":AK100"))&gt;0)
            *(INDIRECT("'シフト一覧（転載）'!"&amp;W32&amp;":AK100")&lt;&gt;"休み"),
            1,0),0)+1,4),0),"")</f>
        <v>0</v>
      </c>
      <c r="Z32" s="21">
        <f t="array" aca="1" ref="Z32" ca="1">IFERROR(IF(Y32&lt;&gt;"",IF(Y32&lt;&gt;0,INDEX(
INDIRECT("'シフト一覧（転載）'!"&amp;Y32&amp;":AK100"),1,
MATCH(1,INDEX((LEN(INDIRECT("'シフト一覧（転載）'!"&amp;Y32&amp;":AK100"))&gt;0)
*(INDIRECT("'シフト一覧（転載）'!"&amp;Y32&amp;":AK100")&lt;&gt;"休み"),1,0),0)),0),""),$E$9&amp;"保育無し")</f>
        <v>0</v>
      </c>
      <c r="AA32" s="21">
        <f t="array" aca="1" ref="AA32" ca="1">IFERROR(IF(Y32&lt;&gt;0,ADDRESS(ROW(INDIRECT(Y32)),
    COLUMN(INDIRECT(Y32)) - 1 +
    MATCH(1,INDEX((LEN(INDIRECT("'シフト一覧（転載）'!"&amp;Y32&amp;":AK100"))&gt;0)
            *(INDIRECT("'シフト一覧（転載）'!"&amp;Y32&amp;":AK100")&lt;&gt;"休み"),
            1,0),0)+1,4),0),"")</f>
        <v>0</v>
      </c>
      <c r="AB32" s="21">
        <f t="array" aca="1" ref="AB32" ca="1">IFERROR(IF(AA32&lt;&gt;"",IF(AA32&lt;&gt;0,INDEX(
INDIRECT("'シフト一覧（転載）'!"&amp;AA32&amp;":AK100"),1,
MATCH(1,INDEX((LEN(INDIRECT("'シフト一覧（転載）'!"&amp;AA32&amp;":AK100"))&gt;0)
*(INDIRECT("'シフト一覧（転載）'!"&amp;AA32&amp;":AK100")&lt;&gt;"休み"),1,0),0)),0),""),$E$9&amp;"保育無し")</f>
        <v>0</v>
      </c>
      <c r="AC32" s="21">
        <f t="array" aca="1" ref="AC32" ca="1">IFERROR(IF(AA32&lt;&gt;0,ADDRESS(ROW(INDIRECT(AA32)),
    COLUMN(INDIRECT(AA32)) - 1 +
    MATCH(1,INDEX((LEN(INDIRECT("'シフト一覧（転載）'!"&amp;AA32&amp;":AK100"))&gt;0)
            *(INDIRECT("'シフト一覧（転載）'!"&amp;AA32&amp;":AK100")&lt;&gt;"休み"),
            1,0),0)+1,4),0),"")</f>
        <v>0</v>
      </c>
      <c r="AD32" s="21">
        <f t="array" aca="1" ref="AD32" ca="1">IFERROR(IF(AC32&lt;&gt;"",IF(AC32&lt;&gt;0,INDEX(
INDIRECT("'シフト一覧（転載）'!"&amp;AC32&amp;":AK100"),1,
MATCH(1,INDEX((LEN(INDIRECT("'シフト一覧（転載）'!"&amp;AC32&amp;":AK100"))&gt;0)
*(INDIRECT("'シフト一覧（転載）'!"&amp;AC32&amp;":AK100")&lt;&gt;"休み"),1,0),0)),0),""),$E$9&amp;"保育無し")</f>
        <v>0</v>
      </c>
      <c r="AE32" s="21">
        <f t="array" aca="1" ref="AE32" ca="1">IFERROR(IF(AC32&lt;&gt;0,ADDRESS(ROW(INDIRECT(AC32)),
    COLUMN(INDIRECT(AC32)) - 1 +
    MATCH(1,INDEX((LEN(INDIRECT("'シフト一覧（転載）'!"&amp;AC32&amp;":AK100"))&gt;0)
            *(INDIRECT("'シフト一覧（転載）'!"&amp;AC32&amp;":AK100")&lt;&gt;"休み"),
            1,0),0)+1,4),0),"")</f>
        <v>0</v>
      </c>
      <c r="AF32" s="21">
        <f t="array" aca="1" ref="AF32" ca="1">IFERROR(IF(AE32&lt;&gt;"",IF(AE32&lt;&gt;0,INDEX(
INDIRECT("'シフト一覧（転載）'!"&amp;AE32&amp;":AK100"),1,
MATCH(1,INDEX((LEN(INDIRECT("'シフト一覧（転載）'!"&amp;AE32&amp;":AK100"))&gt;0)
*(INDIRECT("'シフト一覧（転載）'!"&amp;AE32&amp;":AK100")&lt;&gt;"休み"),1,0),0)),0),""),$E$9&amp;"保育無し")</f>
        <v>0</v>
      </c>
      <c r="AG32" s="21">
        <f t="array" aca="1" ref="AG32" ca="1">IFERROR(IF(AE32&lt;&gt;0,ADDRESS(ROW(INDIRECT(AE32)),
    COLUMN(INDIRECT(AE32)) - 1 +
    MATCH(1,INDEX((LEN(INDIRECT("'シフト一覧（転載）'!"&amp;AE32&amp;":AK100"))&gt;0)
            *(INDIRECT("'シフト一覧（転載）'!"&amp;AE32&amp;":AK100")&lt;&gt;"休み"),
            1,0),0)+1,4),0),"")</f>
        <v>0</v>
      </c>
      <c r="AH32" s="21">
        <f t="array" aca="1" ref="AH32" ca="1">IFERROR(IF(AG32&lt;&gt;"",IF(AG32&lt;&gt;0,INDEX(
INDIRECT("'シフト一覧（転載）'!"&amp;AG32&amp;":AK100"),1,
MATCH(1,INDEX((LEN(INDIRECT("'シフト一覧（転載）'!"&amp;AG32&amp;":AK100"))&gt;0)
*(INDIRECT("'シフト一覧（転載）'!"&amp;AG32&amp;":AK100")&lt;&gt;"休み"),1,0),0)),0),""),$E$9&amp;"保育無し")</f>
        <v>0</v>
      </c>
      <c r="AI32" s="21">
        <f t="array" aca="1" ref="AI32" ca="1">IFERROR(IF(AG32&lt;&gt;0,ADDRESS(ROW(INDIRECT(AG32)),
    COLUMN(INDIRECT(AG32)) - 1 +
    MATCH(1,INDEX((LEN(INDIRECT("'シフト一覧（転載）'!"&amp;AG32&amp;":AK100"))&gt;0)
            *(INDIRECT("'シフト一覧（転載）'!"&amp;AG32&amp;":AK100")&lt;&gt;"休み"),
            1,0),0)+1,4),0),"")</f>
        <v>0</v>
      </c>
      <c r="AJ32" s="21">
        <f t="array" aca="1" ref="AJ32" ca="1">IFERROR(IF(AI32&lt;&gt;"",IF(AI32&lt;&gt;0,INDEX(
INDIRECT("'シフト一覧（転載）'!"&amp;AI32&amp;":AK100"),1,
MATCH(1,INDEX((LEN(INDIRECT("'シフト一覧（転載）'!"&amp;AI32&amp;":AK100"))&gt;0)
*(INDIRECT("'シフト一覧（転載）'!"&amp;AI32&amp;":AK100")&lt;&gt;"休み"),1,0),0)),0),""),$E$9&amp;"保育無し")</f>
        <v>0</v>
      </c>
      <c r="AK32" s="21">
        <f t="array" aca="1" ref="AK32" ca="1">IFERROR(IF(AI32&lt;&gt;0,ADDRESS(ROW(INDIRECT(AI32)),
    COLUMN(INDIRECT(AI32)) - 1 +
    MATCH(1,INDEX((LEN(INDIRECT("'シフト一覧（転載）'!"&amp;AI32&amp;":AK100"))&gt;0)
            *(INDIRECT("'シフト一覧（転載）'!"&amp;AI32&amp;":AK100")&lt;&gt;"休み"),
            1,0),0)+1,4),0),"")</f>
        <v>0</v>
      </c>
      <c r="AL32" s="21">
        <f t="array" aca="1" ref="AL32" ca="1">IFERROR(IF(AK32&lt;&gt;"",IF(AK32&lt;&gt;0,INDEX(
INDIRECT("'シフト一覧（転載）'!"&amp;AK32&amp;":AK100"),1,
MATCH(1,INDEX((LEN(INDIRECT("'シフト一覧（転載）'!"&amp;AK32&amp;":AK100"))&gt;0)
*(INDIRECT("'シフト一覧（転載）'!"&amp;AK32&amp;":AK100")&lt;&gt;"休み"),1,0),0)),0),""),$E$9&amp;"保育無し")</f>
        <v>0</v>
      </c>
      <c r="AM32" s="21">
        <f t="array" aca="1" ref="AM32" ca="1">IFERROR(IF(AK32&lt;&gt;0,ADDRESS(ROW(INDIRECT(AK32)),
    COLUMN(INDIRECT(AK32)) - 1 +
    MATCH(1,INDEX((LEN(INDIRECT("'シフト一覧（転載）'!"&amp;AK32&amp;":AK100"))&gt;0)
            *(INDIRECT("'シフト一覧（転載）'!"&amp;AK32&amp;":AK100")&lt;&gt;"休み"),
            1,0),0)+1,4),0),"")</f>
        <v>0</v>
      </c>
      <c r="AN32" s="21">
        <f t="array" aca="1" ref="AN32" ca="1">IFERROR(IF(AM32&lt;&gt;"",IF(AM32&lt;&gt;0,INDEX(
INDIRECT("'シフト一覧（転載）'!"&amp;AM32&amp;":AK100"),1,
MATCH(1,INDEX((LEN(INDIRECT("'シフト一覧（転載）'!"&amp;AM32&amp;":AK100"))&gt;0)
*(INDIRECT("'シフト一覧（転載）'!"&amp;AM32&amp;":AK100")&lt;&gt;"休み"),1,0),0)),0),""),$E$9&amp;"保育無し")</f>
        <v>0</v>
      </c>
      <c r="AO32" s="21">
        <f t="array" aca="1" ref="AO32" ca="1">IFERROR(IF(AM32&lt;&gt;0,ADDRESS(ROW(INDIRECT(AM32)),
    COLUMN(INDIRECT(AM32)) - 1 +
    MATCH(1,INDEX((LEN(INDIRECT("'シフト一覧（転載）'!"&amp;AM32&amp;":AK100"))&gt;0)
            *(INDIRECT("'シフト一覧（転載）'!"&amp;AM32&amp;":AK100")&lt;&gt;"休み"),
            1,0),0)+1,4),0),"")</f>
        <v>0</v>
      </c>
      <c r="AP32" s="21">
        <f t="array" aca="1" ref="AP32" ca="1">IFERROR(IF(AO32&lt;&gt;"",IF(AO32&lt;&gt;0,INDEX(
INDIRECT("'シフト一覧（転載）'!"&amp;AO32&amp;":AK100"),1,
MATCH(1,INDEX((LEN(INDIRECT("'シフト一覧（転載）'!"&amp;AO32&amp;":AK100"))&gt;0)
*(INDIRECT("'シフト一覧（転載）'!"&amp;AO32&amp;":AK100")&lt;&gt;"休み"),1,0),0)),0),""),$E$9&amp;"保育無し")</f>
        <v>0</v>
      </c>
      <c r="AQ32" s="21">
        <f t="array" aca="1" ref="AQ32" ca="1">IFERROR(IF(AO32&lt;&gt;0,ADDRESS(ROW(INDIRECT(AO32)),
    COLUMN(INDIRECT(AO32)) - 1 +
    MATCH(1,INDEX((LEN(INDIRECT("'シフト一覧（転載）'!"&amp;AO32&amp;":AK100"))&gt;0)
            *(INDIRECT("'シフト一覧（転載）'!"&amp;AO32&amp;":AK100")&lt;&gt;"休み"),
            1,0),0)+1,4),0),"")</f>
        <v>0</v>
      </c>
      <c r="AR32" s="21">
        <f t="array" aca="1" ref="AR32" ca="1">IFERROR(IF(AQ32&lt;&gt;"",IF(AQ32&lt;&gt;0,INDEX(
INDIRECT("'シフト一覧（転載）'!"&amp;AQ32&amp;":AK100"),1,
MATCH(1,INDEX((LEN(INDIRECT("'シフト一覧（転載）'!"&amp;AQ32&amp;":AK100"))&gt;0)
*(INDIRECT("'シフト一覧（転載）'!"&amp;AQ32&amp;":AK100")&lt;&gt;"休み"),1,0),0)),0),""),$E$9&amp;"保育無し")</f>
        <v>0</v>
      </c>
      <c r="AS32" s="21">
        <f t="array" aca="1" ref="AS32" ca="1">IFERROR(IF(AQ32&lt;&gt;0,ADDRESS(ROW(INDIRECT(AQ32)),
    COLUMN(INDIRECT(AQ32)) - 1 +
    MATCH(1,INDEX((LEN(INDIRECT("'シフト一覧（転載）'!"&amp;AQ32&amp;":AK100"))&gt;0)
            *(INDIRECT("'シフト一覧（転載）'!"&amp;AQ32&amp;":AK100")&lt;&gt;"休み"),
            1,0),0)+1,4),0),"")</f>
        <v>0</v>
      </c>
      <c r="AT32" s="21">
        <f t="array" aca="1" ref="AT32" ca="1">IFERROR(IF(AS32&lt;&gt;"",IF(AS32&lt;&gt;0,INDEX(
INDIRECT("'シフト一覧（転載）'!"&amp;AS32&amp;":AK100"),1,
MATCH(1,INDEX((LEN(INDIRECT("'シフト一覧（転載）'!"&amp;AS32&amp;":AK100"))&gt;0)
*(INDIRECT("'シフト一覧（転載）'!"&amp;AS32&amp;":AK100")&lt;&gt;"休み"),1,0),0)),0),""),$E$9&amp;"保育無し")</f>
        <v>0</v>
      </c>
      <c r="AU32" s="21">
        <f t="array" aca="1" ref="AU32" ca="1">IFERROR(IF(AS32&lt;&gt;0,ADDRESS(ROW(INDIRECT(AS32)),
    COLUMN(INDIRECT(AS32)) - 1 +
    MATCH(1,INDEX((LEN(INDIRECT("'シフト一覧（転載）'!"&amp;AS32&amp;":AK100"))&gt;0)
            *(INDIRECT("'シフト一覧（転載）'!"&amp;AS32&amp;":AK100")&lt;&gt;"休み"),
            1,0),0)+1,4),0),"")</f>
        <v>0</v>
      </c>
      <c r="AV32" s="21">
        <f t="array" aca="1" ref="AV32" ca="1">IFERROR(IF(AU32&lt;&gt;"",IF(AU32&lt;&gt;0,INDEX(
INDIRECT("'シフト一覧（転載）'!"&amp;AU32&amp;":AK100"),1,
MATCH(1,INDEX((LEN(INDIRECT("'シフト一覧（転載）'!"&amp;AU32&amp;":AK100"))&gt;0)
*(INDIRECT("'シフト一覧（転載）'!"&amp;AU32&amp;":AK100")&lt;&gt;"休み"),1,0),0)),0),""),$E$9&amp;"保育無し")</f>
        <v>0</v>
      </c>
      <c r="AW32" s="21">
        <f t="array" aca="1" ref="AW32" ca="1">IFERROR(IF(AU32&lt;&gt;0,ADDRESS(ROW(INDIRECT(AU32)),
    COLUMN(INDIRECT(AU32)) - 1 +
    MATCH(1,INDEX((LEN(INDIRECT("'シフト一覧（転載）'!"&amp;AU32&amp;":AK100"))&gt;0)
            *(INDIRECT("'シフト一覧（転載）'!"&amp;AU32&amp;":AK100")&lt;&gt;"休み"),
            1,0),0)+1,4),0),"")</f>
        <v>0</v>
      </c>
      <c r="AX32" s="21">
        <f t="array" aca="1" ref="AX32" ca="1">IFERROR(IF(AW32&lt;&gt;"",IF(AW32&lt;&gt;0,INDEX(
INDIRECT("'シフト一覧（転載）'!"&amp;AW32&amp;":AK100"),1,
MATCH(1,INDEX((LEN(INDIRECT("'シフト一覧（転載）'!"&amp;AW32&amp;":AK100"))&gt;0)
*(INDIRECT("'シフト一覧（転載）'!"&amp;AW32&amp;":AK100")&lt;&gt;"休み"),1,0),0)),0),""),$E$9&amp;"保育無し")</f>
        <v>0</v>
      </c>
      <c r="AY32" s="21">
        <f t="array" aca="1" ref="AY32" ca="1">IFERROR(IF(AW32&lt;&gt;0,ADDRESS(ROW(INDIRECT(AW32)),
    COLUMN(INDIRECT(AW32)) - 1 +
    MATCH(1,INDEX((LEN(INDIRECT("'シフト一覧（転載）'!"&amp;AW32&amp;":AK100"))&gt;0)
            *(INDIRECT("'シフト一覧（転載）'!"&amp;AW32&amp;":AK100")&lt;&gt;"休み"),
            1,0),0)+1,4),0),"")</f>
        <v>0</v>
      </c>
      <c r="AZ32" s="21">
        <f t="array" aca="1" ref="AZ32" ca="1">IFERROR(IF(AY32&lt;&gt;"",IF(AY32&lt;&gt;0,INDEX(
INDIRECT("'シフト一覧（転載）'!"&amp;AY32&amp;":AK100"),1,
MATCH(1,INDEX((LEN(INDIRECT("'シフト一覧（転載）'!"&amp;AY32&amp;":AK100"))&gt;0)
*(INDIRECT("'シフト一覧（転載）'!"&amp;AY32&amp;":AK100")&lt;&gt;"休み"),1,0),0)),0),""),$E$9&amp;"保育無し")</f>
        <v>0</v>
      </c>
      <c r="BA32" s="21">
        <f t="array" aca="1" ref="BA32" ca="1">IFERROR(IF(AY32&lt;&gt;0,ADDRESS(ROW(INDIRECT(AY32)),
    COLUMN(INDIRECT(AY32)) - 1 +
    MATCH(1,INDEX((LEN(INDIRECT("'シフト一覧（転載）'!"&amp;AY32&amp;":AK100"))&gt;0)
            *(INDIRECT("'シフト一覧（転載）'!"&amp;AY32&amp;":AK100")&lt;&gt;"休み"),
            1,0),0)+1,4),0),"")</f>
        <v>0</v>
      </c>
      <c r="BB32" s="21">
        <f t="array" aca="1" ref="BB32" ca="1">IFERROR(IF(BA32&lt;&gt;"",IF(BA32&lt;&gt;0,INDEX(
INDIRECT("'シフト一覧（転載）'!"&amp;BA32&amp;":AK100"),1,
MATCH(1,INDEX((LEN(INDIRECT("'シフト一覧（転載）'!"&amp;BA32&amp;":AK100"))&gt;0)
*(INDIRECT("'シフト一覧（転載）'!"&amp;BA32&amp;":AK100")&lt;&gt;"休み"),1,0),0)),0),""),$E$9&amp;"保育無し")</f>
        <v>0</v>
      </c>
      <c r="BC32" s="21">
        <f t="array" aca="1" ref="BC32" ca="1">IFERROR(IF(BA32&lt;&gt;0,ADDRESS(ROW(INDIRECT(BA32)),
    COLUMN(INDIRECT(BA32)) - 1 +
    MATCH(1,INDEX((LEN(INDIRECT("'シフト一覧（転載）'!"&amp;BA32&amp;":AK100"))&gt;0)
            *(INDIRECT("'シフト一覧（転載）'!"&amp;BA32&amp;":AK100")&lt;&gt;"休み"),
            1,0),0)+1,4),0),"")</f>
        <v>0</v>
      </c>
      <c r="BD32" s="21">
        <f t="array" aca="1" ref="BD32" ca="1">IFERROR(IF(BC32&lt;&gt;"",IF(BC32&lt;&gt;0,INDEX(
INDIRECT("'シフト一覧（転載）'!"&amp;BC32&amp;":AK100"),1,
MATCH(1,INDEX((LEN(INDIRECT("'シフト一覧（転載）'!"&amp;BC32&amp;":AK100"))&gt;0)
*(INDIRECT("'シフト一覧（転載）'!"&amp;BC32&amp;":AK100")&lt;&gt;"休み"),1,0),0)),0),""),$E$9&amp;"保育無し")</f>
        <v>0</v>
      </c>
      <c r="BE32" s="21">
        <f t="array" aca="1" ref="BE32" ca="1">IFERROR(IF(BC32&lt;&gt;0,ADDRESS(ROW(INDIRECT(BC32)),
    COLUMN(INDIRECT(BC32)) - 1 +
    MATCH(1,INDEX((LEN(INDIRECT("'シフト一覧（転載）'!"&amp;BC32&amp;":AK100"))&gt;0)
            *(INDIRECT("'シフト一覧（転載）'!"&amp;BC32&amp;":AK100")&lt;&gt;"休み"),
            1,0),0)+1,4),0),"")</f>
        <v>0</v>
      </c>
      <c r="BF32" s="21">
        <f t="array" aca="1" ref="BF32" ca="1">IFERROR(IF(BE32&lt;&gt;"",IF(BE32&lt;&gt;0,INDEX(
INDIRECT("'シフト一覧（転載）'!"&amp;BE32&amp;":AK100"),1,
MATCH(1,INDEX((LEN(INDIRECT("'シフト一覧（転載）'!"&amp;BE32&amp;":AK100"))&gt;0)
*(INDIRECT("'シフト一覧（転載）'!"&amp;BE32&amp;":AK100")&lt;&gt;"休み"),1,0),0)),0),""),$E$9&amp;"保育無し")</f>
        <v>0</v>
      </c>
      <c r="BG32" s="21">
        <f t="array" aca="1" ref="BG32" ca="1">IFERROR(IF(BE32&lt;&gt;0,ADDRESS(ROW(INDIRECT(BE32)),
    COLUMN(INDIRECT(BE32)) - 1 +
    MATCH(1,INDEX((LEN(INDIRECT("'シフト一覧（転載）'!"&amp;BE32&amp;":AK100"))&gt;0)
            *(INDIRECT("'シフト一覧（転載）'!"&amp;BE32&amp;":AK100")&lt;&gt;"休み"),
            1,0),0)+1,4),0),"")</f>
        <v>0</v>
      </c>
      <c r="BH32" s="21">
        <f t="array" aca="1" ref="BH32" ca="1">IFERROR(IF(BG32&lt;&gt;"",IF(BG32&lt;&gt;0,INDEX(
INDIRECT("'シフト一覧（転載）'!"&amp;BG32&amp;":AK100"),1,
MATCH(1,INDEX((LEN(INDIRECT("'シフト一覧（転載）'!"&amp;BG32&amp;":AK100"))&gt;0)
*(INDIRECT("'シフト一覧（転載）'!"&amp;BG32&amp;":AK100")&lt;&gt;"休み"),1,0),0)),0),""),$E$9&amp;"保育無し")</f>
        <v>0</v>
      </c>
      <c r="BI32" s="21">
        <f t="array" aca="1" ref="BI32" ca="1">IFERROR(IF(BG32&lt;&gt;0,ADDRESS(ROW(INDIRECT(BG32)),
    COLUMN(INDIRECT(BG32)) - 1 +
    MATCH(1,INDEX((LEN(INDIRECT("'シフト一覧（転載）'!"&amp;BG32&amp;":AK100"))&gt;0)
            *(INDIRECT("'シフト一覧（転載）'!"&amp;BG32&amp;":AK100")&lt;&gt;"休み"),
            1,0),0)+1,4),0),"")</f>
        <v>0</v>
      </c>
      <c r="BJ32" s="21">
        <f t="array" aca="1" ref="BJ32" ca="1">IFERROR(IF(BI32&lt;&gt;"",IF(BI32&lt;&gt;0,INDEX(
INDIRECT("'シフト一覧（転載）'!"&amp;BI32&amp;":AK100"),1,
MATCH(1,INDEX((LEN(INDIRECT("'シフト一覧（転載）'!"&amp;BI32&amp;":AK100"))&gt;0)
*(INDIRECT("'シフト一覧（転載）'!"&amp;BI32&amp;":AK100")&lt;&gt;"休み"),1,0),0)),0),""),$E$9&amp;"保育無し")</f>
        <v>0</v>
      </c>
      <c r="BK32" s="21">
        <f t="array" aca="1" ref="BK32" ca="1">IFERROR(IF(BI32&lt;&gt;0,ADDRESS(ROW(INDIRECT(BI32)),
    COLUMN(INDIRECT(BI32)) - 1 +
    MATCH(1,INDEX((LEN(INDIRECT("'シフト一覧（転載）'!"&amp;BI32&amp;":AK100"))&gt;0)
            *(INDIRECT("'シフト一覧（転載）'!"&amp;BI32&amp;":AK100")&lt;&gt;"休み"),
            1,0),0)+1,4),0),"")</f>
        <v>0</v>
      </c>
      <c r="BL32" s="21">
        <f t="array" aca="1" ref="BL32" ca="1">IFERROR(IF(BK32&lt;&gt;"",IF(BK32&lt;&gt;0,INDEX(
INDIRECT("'シフト一覧（転載）'!"&amp;BK32&amp;":AK100"),1,
MATCH(1,INDEX((LEN(INDIRECT("'シフト一覧（転載）'!"&amp;BK32&amp;":AK100"))&gt;0)
*(INDIRECT("'シフト一覧（転載）'!"&amp;BK32&amp;":AK100")&lt;&gt;"休み"),1,0),0)),0),""),$E$9&amp;"保育無し")</f>
        <v>0</v>
      </c>
      <c r="BM32" s="21">
        <f t="array" aca="1" ref="BM32" ca="1">IFERROR(IF(BK32&lt;&gt;0,ADDRESS(ROW(INDIRECT(BK32)),
    COLUMN(INDIRECT(BK32)) - 1 +
    MATCH(1,INDEX((LEN(INDIRECT("'シフト一覧（転載）'!"&amp;BK32&amp;":AK100"))&gt;0)
            *(INDIRECT("'シフト一覧（転載）'!"&amp;BK32&amp;":AK100")&lt;&gt;"休み"),
            1,0),0)+1,4),0),"")</f>
        <v>0</v>
      </c>
      <c r="BN32" s="21">
        <f t="array" aca="1" ref="BN32" ca="1">IFERROR(IF(BM32&lt;&gt;"",IF(BM32&lt;&gt;0,INDEX(
INDIRECT("'シフト一覧（転載）'!"&amp;BM32&amp;":AK100"),1,
MATCH(1,INDEX((LEN(INDIRECT("'シフト一覧（転載）'!"&amp;BM32&amp;":AK100"))&gt;0)
*(INDIRECT("'シフト一覧（転載）'!"&amp;BM32&amp;":AK100")&lt;&gt;"休み"),1,0),0)),0),""),$E$9&amp;"保育無し")</f>
        <v>0</v>
      </c>
      <c r="BO32" s="21">
        <f t="array" aca="1" ref="BO32" ca="1">IFERROR(IF(BM32&lt;&gt;0,ADDRESS(ROW(INDIRECT(BM32)),
    COLUMN(INDIRECT(BM32)) - 1 +
    MATCH(1,INDEX((LEN(INDIRECT("'シフト一覧（転載）'!"&amp;BM32&amp;":AK100"))&gt;0)
            *(INDIRECT("'シフト一覧（転載）'!"&amp;BM32&amp;":AK100")&lt;&gt;"休み"),
            1,0),0)+1,4),0),"")</f>
        <v>0</v>
      </c>
      <c r="BP32" s="21">
        <f t="array" aca="1" ref="BP32" ca="1">IFERROR(IF(BO32&lt;&gt;"",IF(BO32&lt;&gt;0,INDEX(
INDIRECT("'シフト一覧（転載）'!"&amp;BO32&amp;":AK100"),1,
MATCH(1,INDEX((LEN(INDIRECT("'シフト一覧（転載）'!"&amp;BO32&amp;":AK100"))&gt;0)
*(INDIRECT("'シフト一覧（転載）'!"&amp;BO32&amp;":AK100")&lt;&gt;"休み"),1,0),0)),0),""),$E$9&amp;"保育無し")</f>
        <v>0</v>
      </c>
      <c r="BQ32" s="21">
        <f t="array" aca="1" ref="BQ32" ca="1">IFERROR(IF(BO32&lt;&gt;0,ADDRESS(ROW(INDIRECT(BO32)),
    COLUMN(INDIRECT(BO32)) - 1 +
    MATCH(1,INDEX((LEN(INDIRECT("'シフト一覧（転載）'!"&amp;BO32&amp;":AK100"))&gt;0)
            *(INDIRECT("'シフト一覧（転載）'!"&amp;BO32&amp;":AK100")&lt;&gt;"休み"),
            1,0),0)+1,4),0),"")</f>
        <v>0</v>
      </c>
      <c r="BR32" s="21">
        <f t="array" aca="1" ref="BR32" ca="1">IFERROR(IF(BQ32&lt;&gt;"",IF(BQ32&lt;&gt;0,INDEX(
INDIRECT("'シフト一覧（転載）'!"&amp;BQ32&amp;":AK100"),1,
MATCH(1,INDEX((LEN(INDIRECT("'シフト一覧（転載）'!"&amp;BQ32&amp;":AK100"))&gt;0)
*(INDIRECT("'シフト一覧（転載）'!"&amp;BQ32&amp;":AK100")&lt;&gt;"休み"),1,0),0)),0),""),$E$9&amp;"保育無し")</f>
        <v>0</v>
      </c>
      <c r="BS32" s="21">
        <f t="array" aca="1" ref="BS32" ca="1">IFERROR(IF(BQ32&lt;&gt;0,ADDRESS(ROW(INDIRECT(BQ32)),
    COLUMN(INDIRECT(BQ32)) - 1 +
    MATCH(1,INDEX((LEN(INDIRECT("'シフト一覧（転載）'!"&amp;BQ32&amp;":AK100"))&gt;0)
            *(INDIRECT("'シフト一覧（転載）'!"&amp;BQ32&amp;":AK100")&lt;&gt;"休み"),
            1,0),0)+1,4),0),"")</f>
        <v>0</v>
      </c>
      <c r="BT32" s="21">
        <f t="array" aca="1" ref="BT32" ca="1">IFERROR(IF(BS32&lt;&gt;"",IF(BS32&lt;&gt;0,INDEX(
INDIRECT("'シフト一覧（転載）'!"&amp;BS32&amp;":AK100"),1,
MATCH(1,INDEX((LEN(INDIRECT("'シフト一覧（転載）'!"&amp;BS32&amp;":AK100"))&gt;0)
*(INDIRECT("'シフト一覧（転載）'!"&amp;BS32&amp;":AK100")&lt;&gt;"休み"),1,0),0)),0),""),$E$9&amp;"保育無し")</f>
        <v>0</v>
      </c>
      <c r="BU32" s="21">
        <f t="array" aca="1" ref="BU32" ca="1">IFERROR(IF(BS32&lt;&gt;0,ADDRESS(ROW(INDIRECT(BS32)),
    COLUMN(INDIRECT(BS32)) - 1 +
    MATCH(1,INDEX((LEN(INDIRECT("'シフト一覧（転載）'!"&amp;BS32&amp;":AK100"))&gt;0)
            *(INDIRECT("'シフト一覧（転載）'!"&amp;BS32&amp;":AK100")&lt;&gt;"休み"),
            1,0),0)+1,4),0),"")</f>
        <v>0</v>
      </c>
      <c r="BV32" s="21">
        <f t="array" aca="1" ref="BV32" ca="1">IFERROR(IF(BU32&lt;&gt;"",IF(BU32&lt;&gt;0,INDEX(
INDIRECT("'シフト一覧（転載）'!"&amp;BU32&amp;":AK100"),1,
MATCH(1,INDEX((LEN(INDIRECT("'シフト一覧（転載）'!"&amp;BU32&amp;":AK100"))&gt;0)
*(INDIRECT("'シフト一覧（転載）'!"&amp;BU32&amp;":AK100")&lt;&gt;"休み"),1,0),0)),0),""),$E$9&amp;"保育無し")</f>
        <v>0</v>
      </c>
      <c r="BW32" s="21">
        <f t="array" aca="1" ref="BW32" ca="1">IFERROR(IF(BU32&lt;&gt;0,ADDRESS(ROW(INDIRECT(BU32)),
    COLUMN(INDIRECT(BU32)) - 1 +
    MATCH(1,INDEX((LEN(INDIRECT("'シフト一覧（転載）'!"&amp;BU32&amp;":AK100"))&gt;0)
            *(INDIRECT("'シフト一覧（転載）'!"&amp;BU32&amp;":AK100")&lt;&gt;"休み"),
            1,0),0)+1,4),0),"")</f>
        <v>0</v>
      </c>
      <c r="BX32" s="21">
        <f t="array" aca="1" ref="BX32" ca="1">IFERROR(IF(BW32&lt;&gt;"",IF(BW32&lt;&gt;0,INDEX(
INDIRECT("'シフト一覧（転載）'!"&amp;BW32&amp;":AK100"),1,
MATCH(1,INDEX((LEN(INDIRECT("'シフト一覧（転載）'!"&amp;BW32&amp;":AK100"))&gt;0)
*(INDIRECT("'シフト一覧（転載）'!"&amp;BW32&amp;":AK100")&lt;&gt;"休み"),1,0),0)),0),""),$E$9&amp;"保育無し")</f>
        <v>0</v>
      </c>
      <c r="BY32" s="21">
        <f t="array" aca="1" ref="BY32" ca="1">IFERROR(IF(BW32&lt;&gt;0,ADDRESS(ROW(INDIRECT(BW32)),
    COLUMN(INDIRECT(BW32)) - 1 +
    MATCH(1,INDEX((LEN(INDIRECT("'シフト一覧（転載）'!"&amp;BW32&amp;":AK100"))&gt;0)
            *(INDIRECT("'シフト一覧（転載）'!"&amp;BW32&amp;":AK100")&lt;&gt;"休み"),
            1,0),0)+1,4),0),"")</f>
        <v>0</v>
      </c>
    </row>
    <row r="33" spans="13:77" ht="19.2" customHeight="1" x14ac:dyDescent="0.2">
      <c r="M33" s="93"/>
      <c r="N33" s="91"/>
      <c r="O33" s="95"/>
      <c r="P33" s="22">
        <f t="array" aca="1" ref="P33" ca="1">IFERROR(IF(M32&lt;&gt;"",INDEX('シフト一覧（転載）'!$F$8:$AK$100,
    MATCH(1,(ISNUMBER(SEARCH(M32,'シフト一覧（転載）'!$A$8:$A$100)))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MATCH(1,(ISNUMBER(SEARCH(M32,'シフト一覧（転載）'!$A$8:$A$100)))
                *(ISNUMBER(SEARCH($E$9,'シフト一覧（転載）'!$B$8:$B$100))),
                0),0),0)),0),"")</f>
        <v>0</v>
      </c>
      <c r="Q33" s="22">
        <f ca="1">IF(P32=0,0,
IF(OR(P32="",COUNTIF(P32,"*保育無し*")),"",
IF(MOD(P33-P32,1)*24&gt;=8,1,
IF(MOD(P33-P32,1)*24&gt;=6,0.75,0))))</f>
        <v>0</v>
      </c>
      <c r="R33" s="22">
        <f t="array" aca="1" ref="R33" ca="1">IFERROR(IF(Q32&lt;&gt;0,INDEX(
INDIRECT("'シフト一覧（転載）'!"&amp;Q32&amp;":AK100"),1+1,
MATCH(1,INDEX((LEN(INDIRECT("'シフト一覧（転載）'!"&amp;Q32&amp;":AK100"))&gt;0)
*(INDIRECT("'シフト一覧（転載）'!"&amp;Q32&amp;":AK100")&lt;&gt;"休み"),1,0),0)),0),"")</f>
        <v>0</v>
      </c>
      <c r="S33" s="22">
        <f ca="1">IF(R32=0,0,
IF(OR(R32="",COUNTIF(R32,"*保育無し*")),"",
IF(MOD(R33-R32,1)*24&gt;=8,1,
IF(MOD(R33-R32,1)*24&gt;=6,0.75,0))))</f>
        <v>0</v>
      </c>
      <c r="T33" s="22">
        <f t="array" aca="1" ref="T33" ca="1">IFERROR(IF(S32&lt;&gt;0,INDEX(
INDIRECT("'シフト一覧（転載）'!"&amp;S32&amp;":AK100"),1+1,
MATCH(1,INDEX((LEN(INDIRECT("'シフト一覧（転載）'!"&amp;S32&amp;":AK100"))&gt;0)
*(INDIRECT("'シフト一覧（転載）'!"&amp;S32&amp;":AK100")&lt;&gt;"休み"),1,0),0)),0),"")</f>
        <v>0</v>
      </c>
      <c r="U33" s="22">
        <f ca="1">IF(T32=0,0,
IF(OR(T32="",COUNTIF(T32,"*保育無し*")),"",
IF(MOD(T33-T32,1)*24&gt;=8,1,
IF(MOD(T33-T32,1)*24&gt;=6,0.75,0))))</f>
        <v>0</v>
      </c>
      <c r="V33" s="22">
        <f t="array" aca="1" ref="V33" ca="1">IFERROR(IF(U32&lt;&gt;0,INDEX(
INDIRECT("'シフト一覧（転載）'!"&amp;U32&amp;":AK100"),1+1,
MATCH(1,INDEX((LEN(INDIRECT("'シフト一覧（転載）'!"&amp;U32&amp;":AK100"))&gt;0)
*(INDIRECT("'シフト一覧（転載）'!"&amp;U32&amp;":AK100")&lt;&gt;"休み"),1,0),0)),0),"")</f>
        <v>0</v>
      </c>
      <c r="W33" s="22">
        <f ca="1">IF(V32=0,0,
IF(OR(V32="",COUNTIF(V32,"*保育無し*")),"",
IF(MOD(V33-V32,1)*24&gt;=8,1,
IF(MOD(V33-V32,1)*24&gt;=6,0.75,0))))</f>
        <v>0</v>
      </c>
      <c r="X33" s="22">
        <f t="array" aca="1" ref="X33" ca="1">IFERROR(IF(W32&lt;&gt;0,INDEX(
INDIRECT("'シフト一覧（転載）'!"&amp;W32&amp;":AK100"),1+1,
MATCH(1,INDEX((LEN(INDIRECT("'シフト一覧（転載）'!"&amp;W32&amp;":AK100"))&gt;0)
*(INDIRECT("'シフト一覧（転載）'!"&amp;W32&amp;":AK100")&lt;&gt;"休み"),1,0),0)),0),"")</f>
        <v>0</v>
      </c>
      <c r="Y33" s="22">
        <f ca="1">IF(X32=0,0,
IF(OR(X32="",COUNTIF(X32,"*保育無し*")),"",
IF(MOD(X33-X32,1)*24&gt;=8,1,
IF(MOD(X33-X32,1)*24&gt;=6,0.75,0))))</f>
        <v>0</v>
      </c>
      <c r="Z33" s="22">
        <f t="array" aca="1" ref="Z33" ca="1">IFERROR(IF(Y32&lt;&gt;0,INDEX(
INDIRECT("'シフト一覧（転載）'!"&amp;Y32&amp;":AK100"),1+1,
MATCH(1,INDEX((LEN(INDIRECT("'シフト一覧（転載）'!"&amp;Y32&amp;":AK100"))&gt;0)
*(INDIRECT("'シフト一覧（転載）'!"&amp;Y32&amp;":AK100")&lt;&gt;"休み"),1,0),0)),0),"")</f>
        <v>0</v>
      </c>
      <c r="AA33" s="22">
        <f ca="1">IF(Z32=0,0,
IF(OR(Z32="",COUNTIF(Z32,"*保育無し*")),"",
IF(MOD(Z33-Z32,1)*24&gt;=8,1,
IF(MOD(Z33-Z32,1)*24&gt;=6,0.75,0))))</f>
        <v>0</v>
      </c>
      <c r="AB33" s="22">
        <f t="array" aca="1" ref="AB33" ca="1">IFERROR(IF(AA32&lt;&gt;0,INDEX(
INDIRECT("'シフト一覧（転載）'!"&amp;AA32&amp;":AK100"),1+1,
MATCH(1,INDEX((LEN(INDIRECT("'シフト一覧（転載）'!"&amp;AA32&amp;":AK100"))&gt;0)
*(INDIRECT("'シフト一覧（転載）'!"&amp;AA32&amp;":AK100")&lt;&gt;"休み"),1,0),0)),0),"")</f>
        <v>0</v>
      </c>
      <c r="AC33" s="22">
        <f ca="1">IF(AB32=0,0,
IF(OR(AB32="",COUNTIF(AB32,"*保育無し*")),"",
IF(MOD(AB33-AB32,1)*24&gt;=8,1,
IF(MOD(AB33-AB32,1)*24&gt;=6,0.75,0))))</f>
        <v>0</v>
      </c>
      <c r="AD33" s="22">
        <f t="array" aca="1" ref="AD33" ca="1">IFERROR(IF(AC32&lt;&gt;0,INDEX(
INDIRECT("'シフト一覧（転載）'!"&amp;AC32&amp;":AK100"),1+1,
MATCH(1,INDEX((LEN(INDIRECT("'シフト一覧（転載）'!"&amp;AC32&amp;":AK100"))&gt;0)
*(INDIRECT("'シフト一覧（転載）'!"&amp;AC32&amp;":AK100")&lt;&gt;"休み"),1,0),0)),0),"")</f>
        <v>0</v>
      </c>
      <c r="AE33" s="22">
        <f ca="1">IF(AD32=0,0,
IF(OR(AD32="",COUNTIF(AD32,"*保育無し*")),"",
IF(MOD(AD33-AD32,1)*24&gt;=8,1,
IF(MOD(AD33-AD32,1)*24&gt;=6,0.75,0))))</f>
        <v>0</v>
      </c>
      <c r="AF33" s="22">
        <f t="array" aca="1" ref="AF33" ca="1">IFERROR(IF(AE32&lt;&gt;0,INDEX(
INDIRECT("'シフト一覧（転載）'!"&amp;AE32&amp;":AK100"),1+1,
MATCH(1,INDEX((LEN(INDIRECT("'シフト一覧（転載）'!"&amp;AE32&amp;":AK100"))&gt;0)
*(INDIRECT("'シフト一覧（転載）'!"&amp;AE32&amp;":AK100")&lt;&gt;"休み"),1,0),0)),0),"")</f>
        <v>0</v>
      </c>
      <c r="AG33" s="22">
        <f ca="1">IF(AF32=0,0,
IF(OR(AF32="",COUNTIF(AF32,"*保育無し*")),"",
IF(MOD(AF33-AF32,1)*24&gt;=8,1,
IF(MOD(AF33-AF32,1)*24&gt;=6,0.75,0))))</f>
        <v>0</v>
      </c>
      <c r="AH33" s="22">
        <f t="array" aca="1" ref="AH33" ca="1">IFERROR(IF(AG32&lt;&gt;0,INDEX(
INDIRECT("'シフト一覧（転載）'!"&amp;AG32&amp;":AK100"),1+1,
MATCH(1,INDEX((LEN(INDIRECT("'シフト一覧（転載）'!"&amp;AG32&amp;":AK100"))&gt;0)
*(INDIRECT("'シフト一覧（転載）'!"&amp;AG32&amp;":AK100")&lt;&gt;"休み"),1,0),0)),0),"")</f>
        <v>0</v>
      </c>
      <c r="AI33" s="22">
        <f ca="1">IF(AH32=0,0,
IF(OR(AH32="",COUNTIF(AH32,"*保育無し*")),"",
IF(MOD(AH33-AH32,1)*24&gt;=8,1,
IF(MOD(AH33-AH32,1)*24&gt;=6,0.75,0))))</f>
        <v>0</v>
      </c>
      <c r="AJ33" s="22">
        <f t="array" aca="1" ref="AJ33" ca="1">IFERROR(IF(AI32&lt;&gt;0,INDEX(
INDIRECT("'シフト一覧（転載）'!"&amp;AI32&amp;":AK100"),1+1,
MATCH(1,INDEX((LEN(INDIRECT("'シフト一覧（転載）'!"&amp;AI32&amp;":AK100"))&gt;0)
*(INDIRECT("'シフト一覧（転載）'!"&amp;AI32&amp;":AK100")&lt;&gt;"休み"),1,0),0)),0),"")</f>
        <v>0</v>
      </c>
      <c r="AK33" s="22">
        <f ca="1">IF(AJ32=0,0,
IF(OR(AJ32="",COUNTIF(AJ32,"*保育無し*")),"",
IF(MOD(AJ33-AJ32,1)*24&gt;=8,1,
IF(MOD(AJ33-AJ32,1)*24&gt;=6,0.75,0))))</f>
        <v>0</v>
      </c>
      <c r="AL33" s="22">
        <f t="array" aca="1" ref="AL33" ca="1">IFERROR(IF(AK32&lt;&gt;0,INDEX(
INDIRECT("'シフト一覧（転載）'!"&amp;AK32&amp;":AK100"),1+1,
MATCH(1,INDEX((LEN(INDIRECT("'シフト一覧（転載）'!"&amp;AK32&amp;":AK100"))&gt;0)
*(INDIRECT("'シフト一覧（転載）'!"&amp;AK32&amp;":AK100")&lt;&gt;"休み"),1,0),0)),0),"")</f>
        <v>0</v>
      </c>
      <c r="AM33" s="22">
        <f ca="1">IF(AL32=0,0,
IF(OR(AL32="",COUNTIF(AL32,"*保育無し*")),"",
IF(MOD(AL33-AL32,1)*24&gt;=8,1,
IF(MOD(AL33-AL32,1)*24&gt;=6,0.75,0))))</f>
        <v>0</v>
      </c>
      <c r="AN33" s="22">
        <f t="array" aca="1" ref="AN33" ca="1">IFERROR(IF(AM32&lt;&gt;0,INDEX(
INDIRECT("'シフト一覧（転載）'!"&amp;AM32&amp;":AK100"),1+1,
MATCH(1,INDEX((LEN(INDIRECT("'シフト一覧（転載）'!"&amp;AM32&amp;":AK100"))&gt;0)
*(INDIRECT("'シフト一覧（転載）'!"&amp;AM32&amp;":AK100")&lt;&gt;"休み"),1,0),0)),0),"")</f>
        <v>0</v>
      </c>
      <c r="AO33" s="22">
        <f ca="1">IF(AN32=0,0,
IF(OR(AN32="",COUNTIF(AN32,"*保育無し*")),"",
IF(MOD(AN33-AN32,1)*24&gt;=8,1,
IF(MOD(AN33-AN32,1)*24&gt;=6,0.75,0))))</f>
        <v>0</v>
      </c>
      <c r="AP33" s="22">
        <f t="array" aca="1" ref="AP33" ca="1">IFERROR(IF(AO32&lt;&gt;0,INDEX(
INDIRECT("'シフト一覧（転載）'!"&amp;AO32&amp;":AK100"),1+1,
MATCH(1,INDEX((LEN(INDIRECT("'シフト一覧（転載）'!"&amp;AO32&amp;":AK100"))&gt;0)
*(INDIRECT("'シフト一覧（転載）'!"&amp;AO32&amp;":AK100")&lt;&gt;"休み"),1,0),0)),0),"")</f>
        <v>0</v>
      </c>
      <c r="AQ33" s="22">
        <f ca="1">IF(AP32=0,0,
IF(OR(AP32="",COUNTIF(AP32,"*保育無し*")),"",
IF(MOD(AP33-AP32,1)*24&gt;=8,1,
IF(MOD(AP33-AP32,1)*24&gt;=6,0.75,0))))</f>
        <v>0</v>
      </c>
      <c r="AR33" s="22">
        <f t="array" aca="1" ref="AR33" ca="1">IFERROR(IF(AQ32&lt;&gt;0,INDEX(
INDIRECT("'シフト一覧（転載）'!"&amp;AQ32&amp;":AK100"),1+1,
MATCH(1,INDEX((LEN(INDIRECT("'シフト一覧（転載）'!"&amp;AQ32&amp;":AK100"))&gt;0)
*(INDIRECT("'シフト一覧（転載）'!"&amp;AQ32&amp;":AK100")&lt;&gt;"休み"),1,0),0)),0),"")</f>
        <v>0</v>
      </c>
      <c r="AS33" s="22">
        <f ca="1">IF(AR32=0,0,
IF(OR(AR32="",COUNTIF(AR32,"*保育無し*")),"",
IF(MOD(AR33-AR32,1)*24&gt;=8,1,
IF(MOD(AR33-AR32,1)*24&gt;=6,0.75,0))))</f>
        <v>0</v>
      </c>
      <c r="AT33" s="22">
        <f t="array" aca="1" ref="AT33" ca="1">IFERROR(IF(AS32&lt;&gt;0,INDEX(
INDIRECT("'シフト一覧（転載）'!"&amp;AS32&amp;":AK100"),1+1,
MATCH(1,INDEX((LEN(INDIRECT("'シフト一覧（転載）'!"&amp;AS32&amp;":AK100"))&gt;0)
*(INDIRECT("'シフト一覧（転載）'!"&amp;AS32&amp;":AK100")&lt;&gt;"休み"),1,0),0)),0),"")</f>
        <v>0</v>
      </c>
      <c r="AU33" s="22">
        <f ca="1">IF(AT32=0,0,
IF(OR(AT32="",COUNTIF(AT32,"*保育無し*")),"",
IF(MOD(AT33-AT32,1)*24&gt;=8,1,
IF(MOD(AT33-AT32,1)*24&gt;=6,0.75,0))))</f>
        <v>0</v>
      </c>
      <c r="AV33" s="22">
        <f t="array" aca="1" ref="AV33" ca="1">IFERROR(IF(AU32&lt;&gt;0,INDEX(
INDIRECT("'シフト一覧（転載）'!"&amp;AU32&amp;":AK100"),1+1,
MATCH(1,INDEX((LEN(INDIRECT("'シフト一覧（転載）'!"&amp;AU32&amp;":AK100"))&gt;0)
*(INDIRECT("'シフト一覧（転載）'!"&amp;AU32&amp;":AK100")&lt;&gt;"休み"),1,0),0)),0),"")</f>
        <v>0</v>
      </c>
      <c r="AW33" s="22">
        <f ca="1">IF(AV32=0,0,
IF(OR(AV32="",COUNTIF(AV32,"*保育無し*")),"",
IF(MOD(AV33-AV32,1)*24&gt;=8,1,
IF(MOD(AV33-AV32,1)*24&gt;=6,0.75,0))))</f>
        <v>0</v>
      </c>
      <c r="AX33" s="22">
        <f t="array" aca="1" ref="AX33" ca="1">IFERROR(IF(AW32&lt;&gt;0,INDEX(
INDIRECT("'シフト一覧（転載）'!"&amp;AW32&amp;":AK100"),1+1,
MATCH(1,INDEX((LEN(INDIRECT("'シフト一覧（転載）'!"&amp;AW32&amp;":AK100"))&gt;0)
*(INDIRECT("'シフト一覧（転載）'!"&amp;AW32&amp;":AK100")&lt;&gt;"休み"),1,0),0)),0),"")</f>
        <v>0</v>
      </c>
      <c r="AY33" s="22">
        <f ca="1">IF(AX32=0,0,
IF(OR(AX32="",COUNTIF(AX32,"*保育無し*")),"",
IF(MOD(AX33-AX32,1)*24&gt;=8,1,
IF(MOD(AX33-AX32,1)*24&gt;=6,0.75,0))))</f>
        <v>0</v>
      </c>
      <c r="AZ33" s="22">
        <f t="array" aca="1" ref="AZ33" ca="1">IFERROR(IF(AY32&lt;&gt;0,INDEX(
INDIRECT("'シフト一覧（転載）'!"&amp;AY32&amp;":AK100"),1+1,
MATCH(1,INDEX((LEN(INDIRECT("'シフト一覧（転載）'!"&amp;AY32&amp;":AK100"))&gt;0)
*(INDIRECT("'シフト一覧（転載）'!"&amp;AY32&amp;":AK100")&lt;&gt;"休み"),1,0),0)),0),"")</f>
        <v>0</v>
      </c>
      <c r="BA33" s="22">
        <f ca="1">IF(AZ32=0,0,
IF(OR(AZ32="",COUNTIF(AZ32,"*保育無し*")),"",
IF(MOD(AZ33-AZ32,1)*24&gt;=8,1,
IF(MOD(AZ33-AZ32,1)*24&gt;=6,0.75,0))))</f>
        <v>0</v>
      </c>
      <c r="BB33" s="22">
        <f t="array" aca="1" ref="BB33" ca="1">IFERROR(IF(BA32&lt;&gt;0,INDEX(
INDIRECT("'シフト一覧（転載）'!"&amp;BA32&amp;":AK100"),1+1,
MATCH(1,INDEX((LEN(INDIRECT("'シフト一覧（転載）'!"&amp;BA32&amp;":AK100"))&gt;0)
*(INDIRECT("'シフト一覧（転載）'!"&amp;BA32&amp;":AK100")&lt;&gt;"休み"),1,0),0)),0),"")</f>
        <v>0</v>
      </c>
      <c r="BC33" s="22">
        <f ca="1">IF(BB32=0,0,
IF(OR(BB32="",COUNTIF(BB32,"*保育無し*")),"",
IF(MOD(BB33-BB32,1)*24&gt;=8,1,
IF(MOD(BB33-BB32,1)*24&gt;=6,0.75,0))))</f>
        <v>0</v>
      </c>
      <c r="BD33" s="22">
        <f t="array" aca="1" ref="BD33" ca="1">IFERROR(IF(BC32&lt;&gt;0,INDEX(
INDIRECT("'シフト一覧（転載）'!"&amp;BC32&amp;":AK100"),1+1,
MATCH(1,INDEX((LEN(INDIRECT("'シフト一覧（転載）'!"&amp;BC32&amp;":AK100"))&gt;0)
*(INDIRECT("'シフト一覧（転載）'!"&amp;BC32&amp;":AK100")&lt;&gt;"休み"),1,0),0)),0),"")</f>
        <v>0</v>
      </c>
      <c r="BE33" s="22">
        <f ca="1">IF(BD32=0,0,
IF(OR(BD32="",COUNTIF(BD32,"*保育無し*")),"",
IF(MOD(BD33-BD32,1)*24&gt;=8,1,
IF(MOD(BD33-BD32,1)*24&gt;=6,0.75,0))))</f>
        <v>0</v>
      </c>
      <c r="BF33" s="22">
        <f t="array" aca="1" ref="BF33" ca="1">IFERROR(IF(BE32&lt;&gt;0,INDEX(
INDIRECT("'シフト一覧（転載）'!"&amp;BE32&amp;":AK100"),1+1,
MATCH(1,INDEX((LEN(INDIRECT("'シフト一覧（転載）'!"&amp;BE32&amp;":AK100"))&gt;0)
*(INDIRECT("'シフト一覧（転載）'!"&amp;BE32&amp;":AK100")&lt;&gt;"休み"),1,0),0)),0),"")</f>
        <v>0</v>
      </c>
      <c r="BG33" s="22">
        <f ca="1">IF(BF32=0,0,
IF(OR(BF32="",COUNTIF(BF32,"*保育無し*")),"",
IF(MOD(BF33-BF32,1)*24&gt;=8,1,
IF(MOD(BF33-BF32,1)*24&gt;=6,0.75,0))))</f>
        <v>0</v>
      </c>
      <c r="BH33" s="22">
        <f t="array" aca="1" ref="BH33" ca="1">IFERROR(IF(BG32&lt;&gt;0,INDEX(
INDIRECT("'シフト一覧（転載）'!"&amp;BG32&amp;":AK100"),1+1,
MATCH(1,INDEX((LEN(INDIRECT("'シフト一覧（転載）'!"&amp;BG32&amp;":AK100"))&gt;0)
*(INDIRECT("'シフト一覧（転載）'!"&amp;BG32&amp;":AK100")&lt;&gt;"休み"),1,0),0)),0),"")</f>
        <v>0</v>
      </c>
      <c r="BI33" s="22">
        <f ca="1">IF(BH32=0,0,
IF(OR(BH32="",COUNTIF(BH32,"*保育無し*")),"",
IF(MOD(BH33-BH32,1)*24&gt;=8,1,
IF(MOD(BH33-BH32,1)*24&gt;=6,0.75,0))))</f>
        <v>0</v>
      </c>
      <c r="BJ33" s="22">
        <f t="array" aca="1" ref="BJ33" ca="1">IFERROR(IF(BI32&lt;&gt;0,INDEX(
INDIRECT("'シフト一覧（転載）'!"&amp;BI32&amp;":AK100"),1+1,
MATCH(1,INDEX((LEN(INDIRECT("'シフト一覧（転載）'!"&amp;BI32&amp;":AK100"))&gt;0)
*(INDIRECT("'シフト一覧（転載）'!"&amp;BI32&amp;":AK100")&lt;&gt;"休み"),1,0),0)),0),"")</f>
        <v>0</v>
      </c>
      <c r="BK33" s="22">
        <f ca="1">IF(BJ32=0,0,
IF(OR(BJ32="",COUNTIF(BJ32,"*保育無し*")),"",
IF(MOD(BJ33-BJ32,1)*24&gt;=8,1,
IF(MOD(BJ33-BJ32,1)*24&gt;=6,0.75,0))))</f>
        <v>0</v>
      </c>
      <c r="BL33" s="22">
        <f t="array" aca="1" ref="BL33" ca="1">IFERROR(IF(BK32&lt;&gt;0,INDEX(
INDIRECT("'シフト一覧（転載）'!"&amp;BK32&amp;":AK100"),1+1,
MATCH(1,INDEX((LEN(INDIRECT("'シフト一覧（転載）'!"&amp;BK32&amp;":AK100"))&gt;0)
*(INDIRECT("'シフト一覧（転載）'!"&amp;BK32&amp;":AK100")&lt;&gt;"休み"),1,0),0)),0),"")</f>
        <v>0</v>
      </c>
      <c r="BM33" s="22">
        <f ca="1">IF(BL32=0,0,
IF(OR(BL32="",COUNTIF(BL32,"*保育無し*")),"",
IF(MOD(BL33-BL32,1)*24&gt;=8,1,
IF(MOD(BL33-BL32,1)*24&gt;=6,0.75,0))))</f>
        <v>0</v>
      </c>
      <c r="BN33" s="22">
        <f t="array" aca="1" ref="BN33" ca="1">IFERROR(IF(BM32&lt;&gt;0,INDEX(
INDIRECT("'シフト一覧（転載）'!"&amp;BM32&amp;":AK100"),1+1,
MATCH(1,INDEX((LEN(INDIRECT("'シフト一覧（転載）'!"&amp;BM32&amp;":AK100"))&gt;0)
*(INDIRECT("'シフト一覧（転載）'!"&amp;BM32&amp;":AK100")&lt;&gt;"休み"),1,0),0)),0),"")</f>
        <v>0</v>
      </c>
      <c r="BO33" s="22">
        <f ca="1">IF(BN32=0,0,
IF(OR(BN32="",COUNTIF(BN32,"*保育無し*")),"",
IF(MOD(BN33-BN32,1)*24&gt;=8,1,
IF(MOD(BN33-BN32,1)*24&gt;=6,0.75,0))))</f>
        <v>0</v>
      </c>
      <c r="BP33" s="22">
        <f t="array" aca="1" ref="BP33" ca="1">IFERROR(IF(BO32&lt;&gt;0,INDEX(
INDIRECT("'シフト一覧（転載）'!"&amp;BO32&amp;":AK100"),1+1,
MATCH(1,INDEX((LEN(INDIRECT("'シフト一覧（転載）'!"&amp;BO32&amp;":AK100"))&gt;0)
*(INDIRECT("'シフト一覧（転載）'!"&amp;BO32&amp;":AK100")&lt;&gt;"休み"),1,0),0)),0),"")</f>
        <v>0</v>
      </c>
      <c r="BQ33" s="22">
        <f ca="1">IF(BP32=0,0,
IF(OR(BP32="",COUNTIF(BP32,"*保育無し*")),"",
IF(MOD(BP33-BP32,1)*24&gt;=8,1,
IF(MOD(BP33-BP32,1)*24&gt;=6,0.75,0))))</f>
        <v>0</v>
      </c>
      <c r="BR33" s="22">
        <f t="array" aca="1" ref="BR33" ca="1">IFERROR(IF(BQ32&lt;&gt;0,INDEX(
INDIRECT("'シフト一覧（転載）'!"&amp;BQ32&amp;":AK100"),1+1,
MATCH(1,INDEX((LEN(INDIRECT("'シフト一覧（転載）'!"&amp;BQ32&amp;":AK100"))&gt;0)
*(INDIRECT("'シフト一覧（転載）'!"&amp;BQ32&amp;":AK100")&lt;&gt;"休み"),1,0),0)),0),"")</f>
        <v>0</v>
      </c>
      <c r="BS33" s="22">
        <f ca="1">IF(BR32=0,0,
IF(OR(BR32="",COUNTIF(BR32,"*保育無し*")),"",
IF(MOD(BR33-BR32,1)*24&gt;=8,1,
IF(MOD(BR33-BR32,1)*24&gt;=6,0.75,0))))</f>
        <v>0</v>
      </c>
      <c r="BT33" s="22">
        <f t="array" aca="1" ref="BT33" ca="1">IFERROR(IF(BS32&lt;&gt;0,INDEX(
INDIRECT("'シフト一覧（転載）'!"&amp;BS32&amp;":AK100"),1+1,
MATCH(1,INDEX((LEN(INDIRECT("'シフト一覧（転載）'!"&amp;BS32&amp;":AK100"))&gt;0)
*(INDIRECT("'シフト一覧（転載）'!"&amp;BS32&amp;":AK100")&lt;&gt;"休み"),1,0),0)),0),"")</f>
        <v>0</v>
      </c>
      <c r="BU33" s="22">
        <f ca="1">IF(BT32=0,0,
IF(OR(BT32="",COUNTIF(BT32,"*保育無し*")),"",
IF(MOD(BT33-BT32,1)*24&gt;=8,1,
IF(MOD(BT33-BT32,1)*24&gt;=6,0.75,0))))</f>
        <v>0</v>
      </c>
      <c r="BV33" s="22">
        <f t="array" aca="1" ref="BV33" ca="1">IFERROR(IF(BU32&lt;&gt;0,INDEX(
INDIRECT("'シフト一覧（転載）'!"&amp;BU32&amp;":AK100"),1+1,
MATCH(1,INDEX((LEN(INDIRECT("'シフト一覧（転載）'!"&amp;BU32&amp;":AK100"))&gt;0)
*(INDIRECT("'シフト一覧（転載）'!"&amp;BU32&amp;":AK100")&lt;&gt;"休み"),1,0),0)),0),"")</f>
        <v>0</v>
      </c>
      <c r="BW33" s="22">
        <f ca="1">IF(BV32=0,0,
IF(OR(BV32="",COUNTIF(BV32,"*保育無し*")),"",
IF(MOD(BV33-BV32,1)*24&gt;=8,1,
IF(MOD(BV33-BV32,1)*24&gt;=6,0.75,0))))</f>
        <v>0</v>
      </c>
      <c r="BX33" s="22">
        <f t="array" aca="1" ref="BX33" ca="1">IFERROR(IF(BW32&lt;&gt;0,INDEX(
INDIRECT("'シフト一覧（転載）'!"&amp;BW32&amp;":AK100"),1+1,
MATCH(1,INDEX((LEN(INDIRECT("'シフト一覧（転載）'!"&amp;BW32&amp;":AK100"))&gt;0)
*(INDIRECT("'シフト一覧（転載）'!"&amp;BW32&amp;":AK100")&lt;&gt;"休み"),1,0),0)),0),"")</f>
        <v>0</v>
      </c>
      <c r="BY33" s="22">
        <f ca="1">IF(BX32=0,0,
IF(OR(BX32="",COUNTIF(BX32,"*保育無し*")),"",
IF(MOD(BX33-BX32,1)*24&gt;=8,1,
IF(MOD(BX33-BX32,1)*24&gt;=6,0.75,0))))</f>
        <v>0</v>
      </c>
    </row>
    <row r="34" spans="13:77" ht="19.2" customHeight="1" x14ac:dyDescent="0.2">
      <c r="M34" s="92" t="str">
        <f t="array" aca="1" ref="M34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4" s="90" t="str">
        <f ca="1">IF(M34&lt;&gt;"",VLOOKUP(M34,$I$12:$J$27,2,FALSE),"")</f>
        <v/>
      </c>
      <c r="O34" s="94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21">
        <f t="array" aca="1" ref="P34" ca="1">IFERROR(IF(M34&lt;&gt;"",INDEX('シフト一覧（転載）'!$F$8:$AK$100,
    MATCH(1,(ISNUMBER(SEARCH(M34,'シフト一覧（転載）'!$A$8:$A$100)))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MATCH(1,(ISNUMBER(SEARCH(M34,'シフト一覧（転載）'!$A$8:$A$100)))
                *(ISNUMBER(SEARCH($E$9,'シフト一覧（転載）'!$B$8:$B$100))),
                0),0),0)),0),$E$9&amp;"保育無し")</f>
        <v>0</v>
      </c>
      <c r="Q34" s="21">
        <f t="array" aca="1" ref="Q34" ca="1">IFERROR(IF(COUNTIF(P34,"*無*"),"",IF(M34&lt;&gt;"",ADDRESS(
    MATCH(1,(ISNUMBER(SEARCH(M34,'シフト一覧（転載）'!$A$8:$A$100)))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MATCH(1,(ISNUMBER(SEARCH(M34,'シフト一覧（転載）'!$A$8:$A$100)))
                *(ISNUMBER(SEARCH($E$9,'シフト一覧（転載）'!$B$8:$B$100))),0),0),0) + 6,4),0)),0)</f>
        <v>0</v>
      </c>
      <c r="R34" s="21">
        <f t="array" aca="1" ref="R34" ca="1">IFERROR(IF(Q34&lt;&gt;"",IF(Q34&lt;&gt;0,INDEX(
INDIRECT("'シフト一覧（転載）'!"&amp;Q34&amp;":AK100"),1,
MATCH(1,INDEX((LEN(INDIRECT("'シフト一覧（転載）'!"&amp;Q34&amp;":AK100"))&gt;0)
*(INDIRECT("'シフト一覧（転載）'!"&amp;Q34&amp;":AK100")&lt;&gt;"休み"),1,0),0)),0),""),$E$9&amp;"保育無し")</f>
        <v>0</v>
      </c>
      <c r="S34" s="21">
        <f t="array" aca="1" ref="S34" ca="1">IFERROR(IF(Q34&lt;&gt;0,ADDRESS(ROW(INDIRECT(Q34)),
    COLUMN(INDIRECT(Q34)) - 1 +
    MATCH(1,INDEX((LEN(INDIRECT("'シフト一覧（転載）'!"&amp;Q34&amp;":AK100"))&gt;0)
            *(INDIRECT("'シフト一覧（転載）'!"&amp;Q34&amp;":AK100")&lt;&gt;"休み"),
            1,0),0)+1,4),0),"")</f>
        <v>0</v>
      </c>
      <c r="T34" s="21">
        <f t="array" aca="1" ref="T34" ca="1">IFERROR(IF(S34&lt;&gt;"",IF(S34&lt;&gt;0,INDEX(
INDIRECT("'シフト一覧（転載）'!"&amp;S34&amp;":AK100"),1,
MATCH(1,INDEX((LEN(INDIRECT("'シフト一覧（転載）'!"&amp;S34&amp;":AK100"))&gt;0)
*(INDIRECT("'シフト一覧（転載）'!"&amp;S34&amp;":AK100")&lt;&gt;"休み"),1,0),0)),0),""),$E$9&amp;"保育無し")</f>
        <v>0</v>
      </c>
      <c r="U34" s="21">
        <f t="array" aca="1" ref="U34" ca="1">IFERROR(IF(S34&lt;&gt;0,ADDRESS(ROW(INDIRECT(S34)),
    COLUMN(INDIRECT(S34)) - 1 +
    MATCH(1,INDEX((LEN(INDIRECT("'シフト一覧（転載）'!"&amp;S34&amp;":AK100"))&gt;0)
            *(INDIRECT("'シフト一覧（転載）'!"&amp;S34&amp;":AK100")&lt;&gt;"休み"),
            1,0),0)+1,4),0),"")</f>
        <v>0</v>
      </c>
      <c r="V34" s="21">
        <f t="array" aca="1" ref="V34" ca="1">IFERROR(IF(U34&lt;&gt;"",IF(U34&lt;&gt;0,INDEX(
INDIRECT("'シフト一覧（転載）'!"&amp;U34&amp;":AK100"),1,
MATCH(1,INDEX((LEN(INDIRECT("'シフト一覧（転載）'!"&amp;U34&amp;":AK100"))&gt;0)
*(INDIRECT("'シフト一覧（転載）'!"&amp;U34&amp;":AK100")&lt;&gt;"休み"),1,0),0)),0),""),$E$9&amp;"保育無し")</f>
        <v>0</v>
      </c>
      <c r="W34" s="21">
        <f t="array" aca="1" ref="W34" ca="1">IFERROR(IF(U34&lt;&gt;0,ADDRESS(ROW(INDIRECT(U34)),
    COLUMN(INDIRECT(U34)) - 1 +
    MATCH(1,INDEX((LEN(INDIRECT("'シフト一覧（転載）'!"&amp;U34&amp;":AK100"))&gt;0)
            *(INDIRECT("'シフト一覧（転載）'!"&amp;U34&amp;":AK100")&lt;&gt;"休み"),
            1,0),0)+1,4),0),"")</f>
        <v>0</v>
      </c>
      <c r="X34" s="21">
        <f t="array" aca="1" ref="X34" ca="1">IFERROR(IF(W34&lt;&gt;"",IF(W34&lt;&gt;0,INDEX(
INDIRECT("'シフト一覧（転載）'!"&amp;W34&amp;":AK100"),1,
MATCH(1,INDEX((LEN(INDIRECT("'シフト一覧（転載）'!"&amp;W34&amp;":AK100"))&gt;0)
*(INDIRECT("'シフト一覧（転載）'!"&amp;W34&amp;":AK100")&lt;&gt;"休み"),1,0),0)),0),""),$E$9&amp;"保育無し")</f>
        <v>0</v>
      </c>
      <c r="Y34" s="21">
        <f t="array" aca="1" ref="Y34" ca="1">IFERROR(IF(W34&lt;&gt;0,ADDRESS(ROW(INDIRECT(W34)),
    COLUMN(INDIRECT(W34)) - 1 +
    MATCH(1,INDEX((LEN(INDIRECT("'シフト一覧（転載）'!"&amp;W34&amp;":AK100"))&gt;0)
            *(INDIRECT("'シフト一覧（転載）'!"&amp;W34&amp;":AK100")&lt;&gt;"休み"),
            1,0),0)+1,4),0),"")</f>
        <v>0</v>
      </c>
      <c r="Z34" s="21">
        <f t="array" aca="1" ref="Z34" ca="1">IFERROR(IF(Y34&lt;&gt;"",IF(Y34&lt;&gt;0,INDEX(
INDIRECT("'シフト一覧（転載）'!"&amp;Y34&amp;":AK100"),1,
MATCH(1,INDEX((LEN(INDIRECT("'シフト一覧（転載）'!"&amp;Y34&amp;":AK100"))&gt;0)
*(INDIRECT("'シフト一覧（転載）'!"&amp;Y34&amp;":AK100")&lt;&gt;"休み"),1,0),0)),0),""),$E$9&amp;"保育無し")</f>
        <v>0</v>
      </c>
      <c r="AA34" s="21">
        <f t="array" aca="1" ref="AA34" ca="1">IFERROR(IF(Y34&lt;&gt;0,ADDRESS(ROW(INDIRECT(Y34)),
    COLUMN(INDIRECT(Y34)) - 1 +
    MATCH(1,INDEX((LEN(INDIRECT("'シフト一覧（転載）'!"&amp;Y34&amp;":AK100"))&gt;0)
            *(INDIRECT("'シフト一覧（転載）'!"&amp;Y34&amp;":AK100")&lt;&gt;"休み"),
            1,0),0)+1,4),0),"")</f>
        <v>0</v>
      </c>
      <c r="AB34" s="21">
        <f t="array" aca="1" ref="AB34" ca="1">IFERROR(IF(AA34&lt;&gt;"",IF(AA34&lt;&gt;0,INDEX(
INDIRECT("'シフト一覧（転載）'!"&amp;AA34&amp;":AK100"),1,
MATCH(1,INDEX((LEN(INDIRECT("'シフト一覧（転載）'!"&amp;AA34&amp;":AK100"))&gt;0)
*(INDIRECT("'シフト一覧（転載）'!"&amp;AA34&amp;":AK100")&lt;&gt;"休み"),1,0),0)),0),""),$E$9&amp;"保育無し")</f>
        <v>0</v>
      </c>
      <c r="AC34" s="21">
        <f t="array" aca="1" ref="AC34" ca="1">IFERROR(IF(AA34&lt;&gt;0,ADDRESS(ROW(INDIRECT(AA34)),
    COLUMN(INDIRECT(AA34)) - 1 +
    MATCH(1,INDEX((LEN(INDIRECT("'シフト一覧（転載）'!"&amp;AA34&amp;":AK100"))&gt;0)
            *(INDIRECT("'シフト一覧（転載）'!"&amp;AA34&amp;":AK100")&lt;&gt;"休み"),
            1,0),0)+1,4),0),"")</f>
        <v>0</v>
      </c>
      <c r="AD34" s="21">
        <f t="array" aca="1" ref="AD34" ca="1">IFERROR(IF(AC34&lt;&gt;"",IF(AC34&lt;&gt;0,INDEX(
INDIRECT("'シフト一覧（転載）'!"&amp;AC34&amp;":AK100"),1,
MATCH(1,INDEX((LEN(INDIRECT("'シフト一覧（転載）'!"&amp;AC34&amp;":AK100"))&gt;0)
*(INDIRECT("'シフト一覧（転載）'!"&amp;AC34&amp;":AK100")&lt;&gt;"休み"),1,0),0)),0),""),$E$9&amp;"保育無し")</f>
        <v>0</v>
      </c>
      <c r="AE34" s="21">
        <f t="array" aca="1" ref="AE34" ca="1">IFERROR(IF(AC34&lt;&gt;0,ADDRESS(ROW(INDIRECT(AC34)),
    COLUMN(INDIRECT(AC34)) - 1 +
    MATCH(1,INDEX((LEN(INDIRECT("'シフト一覧（転載）'!"&amp;AC34&amp;":AK100"))&gt;0)
            *(INDIRECT("'シフト一覧（転載）'!"&amp;AC34&amp;":AK100")&lt;&gt;"休み"),
            1,0),0)+1,4),0),"")</f>
        <v>0</v>
      </c>
      <c r="AF34" s="21">
        <f t="array" aca="1" ref="AF34" ca="1">IFERROR(IF(AE34&lt;&gt;"",IF(AE34&lt;&gt;0,INDEX(
INDIRECT("'シフト一覧（転載）'!"&amp;AE34&amp;":AK100"),1,
MATCH(1,INDEX((LEN(INDIRECT("'シフト一覧（転載）'!"&amp;AE34&amp;":AK100"))&gt;0)
*(INDIRECT("'シフト一覧（転載）'!"&amp;AE34&amp;":AK100")&lt;&gt;"休み"),1,0),0)),0),""),$E$9&amp;"保育無し")</f>
        <v>0</v>
      </c>
      <c r="AG34" s="21">
        <f t="array" aca="1" ref="AG34" ca="1">IFERROR(IF(AE34&lt;&gt;0,ADDRESS(ROW(INDIRECT(AE34)),
    COLUMN(INDIRECT(AE34)) - 1 +
    MATCH(1,INDEX((LEN(INDIRECT("'シフト一覧（転載）'!"&amp;AE34&amp;":AK100"))&gt;0)
            *(INDIRECT("'シフト一覧（転載）'!"&amp;AE34&amp;":AK100")&lt;&gt;"休み"),
            1,0),0)+1,4),0),"")</f>
        <v>0</v>
      </c>
      <c r="AH34" s="21">
        <f t="array" aca="1" ref="AH34" ca="1">IFERROR(IF(AG34&lt;&gt;"",IF(AG34&lt;&gt;0,INDEX(
INDIRECT("'シフト一覧（転載）'!"&amp;AG34&amp;":AK100"),1,
MATCH(1,INDEX((LEN(INDIRECT("'シフト一覧（転載）'!"&amp;AG34&amp;":AK100"))&gt;0)
*(INDIRECT("'シフト一覧（転載）'!"&amp;AG34&amp;":AK100")&lt;&gt;"休み"),1,0),0)),0),""),$E$9&amp;"保育無し")</f>
        <v>0</v>
      </c>
      <c r="AI34" s="21">
        <f t="array" aca="1" ref="AI34" ca="1">IFERROR(IF(AG34&lt;&gt;0,ADDRESS(ROW(INDIRECT(AG34)),
    COLUMN(INDIRECT(AG34)) - 1 +
    MATCH(1,INDEX((LEN(INDIRECT("'シフト一覧（転載）'!"&amp;AG34&amp;":AK100"))&gt;0)
            *(INDIRECT("'シフト一覧（転載）'!"&amp;AG34&amp;":AK100")&lt;&gt;"休み"),
            1,0),0)+1,4),0),"")</f>
        <v>0</v>
      </c>
      <c r="AJ34" s="21">
        <f t="array" aca="1" ref="AJ34" ca="1">IFERROR(IF(AI34&lt;&gt;"",IF(AI34&lt;&gt;0,INDEX(
INDIRECT("'シフト一覧（転載）'!"&amp;AI34&amp;":AK100"),1,
MATCH(1,INDEX((LEN(INDIRECT("'シフト一覧（転載）'!"&amp;AI34&amp;":AK100"))&gt;0)
*(INDIRECT("'シフト一覧（転載）'!"&amp;AI34&amp;":AK100")&lt;&gt;"休み"),1,0),0)),0),""),$E$9&amp;"保育無し")</f>
        <v>0</v>
      </c>
      <c r="AK34" s="21">
        <f t="array" aca="1" ref="AK34" ca="1">IFERROR(IF(AI34&lt;&gt;0,ADDRESS(ROW(INDIRECT(AI34)),
    COLUMN(INDIRECT(AI34)) - 1 +
    MATCH(1,INDEX((LEN(INDIRECT("'シフト一覧（転載）'!"&amp;AI34&amp;":AK100"))&gt;0)
            *(INDIRECT("'シフト一覧（転載）'!"&amp;AI34&amp;":AK100")&lt;&gt;"休み"),
            1,0),0)+1,4),0),"")</f>
        <v>0</v>
      </c>
      <c r="AL34" s="21">
        <f t="array" aca="1" ref="AL34" ca="1">IFERROR(IF(AK34&lt;&gt;"",IF(AK34&lt;&gt;0,INDEX(
INDIRECT("'シフト一覧（転載）'!"&amp;AK34&amp;":AK100"),1,
MATCH(1,INDEX((LEN(INDIRECT("'シフト一覧（転載）'!"&amp;AK34&amp;":AK100"))&gt;0)
*(INDIRECT("'シフト一覧（転載）'!"&amp;AK34&amp;":AK100")&lt;&gt;"休み"),1,0),0)),0),""),$E$9&amp;"保育無し")</f>
        <v>0</v>
      </c>
      <c r="AM34" s="21">
        <f t="array" aca="1" ref="AM34" ca="1">IFERROR(IF(AK34&lt;&gt;0,ADDRESS(ROW(INDIRECT(AK34)),
    COLUMN(INDIRECT(AK34)) - 1 +
    MATCH(1,INDEX((LEN(INDIRECT("'シフト一覧（転載）'!"&amp;AK34&amp;":AK100"))&gt;0)
            *(INDIRECT("'シフト一覧（転載）'!"&amp;AK34&amp;":AK100")&lt;&gt;"休み"),
            1,0),0)+1,4),0),"")</f>
        <v>0</v>
      </c>
      <c r="AN34" s="21">
        <f t="array" aca="1" ref="AN34" ca="1">IFERROR(IF(AM34&lt;&gt;"",IF(AM34&lt;&gt;0,INDEX(
INDIRECT("'シフト一覧（転載）'!"&amp;AM34&amp;":AK100"),1,
MATCH(1,INDEX((LEN(INDIRECT("'シフト一覧（転載）'!"&amp;AM34&amp;":AK100"))&gt;0)
*(INDIRECT("'シフト一覧（転載）'!"&amp;AM34&amp;":AK100")&lt;&gt;"休み"),1,0),0)),0),""),$E$9&amp;"保育無し")</f>
        <v>0</v>
      </c>
      <c r="AO34" s="21">
        <f t="array" aca="1" ref="AO34" ca="1">IFERROR(IF(AM34&lt;&gt;0,ADDRESS(ROW(INDIRECT(AM34)),
    COLUMN(INDIRECT(AM34)) - 1 +
    MATCH(1,INDEX((LEN(INDIRECT("'シフト一覧（転載）'!"&amp;AM34&amp;":AK100"))&gt;0)
            *(INDIRECT("'シフト一覧（転載）'!"&amp;AM34&amp;":AK100")&lt;&gt;"休み"),
            1,0),0)+1,4),0),"")</f>
        <v>0</v>
      </c>
      <c r="AP34" s="21">
        <f t="array" aca="1" ref="AP34" ca="1">IFERROR(IF(AO34&lt;&gt;"",IF(AO34&lt;&gt;0,INDEX(
INDIRECT("'シフト一覧（転載）'!"&amp;AO34&amp;":AK100"),1,
MATCH(1,INDEX((LEN(INDIRECT("'シフト一覧（転載）'!"&amp;AO34&amp;":AK100"))&gt;0)
*(INDIRECT("'シフト一覧（転載）'!"&amp;AO34&amp;":AK100")&lt;&gt;"休み"),1,0),0)),0),""),$E$9&amp;"保育無し")</f>
        <v>0</v>
      </c>
      <c r="AQ34" s="21">
        <f t="array" aca="1" ref="AQ34" ca="1">IFERROR(IF(AO34&lt;&gt;0,ADDRESS(ROW(INDIRECT(AO34)),
    COLUMN(INDIRECT(AO34)) - 1 +
    MATCH(1,INDEX((LEN(INDIRECT("'シフト一覧（転載）'!"&amp;AO34&amp;":AK100"))&gt;0)
            *(INDIRECT("'シフト一覧（転載）'!"&amp;AO34&amp;":AK100")&lt;&gt;"休み"),
            1,0),0)+1,4),0),"")</f>
        <v>0</v>
      </c>
      <c r="AR34" s="21">
        <f t="array" aca="1" ref="AR34" ca="1">IFERROR(IF(AQ34&lt;&gt;"",IF(AQ34&lt;&gt;0,INDEX(
INDIRECT("'シフト一覧（転載）'!"&amp;AQ34&amp;":AK100"),1,
MATCH(1,INDEX((LEN(INDIRECT("'シフト一覧（転載）'!"&amp;AQ34&amp;":AK100"))&gt;0)
*(INDIRECT("'シフト一覧（転載）'!"&amp;AQ34&amp;":AK100")&lt;&gt;"休み"),1,0),0)),0),""),$E$9&amp;"保育無し")</f>
        <v>0</v>
      </c>
      <c r="AS34" s="21">
        <f t="array" aca="1" ref="AS34" ca="1">IFERROR(IF(AQ34&lt;&gt;0,ADDRESS(ROW(INDIRECT(AQ34)),
    COLUMN(INDIRECT(AQ34)) - 1 +
    MATCH(1,INDEX((LEN(INDIRECT("'シフト一覧（転載）'!"&amp;AQ34&amp;":AK100"))&gt;0)
            *(INDIRECT("'シフト一覧（転載）'!"&amp;AQ34&amp;":AK100")&lt;&gt;"休み"),
            1,0),0)+1,4),0),"")</f>
        <v>0</v>
      </c>
      <c r="AT34" s="21">
        <f t="array" aca="1" ref="AT34" ca="1">IFERROR(IF(AS34&lt;&gt;"",IF(AS34&lt;&gt;0,INDEX(
INDIRECT("'シフト一覧（転載）'!"&amp;AS34&amp;":AK100"),1,
MATCH(1,INDEX((LEN(INDIRECT("'シフト一覧（転載）'!"&amp;AS34&amp;":AK100"))&gt;0)
*(INDIRECT("'シフト一覧（転載）'!"&amp;AS34&amp;":AK100")&lt;&gt;"休み"),1,0),0)),0),""),$E$9&amp;"保育無し")</f>
        <v>0</v>
      </c>
      <c r="AU34" s="21">
        <f t="array" aca="1" ref="AU34" ca="1">IFERROR(IF(AS34&lt;&gt;0,ADDRESS(ROW(INDIRECT(AS34)),
    COLUMN(INDIRECT(AS34)) - 1 +
    MATCH(1,INDEX((LEN(INDIRECT("'シフト一覧（転載）'!"&amp;AS34&amp;":AK100"))&gt;0)
            *(INDIRECT("'シフト一覧（転載）'!"&amp;AS34&amp;":AK100")&lt;&gt;"休み"),
            1,0),0)+1,4),0),"")</f>
        <v>0</v>
      </c>
      <c r="AV34" s="21">
        <f t="array" aca="1" ref="AV34" ca="1">IFERROR(IF(AU34&lt;&gt;"",IF(AU34&lt;&gt;0,INDEX(
INDIRECT("'シフト一覧（転載）'!"&amp;AU34&amp;":AK100"),1,
MATCH(1,INDEX((LEN(INDIRECT("'シフト一覧（転載）'!"&amp;AU34&amp;":AK100"))&gt;0)
*(INDIRECT("'シフト一覧（転載）'!"&amp;AU34&amp;":AK100")&lt;&gt;"休み"),1,0),0)),0),""),$E$9&amp;"保育無し")</f>
        <v>0</v>
      </c>
      <c r="AW34" s="21">
        <f t="array" aca="1" ref="AW34" ca="1">IFERROR(IF(AU34&lt;&gt;0,ADDRESS(ROW(INDIRECT(AU34)),
    COLUMN(INDIRECT(AU34)) - 1 +
    MATCH(1,INDEX((LEN(INDIRECT("'シフト一覧（転載）'!"&amp;AU34&amp;":AK100"))&gt;0)
            *(INDIRECT("'シフト一覧（転載）'!"&amp;AU34&amp;":AK100")&lt;&gt;"休み"),
            1,0),0)+1,4),0),"")</f>
        <v>0</v>
      </c>
      <c r="AX34" s="21">
        <f t="array" aca="1" ref="AX34" ca="1">IFERROR(IF(AW34&lt;&gt;"",IF(AW34&lt;&gt;0,INDEX(
INDIRECT("'シフト一覧（転載）'!"&amp;AW34&amp;":AK100"),1,
MATCH(1,INDEX((LEN(INDIRECT("'シフト一覧（転載）'!"&amp;AW34&amp;":AK100"))&gt;0)
*(INDIRECT("'シフト一覧（転載）'!"&amp;AW34&amp;":AK100")&lt;&gt;"休み"),1,0),0)),0),""),$E$9&amp;"保育無し")</f>
        <v>0</v>
      </c>
      <c r="AY34" s="21">
        <f t="array" aca="1" ref="AY34" ca="1">IFERROR(IF(AW34&lt;&gt;0,ADDRESS(ROW(INDIRECT(AW34)),
    COLUMN(INDIRECT(AW34)) - 1 +
    MATCH(1,INDEX((LEN(INDIRECT("'シフト一覧（転載）'!"&amp;AW34&amp;":AK100"))&gt;0)
            *(INDIRECT("'シフト一覧（転載）'!"&amp;AW34&amp;":AK100")&lt;&gt;"休み"),
            1,0),0)+1,4),0),"")</f>
        <v>0</v>
      </c>
      <c r="AZ34" s="21">
        <f t="array" aca="1" ref="AZ34" ca="1">IFERROR(IF(AY34&lt;&gt;"",IF(AY34&lt;&gt;0,INDEX(
INDIRECT("'シフト一覧（転載）'!"&amp;AY34&amp;":AK100"),1,
MATCH(1,INDEX((LEN(INDIRECT("'シフト一覧（転載）'!"&amp;AY34&amp;":AK100"))&gt;0)
*(INDIRECT("'シフト一覧（転載）'!"&amp;AY34&amp;":AK100")&lt;&gt;"休み"),1,0),0)),0),""),$E$9&amp;"保育無し")</f>
        <v>0</v>
      </c>
      <c r="BA34" s="21">
        <f t="array" aca="1" ref="BA34" ca="1">IFERROR(IF(AY34&lt;&gt;0,ADDRESS(ROW(INDIRECT(AY34)),
    COLUMN(INDIRECT(AY34)) - 1 +
    MATCH(1,INDEX((LEN(INDIRECT("'シフト一覧（転載）'!"&amp;AY34&amp;":AK100"))&gt;0)
            *(INDIRECT("'シフト一覧（転載）'!"&amp;AY34&amp;":AK100")&lt;&gt;"休み"),
            1,0),0)+1,4),0),"")</f>
        <v>0</v>
      </c>
      <c r="BB34" s="21">
        <f t="array" aca="1" ref="BB34" ca="1">IFERROR(IF(BA34&lt;&gt;"",IF(BA34&lt;&gt;0,INDEX(
INDIRECT("'シフト一覧（転載）'!"&amp;BA34&amp;":AK100"),1,
MATCH(1,INDEX((LEN(INDIRECT("'シフト一覧（転載）'!"&amp;BA34&amp;":AK100"))&gt;0)
*(INDIRECT("'シフト一覧（転載）'!"&amp;BA34&amp;":AK100")&lt;&gt;"休み"),1,0),0)),0),""),$E$9&amp;"保育無し")</f>
        <v>0</v>
      </c>
      <c r="BC34" s="21">
        <f t="array" aca="1" ref="BC34" ca="1">IFERROR(IF(BA34&lt;&gt;0,ADDRESS(ROW(INDIRECT(BA34)),
    COLUMN(INDIRECT(BA34)) - 1 +
    MATCH(1,INDEX((LEN(INDIRECT("'シフト一覧（転載）'!"&amp;BA34&amp;":AK100"))&gt;0)
            *(INDIRECT("'シフト一覧（転載）'!"&amp;BA34&amp;":AK100")&lt;&gt;"休み"),
            1,0),0)+1,4),0),"")</f>
        <v>0</v>
      </c>
      <c r="BD34" s="21">
        <f t="array" aca="1" ref="BD34" ca="1">IFERROR(IF(BC34&lt;&gt;"",IF(BC34&lt;&gt;0,INDEX(
INDIRECT("'シフト一覧（転載）'!"&amp;BC34&amp;":AK100"),1,
MATCH(1,INDEX((LEN(INDIRECT("'シフト一覧（転載）'!"&amp;BC34&amp;":AK100"))&gt;0)
*(INDIRECT("'シフト一覧（転載）'!"&amp;BC34&amp;":AK100")&lt;&gt;"休み"),1,0),0)),0),""),$E$9&amp;"保育無し")</f>
        <v>0</v>
      </c>
      <c r="BE34" s="21">
        <f t="array" aca="1" ref="BE34" ca="1">IFERROR(IF(BC34&lt;&gt;0,ADDRESS(ROW(INDIRECT(BC34)),
    COLUMN(INDIRECT(BC34)) - 1 +
    MATCH(1,INDEX((LEN(INDIRECT("'シフト一覧（転載）'!"&amp;BC34&amp;":AK100"))&gt;0)
            *(INDIRECT("'シフト一覧（転載）'!"&amp;BC34&amp;":AK100")&lt;&gt;"休み"),
            1,0),0)+1,4),0),"")</f>
        <v>0</v>
      </c>
      <c r="BF34" s="21">
        <f t="array" aca="1" ref="BF34" ca="1">IFERROR(IF(BE34&lt;&gt;"",IF(BE34&lt;&gt;0,INDEX(
INDIRECT("'シフト一覧（転載）'!"&amp;BE34&amp;":AK100"),1,
MATCH(1,INDEX((LEN(INDIRECT("'シフト一覧（転載）'!"&amp;BE34&amp;":AK100"))&gt;0)
*(INDIRECT("'シフト一覧（転載）'!"&amp;BE34&amp;":AK100")&lt;&gt;"休み"),1,0),0)),0),""),$E$9&amp;"保育無し")</f>
        <v>0</v>
      </c>
      <c r="BG34" s="21">
        <f t="array" aca="1" ref="BG34" ca="1">IFERROR(IF(BE34&lt;&gt;0,ADDRESS(ROW(INDIRECT(BE34)),
    COLUMN(INDIRECT(BE34)) - 1 +
    MATCH(1,INDEX((LEN(INDIRECT("'シフト一覧（転載）'!"&amp;BE34&amp;":AK100"))&gt;0)
            *(INDIRECT("'シフト一覧（転載）'!"&amp;BE34&amp;":AK100")&lt;&gt;"休み"),
            1,0),0)+1,4),0),"")</f>
        <v>0</v>
      </c>
      <c r="BH34" s="21">
        <f t="array" aca="1" ref="BH34" ca="1">IFERROR(IF(BG34&lt;&gt;"",IF(BG34&lt;&gt;0,INDEX(
INDIRECT("'シフト一覧（転載）'!"&amp;BG34&amp;":AK100"),1,
MATCH(1,INDEX((LEN(INDIRECT("'シフト一覧（転載）'!"&amp;BG34&amp;":AK100"))&gt;0)
*(INDIRECT("'シフト一覧（転載）'!"&amp;BG34&amp;":AK100")&lt;&gt;"休み"),1,0),0)),0),""),$E$9&amp;"保育無し")</f>
        <v>0</v>
      </c>
      <c r="BI34" s="21">
        <f t="array" aca="1" ref="BI34" ca="1">IFERROR(IF(BG34&lt;&gt;0,ADDRESS(ROW(INDIRECT(BG34)),
    COLUMN(INDIRECT(BG34)) - 1 +
    MATCH(1,INDEX((LEN(INDIRECT("'シフト一覧（転載）'!"&amp;BG34&amp;":AK100"))&gt;0)
            *(INDIRECT("'シフト一覧（転載）'!"&amp;BG34&amp;":AK100")&lt;&gt;"休み"),
            1,0),0)+1,4),0),"")</f>
        <v>0</v>
      </c>
      <c r="BJ34" s="21">
        <f t="array" aca="1" ref="BJ34" ca="1">IFERROR(IF(BI34&lt;&gt;"",IF(BI34&lt;&gt;0,INDEX(
INDIRECT("'シフト一覧（転載）'!"&amp;BI34&amp;":AK100"),1,
MATCH(1,INDEX((LEN(INDIRECT("'シフト一覧（転載）'!"&amp;BI34&amp;":AK100"))&gt;0)
*(INDIRECT("'シフト一覧（転載）'!"&amp;BI34&amp;":AK100")&lt;&gt;"休み"),1,0),0)),0),""),$E$9&amp;"保育無し")</f>
        <v>0</v>
      </c>
      <c r="BK34" s="21">
        <f t="array" aca="1" ref="BK34" ca="1">IFERROR(IF(BI34&lt;&gt;0,ADDRESS(ROW(INDIRECT(BI34)),
    COLUMN(INDIRECT(BI34)) - 1 +
    MATCH(1,INDEX((LEN(INDIRECT("'シフト一覧（転載）'!"&amp;BI34&amp;":AK100"))&gt;0)
            *(INDIRECT("'シフト一覧（転載）'!"&amp;BI34&amp;":AK100")&lt;&gt;"休み"),
            1,0),0)+1,4),0),"")</f>
        <v>0</v>
      </c>
      <c r="BL34" s="21">
        <f t="array" aca="1" ref="BL34" ca="1">IFERROR(IF(BK34&lt;&gt;"",IF(BK34&lt;&gt;0,INDEX(
INDIRECT("'シフト一覧（転載）'!"&amp;BK34&amp;":AK100"),1,
MATCH(1,INDEX((LEN(INDIRECT("'シフト一覧（転載）'!"&amp;BK34&amp;":AK100"))&gt;0)
*(INDIRECT("'シフト一覧（転載）'!"&amp;BK34&amp;":AK100")&lt;&gt;"休み"),1,0),0)),0),""),$E$9&amp;"保育無し")</f>
        <v>0</v>
      </c>
      <c r="BM34" s="21">
        <f t="array" aca="1" ref="BM34" ca="1">IFERROR(IF(BK34&lt;&gt;0,ADDRESS(ROW(INDIRECT(BK34)),
    COLUMN(INDIRECT(BK34)) - 1 +
    MATCH(1,INDEX((LEN(INDIRECT("'シフト一覧（転載）'!"&amp;BK34&amp;":AK100"))&gt;0)
            *(INDIRECT("'シフト一覧（転載）'!"&amp;BK34&amp;":AK100")&lt;&gt;"休み"),
            1,0),0)+1,4),0),"")</f>
        <v>0</v>
      </c>
      <c r="BN34" s="21">
        <f t="array" aca="1" ref="BN34" ca="1">IFERROR(IF(BM34&lt;&gt;"",IF(BM34&lt;&gt;0,INDEX(
INDIRECT("'シフト一覧（転載）'!"&amp;BM34&amp;":AK100"),1,
MATCH(1,INDEX((LEN(INDIRECT("'シフト一覧（転載）'!"&amp;BM34&amp;":AK100"))&gt;0)
*(INDIRECT("'シフト一覧（転載）'!"&amp;BM34&amp;":AK100")&lt;&gt;"休み"),1,0),0)),0),""),$E$9&amp;"保育無し")</f>
        <v>0</v>
      </c>
      <c r="BO34" s="21">
        <f t="array" aca="1" ref="BO34" ca="1">IFERROR(IF(BM34&lt;&gt;0,ADDRESS(ROW(INDIRECT(BM34)),
    COLUMN(INDIRECT(BM34)) - 1 +
    MATCH(1,INDEX((LEN(INDIRECT("'シフト一覧（転載）'!"&amp;BM34&amp;":AK100"))&gt;0)
            *(INDIRECT("'シフト一覧（転載）'!"&amp;BM34&amp;":AK100")&lt;&gt;"休み"),
            1,0),0)+1,4),0),"")</f>
        <v>0</v>
      </c>
      <c r="BP34" s="21">
        <f t="array" aca="1" ref="BP34" ca="1">IFERROR(IF(BO34&lt;&gt;"",IF(BO34&lt;&gt;0,INDEX(
INDIRECT("'シフト一覧（転載）'!"&amp;BO34&amp;":AK100"),1,
MATCH(1,INDEX((LEN(INDIRECT("'シフト一覧（転載）'!"&amp;BO34&amp;":AK100"))&gt;0)
*(INDIRECT("'シフト一覧（転載）'!"&amp;BO34&amp;":AK100")&lt;&gt;"休み"),1,0),0)),0),""),$E$9&amp;"保育無し")</f>
        <v>0</v>
      </c>
      <c r="BQ34" s="21">
        <f t="array" aca="1" ref="BQ34" ca="1">IFERROR(IF(BO34&lt;&gt;0,ADDRESS(ROW(INDIRECT(BO34)),
    COLUMN(INDIRECT(BO34)) - 1 +
    MATCH(1,INDEX((LEN(INDIRECT("'シフト一覧（転載）'!"&amp;BO34&amp;":AK100"))&gt;0)
            *(INDIRECT("'シフト一覧（転載）'!"&amp;BO34&amp;":AK100")&lt;&gt;"休み"),
            1,0),0)+1,4),0),"")</f>
        <v>0</v>
      </c>
      <c r="BR34" s="21">
        <f t="array" aca="1" ref="BR34" ca="1">IFERROR(IF(BQ34&lt;&gt;"",IF(BQ34&lt;&gt;0,INDEX(
INDIRECT("'シフト一覧（転載）'!"&amp;BQ34&amp;":AK100"),1,
MATCH(1,INDEX((LEN(INDIRECT("'シフト一覧（転載）'!"&amp;BQ34&amp;":AK100"))&gt;0)
*(INDIRECT("'シフト一覧（転載）'!"&amp;BQ34&amp;":AK100")&lt;&gt;"休み"),1,0),0)),0),""),$E$9&amp;"保育無し")</f>
        <v>0</v>
      </c>
      <c r="BS34" s="21">
        <f t="array" aca="1" ref="BS34" ca="1">IFERROR(IF(BQ34&lt;&gt;0,ADDRESS(ROW(INDIRECT(BQ34)),
    COLUMN(INDIRECT(BQ34)) - 1 +
    MATCH(1,INDEX((LEN(INDIRECT("'シフト一覧（転載）'!"&amp;BQ34&amp;":AK100"))&gt;0)
            *(INDIRECT("'シフト一覧（転載）'!"&amp;BQ34&amp;":AK100")&lt;&gt;"休み"),
            1,0),0)+1,4),0),"")</f>
        <v>0</v>
      </c>
      <c r="BT34" s="21">
        <f t="array" aca="1" ref="BT34" ca="1">IFERROR(IF(BS34&lt;&gt;"",IF(BS34&lt;&gt;0,INDEX(
INDIRECT("'シフト一覧（転載）'!"&amp;BS34&amp;":AK100"),1,
MATCH(1,INDEX((LEN(INDIRECT("'シフト一覧（転載）'!"&amp;BS34&amp;":AK100"))&gt;0)
*(INDIRECT("'シフト一覧（転載）'!"&amp;BS34&amp;":AK100")&lt;&gt;"休み"),1,0),0)),0),""),$E$9&amp;"保育無し")</f>
        <v>0</v>
      </c>
      <c r="BU34" s="21">
        <f t="array" aca="1" ref="BU34" ca="1">IFERROR(IF(BS34&lt;&gt;0,ADDRESS(ROW(INDIRECT(BS34)),
    COLUMN(INDIRECT(BS34)) - 1 +
    MATCH(1,INDEX((LEN(INDIRECT("'シフト一覧（転載）'!"&amp;BS34&amp;":AK100"))&gt;0)
            *(INDIRECT("'シフト一覧（転載）'!"&amp;BS34&amp;":AK100")&lt;&gt;"休み"),
            1,0),0)+1,4),0),"")</f>
        <v>0</v>
      </c>
      <c r="BV34" s="21">
        <f t="array" aca="1" ref="BV34" ca="1">IFERROR(IF(BU34&lt;&gt;"",IF(BU34&lt;&gt;0,INDEX(
INDIRECT("'シフト一覧（転載）'!"&amp;BU34&amp;":AK100"),1,
MATCH(1,INDEX((LEN(INDIRECT("'シフト一覧（転載）'!"&amp;BU34&amp;":AK100"))&gt;0)
*(INDIRECT("'シフト一覧（転載）'!"&amp;BU34&amp;":AK100")&lt;&gt;"休み"),1,0),0)),0),""),$E$9&amp;"保育無し")</f>
        <v>0</v>
      </c>
      <c r="BW34" s="21">
        <f t="array" aca="1" ref="BW34" ca="1">IFERROR(IF(BU34&lt;&gt;0,ADDRESS(ROW(INDIRECT(BU34)),
    COLUMN(INDIRECT(BU34)) - 1 +
    MATCH(1,INDEX((LEN(INDIRECT("'シフト一覧（転載）'!"&amp;BU34&amp;":AK100"))&gt;0)
            *(INDIRECT("'シフト一覧（転載）'!"&amp;BU34&amp;":AK100")&lt;&gt;"休み"),
            1,0),0)+1,4),0),"")</f>
        <v>0</v>
      </c>
      <c r="BX34" s="21">
        <f t="array" aca="1" ref="BX34" ca="1">IFERROR(IF(BW34&lt;&gt;"",IF(BW34&lt;&gt;0,INDEX(
INDIRECT("'シフト一覧（転載）'!"&amp;BW34&amp;":AK100"),1,
MATCH(1,INDEX((LEN(INDIRECT("'シフト一覧（転載）'!"&amp;BW34&amp;":AK100"))&gt;0)
*(INDIRECT("'シフト一覧（転載）'!"&amp;BW34&amp;":AK100")&lt;&gt;"休み"),1,0),0)),0),""),$E$9&amp;"保育無し")</f>
        <v>0</v>
      </c>
      <c r="BY34" s="21">
        <f t="array" aca="1" ref="BY34" ca="1">IFERROR(IF(BW34&lt;&gt;0,ADDRESS(ROW(INDIRECT(BW34)),
    COLUMN(INDIRECT(BW34)) - 1 +
    MATCH(1,INDEX((LEN(INDIRECT("'シフト一覧（転載）'!"&amp;BW34&amp;":AK100"))&gt;0)
            *(INDIRECT("'シフト一覧（転載）'!"&amp;BW34&amp;":AK100")&lt;&gt;"休み"),
            1,0),0)+1,4),0),"")</f>
        <v>0</v>
      </c>
    </row>
    <row r="35" spans="13:77" ht="19.2" customHeight="1" x14ac:dyDescent="0.2">
      <c r="M35" s="93"/>
      <c r="N35" s="91"/>
      <c r="O35" s="95"/>
      <c r="P35" s="22">
        <f t="array" aca="1" ref="P35" ca="1">IFERROR(IF(M34&lt;&gt;"",INDEX('シフト一覧（転載）'!$F$8:$AK$100,
    MATCH(1,(ISNUMBER(SEARCH(M34,'シフト一覧（転載）'!$A$8:$A$100)))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MATCH(1,(ISNUMBER(SEARCH(M34,'シフト一覧（転載）'!$A$8:$A$100)))
                *(ISNUMBER(SEARCH($E$9,'シフト一覧（転載）'!$B$8:$B$100))),
                0),0),0)),0),"")</f>
        <v>0</v>
      </c>
      <c r="Q35" s="22">
        <f ca="1">IF(P34=0,0,
IF(OR(P34="",COUNTIF(P34,"*保育無し*")),"",
IF(MOD(P35-P34,1)*24&gt;=8,1,
IF(MOD(P35-P34,1)*24&gt;=6,0.75,0))))</f>
        <v>0</v>
      </c>
      <c r="R35" s="22">
        <f t="array" aca="1" ref="R35" ca="1">IFERROR(IF(Q34&lt;&gt;0,INDEX(
INDIRECT("'シフト一覧（転載）'!"&amp;Q34&amp;":AK100"),1+1,
MATCH(1,INDEX((LEN(INDIRECT("'シフト一覧（転載）'!"&amp;Q34&amp;":AK100"))&gt;0)
*(INDIRECT("'シフト一覧（転載）'!"&amp;Q34&amp;":AK100")&lt;&gt;"休み"),1,0),0)),0),"")</f>
        <v>0</v>
      </c>
      <c r="S35" s="22">
        <f ca="1">IF(R34=0,0,
IF(OR(R34="",COUNTIF(R34,"*保育無し*")),"",
IF(MOD(R35-R34,1)*24&gt;=8,1,
IF(MOD(R35-R34,1)*24&gt;=6,0.75,0))))</f>
        <v>0</v>
      </c>
      <c r="T35" s="22">
        <f t="array" aca="1" ref="T35" ca="1">IFERROR(IF(S34&lt;&gt;0,INDEX(
INDIRECT("'シフト一覧（転載）'!"&amp;S34&amp;":AK100"),1+1,
MATCH(1,INDEX((LEN(INDIRECT("'シフト一覧（転載）'!"&amp;S34&amp;":AK100"))&gt;0)
*(INDIRECT("'シフト一覧（転載）'!"&amp;S34&amp;":AK100")&lt;&gt;"休み"),1,0),0)),0),"")</f>
        <v>0</v>
      </c>
      <c r="U35" s="22">
        <f ca="1">IF(T34=0,0,
IF(OR(T34="",COUNTIF(T34,"*保育無し*")),"",
IF(MOD(T35-T34,1)*24&gt;=8,1,
IF(MOD(T35-T34,1)*24&gt;=6,0.75,0))))</f>
        <v>0</v>
      </c>
      <c r="V35" s="22">
        <f t="array" aca="1" ref="V35" ca="1">IFERROR(IF(U34&lt;&gt;0,INDEX(
INDIRECT("'シフト一覧（転載）'!"&amp;U34&amp;":AK100"),1+1,
MATCH(1,INDEX((LEN(INDIRECT("'シフト一覧（転載）'!"&amp;U34&amp;":AK100"))&gt;0)
*(INDIRECT("'シフト一覧（転載）'!"&amp;U34&amp;":AK100")&lt;&gt;"休み"),1,0),0)),0),"")</f>
        <v>0</v>
      </c>
      <c r="W35" s="22">
        <f ca="1">IF(V34=0,0,
IF(OR(V34="",COUNTIF(V34,"*保育無し*")),"",
IF(MOD(V35-V34,1)*24&gt;=8,1,
IF(MOD(V35-V34,1)*24&gt;=6,0.75,0))))</f>
        <v>0</v>
      </c>
      <c r="X35" s="22">
        <f t="array" aca="1" ref="X35" ca="1">IFERROR(IF(W34&lt;&gt;0,INDEX(
INDIRECT("'シフト一覧（転載）'!"&amp;W34&amp;":AK100"),1+1,
MATCH(1,INDEX((LEN(INDIRECT("'シフト一覧（転載）'!"&amp;W34&amp;":AK100"))&gt;0)
*(INDIRECT("'シフト一覧（転載）'!"&amp;W34&amp;":AK100")&lt;&gt;"休み"),1,0),0)),0),"")</f>
        <v>0</v>
      </c>
      <c r="Y35" s="22">
        <f ca="1">IF(X34=0,0,
IF(OR(X34="",COUNTIF(X34,"*保育無し*")),"",
IF(MOD(X35-X34,1)*24&gt;=8,1,
IF(MOD(X35-X34,1)*24&gt;=6,0.75,0))))</f>
        <v>0</v>
      </c>
      <c r="Z35" s="22">
        <f t="array" aca="1" ref="Z35" ca="1">IFERROR(IF(Y34&lt;&gt;0,INDEX(
INDIRECT("'シフト一覧（転載）'!"&amp;Y34&amp;":AK100"),1+1,
MATCH(1,INDEX((LEN(INDIRECT("'シフト一覧（転載）'!"&amp;Y34&amp;":AK100"))&gt;0)
*(INDIRECT("'シフト一覧（転載）'!"&amp;Y34&amp;":AK100")&lt;&gt;"休み"),1,0),0)),0),"")</f>
        <v>0</v>
      </c>
      <c r="AA35" s="22">
        <f ca="1">IF(Z34=0,0,
IF(OR(Z34="",COUNTIF(Z34,"*保育無し*")),"",
IF(MOD(Z35-Z34,1)*24&gt;=8,1,
IF(MOD(Z35-Z34,1)*24&gt;=6,0.75,0))))</f>
        <v>0</v>
      </c>
      <c r="AB35" s="22">
        <f t="array" aca="1" ref="AB35" ca="1">IFERROR(IF(AA34&lt;&gt;0,INDEX(
INDIRECT("'シフト一覧（転載）'!"&amp;AA34&amp;":AK100"),1+1,
MATCH(1,INDEX((LEN(INDIRECT("'シフト一覧（転載）'!"&amp;AA34&amp;":AK100"))&gt;0)
*(INDIRECT("'シフト一覧（転載）'!"&amp;AA34&amp;":AK100")&lt;&gt;"休み"),1,0),0)),0),"")</f>
        <v>0</v>
      </c>
      <c r="AC35" s="22">
        <f ca="1">IF(AB34=0,0,
IF(OR(AB34="",COUNTIF(AB34,"*保育無し*")),"",
IF(MOD(AB35-AB34,1)*24&gt;=8,1,
IF(MOD(AB35-AB34,1)*24&gt;=6,0.75,0))))</f>
        <v>0</v>
      </c>
      <c r="AD35" s="22">
        <f t="array" aca="1" ref="AD35" ca="1">IFERROR(IF(AC34&lt;&gt;0,INDEX(
INDIRECT("'シフト一覧（転載）'!"&amp;AC34&amp;":AK100"),1+1,
MATCH(1,INDEX((LEN(INDIRECT("'シフト一覧（転載）'!"&amp;AC34&amp;":AK100"))&gt;0)
*(INDIRECT("'シフト一覧（転載）'!"&amp;AC34&amp;":AK100")&lt;&gt;"休み"),1,0),0)),0),"")</f>
        <v>0</v>
      </c>
      <c r="AE35" s="22">
        <f ca="1">IF(AD34=0,0,
IF(OR(AD34="",COUNTIF(AD34,"*保育無し*")),"",
IF(MOD(AD35-AD34,1)*24&gt;=8,1,
IF(MOD(AD35-AD34,1)*24&gt;=6,0.75,0))))</f>
        <v>0</v>
      </c>
      <c r="AF35" s="22">
        <f t="array" aca="1" ref="AF35" ca="1">IFERROR(IF(AE34&lt;&gt;0,INDEX(
INDIRECT("'シフト一覧（転載）'!"&amp;AE34&amp;":AK100"),1+1,
MATCH(1,INDEX((LEN(INDIRECT("'シフト一覧（転載）'!"&amp;AE34&amp;":AK100"))&gt;0)
*(INDIRECT("'シフト一覧（転載）'!"&amp;AE34&amp;":AK100")&lt;&gt;"休み"),1,0),0)),0),"")</f>
        <v>0</v>
      </c>
      <c r="AG35" s="22">
        <f ca="1">IF(AF34=0,0,
IF(OR(AF34="",COUNTIF(AF34,"*保育無し*")),"",
IF(MOD(AF35-AF34,1)*24&gt;=8,1,
IF(MOD(AF35-AF34,1)*24&gt;=6,0.75,0))))</f>
        <v>0</v>
      </c>
      <c r="AH35" s="22">
        <f t="array" aca="1" ref="AH35" ca="1">IFERROR(IF(AG34&lt;&gt;0,INDEX(
INDIRECT("'シフト一覧（転載）'!"&amp;AG34&amp;":AK100"),1+1,
MATCH(1,INDEX((LEN(INDIRECT("'シフト一覧（転載）'!"&amp;AG34&amp;":AK100"))&gt;0)
*(INDIRECT("'シフト一覧（転載）'!"&amp;AG34&amp;":AK100")&lt;&gt;"休み"),1,0),0)),0),"")</f>
        <v>0</v>
      </c>
      <c r="AI35" s="22">
        <f ca="1">IF(AH34=0,0,
IF(OR(AH34="",COUNTIF(AH34,"*保育無し*")),"",
IF(MOD(AH35-AH34,1)*24&gt;=8,1,
IF(MOD(AH35-AH34,1)*24&gt;=6,0.75,0))))</f>
        <v>0</v>
      </c>
      <c r="AJ35" s="22">
        <f t="array" aca="1" ref="AJ35" ca="1">IFERROR(IF(AI34&lt;&gt;0,INDEX(
INDIRECT("'シフト一覧（転載）'!"&amp;AI34&amp;":AK100"),1+1,
MATCH(1,INDEX((LEN(INDIRECT("'シフト一覧（転載）'!"&amp;AI34&amp;":AK100"))&gt;0)
*(INDIRECT("'シフト一覧（転載）'!"&amp;AI34&amp;":AK100")&lt;&gt;"休み"),1,0),0)),0),"")</f>
        <v>0</v>
      </c>
      <c r="AK35" s="22">
        <f ca="1">IF(AJ34=0,0,
IF(OR(AJ34="",COUNTIF(AJ34,"*保育無し*")),"",
IF(MOD(AJ35-AJ34,1)*24&gt;=8,1,
IF(MOD(AJ35-AJ34,1)*24&gt;=6,0.75,0))))</f>
        <v>0</v>
      </c>
      <c r="AL35" s="22">
        <f t="array" aca="1" ref="AL35" ca="1">IFERROR(IF(AK34&lt;&gt;0,INDEX(
INDIRECT("'シフト一覧（転載）'!"&amp;AK34&amp;":AK100"),1+1,
MATCH(1,INDEX((LEN(INDIRECT("'シフト一覧（転載）'!"&amp;AK34&amp;":AK100"))&gt;0)
*(INDIRECT("'シフト一覧（転載）'!"&amp;AK34&amp;":AK100")&lt;&gt;"休み"),1,0),0)),0),"")</f>
        <v>0</v>
      </c>
      <c r="AM35" s="22">
        <f ca="1">IF(AL34=0,0,
IF(OR(AL34="",COUNTIF(AL34,"*保育無し*")),"",
IF(MOD(AL35-AL34,1)*24&gt;=8,1,
IF(MOD(AL35-AL34,1)*24&gt;=6,0.75,0))))</f>
        <v>0</v>
      </c>
      <c r="AN35" s="22">
        <f t="array" aca="1" ref="AN35" ca="1">IFERROR(IF(AM34&lt;&gt;0,INDEX(
INDIRECT("'シフト一覧（転載）'!"&amp;AM34&amp;":AK100"),1+1,
MATCH(1,INDEX((LEN(INDIRECT("'シフト一覧（転載）'!"&amp;AM34&amp;":AK100"))&gt;0)
*(INDIRECT("'シフト一覧（転載）'!"&amp;AM34&amp;":AK100")&lt;&gt;"休み"),1,0),0)),0),"")</f>
        <v>0</v>
      </c>
      <c r="AO35" s="22">
        <f ca="1">IF(AN34=0,0,
IF(OR(AN34="",COUNTIF(AN34,"*保育無し*")),"",
IF(MOD(AN35-AN34,1)*24&gt;=8,1,
IF(MOD(AN35-AN34,1)*24&gt;=6,0.75,0))))</f>
        <v>0</v>
      </c>
      <c r="AP35" s="22">
        <f t="array" aca="1" ref="AP35" ca="1">IFERROR(IF(AO34&lt;&gt;0,INDEX(
INDIRECT("'シフト一覧（転載）'!"&amp;AO34&amp;":AK100"),1+1,
MATCH(1,INDEX((LEN(INDIRECT("'シフト一覧（転載）'!"&amp;AO34&amp;":AK100"))&gt;0)
*(INDIRECT("'シフト一覧（転載）'!"&amp;AO34&amp;":AK100")&lt;&gt;"休み"),1,0),0)),0),"")</f>
        <v>0</v>
      </c>
      <c r="AQ35" s="22">
        <f ca="1">IF(AP34=0,0,
IF(OR(AP34="",COUNTIF(AP34,"*保育無し*")),"",
IF(MOD(AP35-AP34,1)*24&gt;=8,1,
IF(MOD(AP35-AP34,1)*24&gt;=6,0.75,0))))</f>
        <v>0</v>
      </c>
      <c r="AR35" s="22">
        <f t="array" aca="1" ref="AR35" ca="1">IFERROR(IF(AQ34&lt;&gt;0,INDEX(
INDIRECT("'シフト一覧（転載）'!"&amp;AQ34&amp;":AK100"),1+1,
MATCH(1,INDEX((LEN(INDIRECT("'シフト一覧（転載）'!"&amp;AQ34&amp;":AK100"))&gt;0)
*(INDIRECT("'シフト一覧（転載）'!"&amp;AQ34&amp;":AK100")&lt;&gt;"休み"),1,0),0)),0),"")</f>
        <v>0</v>
      </c>
      <c r="AS35" s="22">
        <f ca="1">IF(AR34=0,0,
IF(OR(AR34="",COUNTIF(AR34,"*保育無し*")),"",
IF(MOD(AR35-AR34,1)*24&gt;=8,1,
IF(MOD(AR35-AR34,1)*24&gt;=6,0.75,0))))</f>
        <v>0</v>
      </c>
      <c r="AT35" s="22">
        <f t="array" aca="1" ref="AT35" ca="1">IFERROR(IF(AS34&lt;&gt;0,INDEX(
INDIRECT("'シフト一覧（転載）'!"&amp;AS34&amp;":AK100"),1+1,
MATCH(1,INDEX((LEN(INDIRECT("'シフト一覧（転載）'!"&amp;AS34&amp;":AK100"))&gt;0)
*(INDIRECT("'シフト一覧（転載）'!"&amp;AS34&amp;":AK100")&lt;&gt;"休み"),1,0),0)),0),"")</f>
        <v>0</v>
      </c>
      <c r="AU35" s="22">
        <f ca="1">IF(AT34=0,0,
IF(OR(AT34="",COUNTIF(AT34,"*保育無し*")),"",
IF(MOD(AT35-AT34,1)*24&gt;=8,1,
IF(MOD(AT35-AT34,1)*24&gt;=6,0.75,0))))</f>
        <v>0</v>
      </c>
      <c r="AV35" s="22">
        <f t="array" aca="1" ref="AV35" ca="1">IFERROR(IF(AU34&lt;&gt;0,INDEX(
INDIRECT("'シフト一覧（転載）'!"&amp;AU34&amp;":AK100"),1+1,
MATCH(1,INDEX((LEN(INDIRECT("'シフト一覧（転載）'!"&amp;AU34&amp;":AK100"))&gt;0)
*(INDIRECT("'シフト一覧（転載）'!"&amp;AU34&amp;":AK100")&lt;&gt;"休み"),1,0),0)),0),"")</f>
        <v>0</v>
      </c>
      <c r="AW35" s="22">
        <f ca="1">IF(AV34=0,0,
IF(OR(AV34="",COUNTIF(AV34,"*保育無し*")),"",
IF(MOD(AV35-AV34,1)*24&gt;=8,1,
IF(MOD(AV35-AV34,1)*24&gt;=6,0.75,0))))</f>
        <v>0</v>
      </c>
      <c r="AX35" s="22">
        <f t="array" aca="1" ref="AX35" ca="1">IFERROR(IF(AW34&lt;&gt;0,INDEX(
INDIRECT("'シフト一覧（転載）'!"&amp;AW34&amp;":AK100"),1+1,
MATCH(1,INDEX((LEN(INDIRECT("'シフト一覧（転載）'!"&amp;AW34&amp;":AK100"))&gt;0)
*(INDIRECT("'シフト一覧（転載）'!"&amp;AW34&amp;":AK100")&lt;&gt;"休み"),1,0),0)),0),"")</f>
        <v>0</v>
      </c>
      <c r="AY35" s="22">
        <f ca="1">IF(AX34=0,0,
IF(OR(AX34="",COUNTIF(AX34,"*保育無し*")),"",
IF(MOD(AX35-AX34,1)*24&gt;=8,1,
IF(MOD(AX35-AX34,1)*24&gt;=6,0.75,0))))</f>
        <v>0</v>
      </c>
      <c r="AZ35" s="22">
        <f t="array" aca="1" ref="AZ35" ca="1">IFERROR(IF(AY34&lt;&gt;0,INDEX(
INDIRECT("'シフト一覧（転載）'!"&amp;AY34&amp;":AK100"),1+1,
MATCH(1,INDEX((LEN(INDIRECT("'シフト一覧（転載）'!"&amp;AY34&amp;":AK100"))&gt;0)
*(INDIRECT("'シフト一覧（転載）'!"&amp;AY34&amp;":AK100")&lt;&gt;"休み"),1,0),0)),0),"")</f>
        <v>0</v>
      </c>
      <c r="BA35" s="22">
        <f ca="1">IF(AZ34=0,0,
IF(OR(AZ34="",COUNTIF(AZ34,"*保育無し*")),"",
IF(MOD(AZ35-AZ34,1)*24&gt;=8,1,
IF(MOD(AZ35-AZ34,1)*24&gt;=6,0.75,0))))</f>
        <v>0</v>
      </c>
      <c r="BB35" s="22">
        <f t="array" aca="1" ref="BB35" ca="1">IFERROR(IF(BA34&lt;&gt;0,INDEX(
INDIRECT("'シフト一覧（転載）'!"&amp;BA34&amp;":AK100"),1+1,
MATCH(1,INDEX((LEN(INDIRECT("'シフト一覧（転載）'!"&amp;BA34&amp;":AK100"))&gt;0)
*(INDIRECT("'シフト一覧（転載）'!"&amp;BA34&amp;":AK100")&lt;&gt;"休み"),1,0),0)),0),"")</f>
        <v>0</v>
      </c>
      <c r="BC35" s="22">
        <f ca="1">IF(BB34=0,0,
IF(OR(BB34="",COUNTIF(BB34,"*保育無し*")),"",
IF(MOD(BB35-BB34,1)*24&gt;=8,1,
IF(MOD(BB35-BB34,1)*24&gt;=6,0.75,0))))</f>
        <v>0</v>
      </c>
      <c r="BD35" s="22">
        <f t="array" aca="1" ref="BD35" ca="1">IFERROR(IF(BC34&lt;&gt;0,INDEX(
INDIRECT("'シフト一覧（転載）'!"&amp;BC34&amp;":AK100"),1+1,
MATCH(1,INDEX((LEN(INDIRECT("'シフト一覧（転載）'!"&amp;BC34&amp;":AK100"))&gt;0)
*(INDIRECT("'シフト一覧（転載）'!"&amp;BC34&amp;":AK100")&lt;&gt;"休み"),1,0),0)),0),"")</f>
        <v>0</v>
      </c>
      <c r="BE35" s="22">
        <f ca="1">IF(BD34=0,0,
IF(OR(BD34="",COUNTIF(BD34,"*保育無し*")),"",
IF(MOD(BD35-BD34,1)*24&gt;=8,1,
IF(MOD(BD35-BD34,1)*24&gt;=6,0.75,0))))</f>
        <v>0</v>
      </c>
      <c r="BF35" s="22">
        <f t="array" aca="1" ref="BF35" ca="1">IFERROR(IF(BE34&lt;&gt;0,INDEX(
INDIRECT("'シフト一覧（転載）'!"&amp;BE34&amp;":AK100"),1+1,
MATCH(1,INDEX((LEN(INDIRECT("'シフト一覧（転載）'!"&amp;BE34&amp;":AK100"))&gt;0)
*(INDIRECT("'シフト一覧（転載）'!"&amp;BE34&amp;":AK100")&lt;&gt;"休み"),1,0),0)),0),"")</f>
        <v>0</v>
      </c>
      <c r="BG35" s="22">
        <f ca="1">IF(BF34=0,0,
IF(OR(BF34="",COUNTIF(BF34,"*保育無し*")),"",
IF(MOD(BF35-BF34,1)*24&gt;=8,1,
IF(MOD(BF35-BF34,1)*24&gt;=6,0.75,0))))</f>
        <v>0</v>
      </c>
      <c r="BH35" s="22">
        <f t="array" aca="1" ref="BH35" ca="1">IFERROR(IF(BG34&lt;&gt;0,INDEX(
INDIRECT("'シフト一覧（転載）'!"&amp;BG34&amp;":AK100"),1+1,
MATCH(1,INDEX((LEN(INDIRECT("'シフト一覧（転載）'!"&amp;BG34&amp;":AK100"))&gt;0)
*(INDIRECT("'シフト一覧（転載）'!"&amp;BG34&amp;":AK100")&lt;&gt;"休み"),1,0),0)),0),"")</f>
        <v>0</v>
      </c>
      <c r="BI35" s="22">
        <f ca="1">IF(BH34=0,0,
IF(OR(BH34="",COUNTIF(BH34,"*保育無し*")),"",
IF(MOD(BH35-BH34,1)*24&gt;=8,1,
IF(MOD(BH35-BH34,1)*24&gt;=6,0.75,0))))</f>
        <v>0</v>
      </c>
      <c r="BJ35" s="22">
        <f t="array" aca="1" ref="BJ35" ca="1">IFERROR(IF(BI34&lt;&gt;0,INDEX(
INDIRECT("'シフト一覧（転載）'!"&amp;BI34&amp;":AK100"),1+1,
MATCH(1,INDEX((LEN(INDIRECT("'シフト一覧（転載）'!"&amp;BI34&amp;":AK100"))&gt;0)
*(INDIRECT("'シフト一覧（転載）'!"&amp;BI34&amp;":AK100")&lt;&gt;"休み"),1,0),0)),0),"")</f>
        <v>0</v>
      </c>
      <c r="BK35" s="22">
        <f ca="1">IF(BJ34=0,0,
IF(OR(BJ34="",COUNTIF(BJ34,"*保育無し*")),"",
IF(MOD(BJ35-BJ34,1)*24&gt;=8,1,
IF(MOD(BJ35-BJ34,1)*24&gt;=6,0.75,0))))</f>
        <v>0</v>
      </c>
      <c r="BL35" s="22">
        <f t="array" aca="1" ref="BL35" ca="1">IFERROR(IF(BK34&lt;&gt;0,INDEX(
INDIRECT("'シフト一覧（転載）'!"&amp;BK34&amp;":AK100"),1+1,
MATCH(1,INDEX((LEN(INDIRECT("'シフト一覧（転載）'!"&amp;BK34&amp;":AK100"))&gt;0)
*(INDIRECT("'シフト一覧（転載）'!"&amp;BK34&amp;":AK100")&lt;&gt;"休み"),1,0),0)),0),"")</f>
        <v>0</v>
      </c>
      <c r="BM35" s="22">
        <f ca="1">IF(BL34=0,0,
IF(OR(BL34="",COUNTIF(BL34,"*保育無し*")),"",
IF(MOD(BL35-BL34,1)*24&gt;=8,1,
IF(MOD(BL35-BL34,1)*24&gt;=6,0.75,0))))</f>
        <v>0</v>
      </c>
      <c r="BN35" s="22">
        <f t="array" aca="1" ref="BN35" ca="1">IFERROR(IF(BM34&lt;&gt;0,INDEX(
INDIRECT("'シフト一覧（転載）'!"&amp;BM34&amp;":AK100"),1+1,
MATCH(1,INDEX((LEN(INDIRECT("'シフト一覧（転載）'!"&amp;BM34&amp;":AK100"))&gt;0)
*(INDIRECT("'シフト一覧（転載）'!"&amp;BM34&amp;":AK100")&lt;&gt;"休み"),1,0),0)),0),"")</f>
        <v>0</v>
      </c>
      <c r="BO35" s="22">
        <f ca="1">IF(BN34=0,0,
IF(OR(BN34="",COUNTIF(BN34,"*保育無し*")),"",
IF(MOD(BN35-BN34,1)*24&gt;=8,1,
IF(MOD(BN35-BN34,1)*24&gt;=6,0.75,0))))</f>
        <v>0</v>
      </c>
      <c r="BP35" s="22">
        <f t="array" aca="1" ref="BP35" ca="1">IFERROR(IF(BO34&lt;&gt;0,INDEX(
INDIRECT("'シフト一覧（転載）'!"&amp;BO34&amp;":AK100"),1+1,
MATCH(1,INDEX((LEN(INDIRECT("'シフト一覧（転載）'!"&amp;BO34&amp;":AK100"))&gt;0)
*(INDIRECT("'シフト一覧（転載）'!"&amp;BO34&amp;":AK100")&lt;&gt;"休み"),1,0),0)),0),"")</f>
        <v>0</v>
      </c>
      <c r="BQ35" s="22">
        <f ca="1">IF(BP34=0,0,
IF(OR(BP34="",COUNTIF(BP34,"*保育無し*")),"",
IF(MOD(BP35-BP34,1)*24&gt;=8,1,
IF(MOD(BP35-BP34,1)*24&gt;=6,0.75,0))))</f>
        <v>0</v>
      </c>
      <c r="BR35" s="22">
        <f t="array" aca="1" ref="BR35" ca="1">IFERROR(IF(BQ34&lt;&gt;0,INDEX(
INDIRECT("'シフト一覧（転載）'!"&amp;BQ34&amp;":AK100"),1+1,
MATCH(1,INDEX((LEN(INDIRECT("'シフト一覧（転載）'!"&amp;BQ34&amp;":AK100"))&gt;0)
*(INDIRECT("'シフト一覧（転載）'!"&amp;BQ34&amp;":AK100")&lt;&gt;"休み"),1,0),0)),0),"")</f>
        <v>0</v>
      </c>
      <c r="BS35" s="22">
        <f ca="1">IF(BR34=0,0,
IF(OR(BR34="",COUNTIF(BR34,"*保育無し*")),"",
IF(MOD(BR35-BR34,1)*24&gt;=8,1,
IF(MOD(BR35-BR34,1)*24&gt;=6,0.75,0))))</f>
        <v>0</v>
      </c>
      <c r="BT35" s="22">
        <f t="array" aca="1" ref="BT35" ca="1">IFERROR(IF(BS34&lt;&gt;0,INDEX(
INDIRECT("'シフト一覧（転載）'!"&amp;BS34&amp;":AK100"),1+1,
MATCH(1,INDEX((LEN(INDIRECT("'シフト一覧（転載）'!"&amp;BS34&amp;":AK100"))&gt;0)
*(INDIRECT("'シフト一覧（転載）'!"&amp;BS34&amp;":AK100")&lt;&gt;"休み"),1,0),0)),0),"")</f>
        <v>0</v>
      </c>
      <c r="BU35" s="22">
        <f ca="1">IF(BT34=0,0,
IF(OR(BT34="",COUNTIF(BT34,"*保育無し*")),"",
IF(MOD(BT35-BT34,1)*24&gt;=8,1,
IF(MOD(BT35-BT34,1)*24&gt;=6,0.75,0))))</f>
        <v>0</v>
      </c>
      <c r="BV35" s="22">
        <f t="array" aca="1" ref="BV35" ca="1">IFERROR(IF(BU34&lt;&gt;0,INDEX(
INDIRECT("'シフト一覧（転載）'!"&amp;BU34&amp;":AK100"),1+1,
MATCH(1,INDEX((LEN(INDIRECT("'シフト一覧（転載）'!"&amp;BU34&amp;":AK100"))&gt;0)
*(INDIRECT("'シフト一覧（転載）'!"&amp;BU34&amp;":AK100")&lt;&gt;"休み"),1,0),0)),0),"")</f>
        <v>0</v>
      </c>
      <c r="BW35" s="22">
        <f ca="1">IF(BV34=0,0,
IF(OR(BV34="",COUNTIF(BV34,"*保育無し*")),"",
IF(MOD(BV35-BV34,1)*24&gt;=8,1,
IF(MOD(BV35-BV34,1)*24&gt;=6,0.75,0))))</f>
        <v>0</v>
      </c>
      <c r="BX35" s="22">
        <f t="array" aca="1" ref="BX35" ca="1">IFERROR(IF(BW34&lt;&gt;0,INDEX(
INDIRECT("'シフト一覧（転載）'!"&amp;BW34&amp;":AK100"),1+1,
MATCH(1,INDEX((LEN(INDIRECT("'シフト一覧（転載）'!"&amp;BW34&amp;":AK100"))&gt;0)
*(INDIRECT("'シフト一覧（転載）'!"&amp;BW34&amp;":AK100")&lt;&gt;"休み"),1,0),0)),0),"")</f>
        <v>0</v>
      </c>
      <c r="BY35" s="22">
        <f ca="1">IF(BX34=0,0,
IF(OR(BX34="",COUNTIF(BX34,"*保育無し*")),"",
IF(MOD(BX35-BX34,1)*24&gt;=8,1,
IF(MOD(BX35-BX34,1)*24&gt;=6,0.75,0))))</f>
        <v>0</v>
      </c>
    </row>
    <row r="36" spans="13:77" ht="19.2" customHeight="1" x14ac:dyDescent="0.2">
      <c r="M36" s="92" t="str">
        <f t="array" aca="1" ref="M36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6" s="90" t="str">
        <f ca="1">IF(M36&lt;&gt;"",VLOOKUP(M36,$I$12:$J$27,2,FALSE),"")</f>
        <v/>
      </c>
      <c r="O36" s="94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21">
        <f t="array" aca="1" ref="P36" ca="1">IFERROR(IF(M36&lt;&gt;"",INDEX('シフト一覧（転載）'!$F$8:$AK$100,
    MATCH(1,(ISNUMBER(SEARCH(M36,'シフト一覧（転載）'!$A$8:$A$100)))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MATCH(1,(ISNUMBER(SEARCH(M36,'シフト一覧（転載）'!$A$8:$A$100)))
                *(ISNUMBER(SEARCH($E$9,'シフト一覧（転載）'!$B$8:$B$100))),
                0),0),0)),0),$E$9&amp;"保育無し")</f>
        <v>0</v>
      </c>
      <c r="Q36" s="21">
        <f t="array" aca="1" ref="Q36" ca="1">IFERROR(IF(COUNTIF(P36,"*無*"),"",IF(M36&lt;&gt;"",ADDRESS(
    MATCH(1,(ISNUMBER(SEARCH(M36,'シフト一覧（転載）'!$A$8:$A$100)))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MATCH(1,(ISNUMBER(SEARCH(M36,'シフト一覧（転載）'!$A$8:$A$100)))
                *(ISNUMBER(SEARCH($E$9,'シフト一覧（転載）'!$B$8:$B$100))),0),0),0) + 6,4),0)),0)</f>
        <v>0</v>
      </c>
      <c r="R36" s="21">
        <f t="array" aca="1" ref="R36" ca="1">IFERROR(IF(Q36&lt;&gt;"",IF(Q36&lt;&gt;0,INDEX(
INDIRECT("'シフト一覧（転載）'!"&amp;Q36&amp;":AK100"),1,
MATCH(1,INDEX((LEN(INDIRECT("'シフト一覧（転載）'!"&amp;Q36&amp;":AK100"))&gt;0)
*(INDIRECT("'シフト一覧（転載）'!"&amp;Q36&amp;":AK100")&lt;&gt;"休み"),1,0),0)),0),""),$E$9&amp;"保育無し")</f>
        <v>0</v>
      </c>
      <c r="S36" s="21">
        <f t="array" aca="1" ref="S36" ca="1">IFERROR(IF(Q36&lt;&gt;0,ADDRESS(ROW(INDIRECT(Q36)),
    COLUMN(INDIRECT(Q36)) - 1 +
    MATCH(1,INDEX((LEN(INDIRECT("'シフト一覧（転載）'!"&amp;Q36&amp;":AK100"))&gt;0)
            *(INDIRECT("'シフト一覧（転載）'!"&amp;Q36&amp;":AK100")&lt;&gt;"休み"),
            1,0),0)+1,4),0),"")</f>
        <v>0</v>
      </c>
      <c r="T36" s="21">
        <f t="array" aca="1" ref="T36" ca="1">IFERROR(IF(S36&lt;&gt;"",IF(S36&lt;&gt;0,INDEX(
INDIRECT("'シフト一覧（転載）'!"&amp;S36&amp;":AK100"),1,
MATCH(1,INDEX((LEN(INDIRECT("'シフト一覧（転載）'!"&amp;S36&amp;":AK100"))&gt;0)
*(INDIRECT("'シフト一覧（転載）'!"&amp;S36&amp;":AK100")&lt;&gt;"休み"),1,0),0)),0),""),$E$9&amp;"保育無し")</f>
        <v>0</v>
      </c>
      <c r="U36" s="21">
        <f t="array" aca="1" ref="U36" ca="1">IFERROR(IF(S36&lt;&gt;0,ADDRESS(ROW(INDIRECT(S36)),
    COLUMN(INDIRECT(S36)) - 1 +
    MATCH(1,INDEX((LEN(INDIRECT("'シフト一覧（転載）'!"&amp;S36&amp;":AK100"))&gt;0)
            *(INDIRECT("'シフト一覧（転載）'!"&amp;S36&amp;":AK100")&lt;&gt;"休み"),
            1,0),0)+1,4),0),"")</f>
        <v>0</v>
      </c>
      <c r="V36" s="21">
        <f t="array" aca="1" ref="V36" ca="1">IFERROR(IF(U36&lt;&gt;"",IF(U36&lt;&gt;0,INDEX(
INDIRECT("'シフト一覧（転載）'!"&amp;U36&amp;":AK100"),1,
MATCH(1,INDEX((LEN(INDIRECT("'シフト一覧（転載）'!"&amp;U36&amp;":AK100"))&gt;0)
*(INDIRECT("'シフト一覧（転載）'!"&amp;U36&amp;":AK100")&lt;&gt;"休み"),1,0),0)),0),""),$E$9&amp;"保育無し")</f>
        <v>0</v>
      </c>
      <c r="W36" s="21">
        <f t="array" aca="1" ref="W36" ca="1">IFERROR(IF(U36&lt;&gt;0,ADDRESS(ROW(INDIRECT(U36)),
    COLUMN(INDIRECT(U36)) - 1 +
    MATCH(1,INDEX((LEN(INDIRECT("'シフト一覧（転載）'!"&amp;U36&amp;":AK100"))&gt;0)
            *(INDIRECT("'シフト一覧（転載）'!"&amp;U36&amp;":AK100")&lt;&gt;"休み"),
            1,0),0)+1,4),0),"")</f>
        <v>0</v>
      </c>
      <c r="X36" s="21">
        <f t="array" aca="1" ref="X36" ca="1">IFERROR(IF(W36&lt;&gt;"",IF(W36&lt;&gt;0,INDEX(
INDIRECT("'シフト一覧（転載）'!"&amp;W36&amp;":AK100"),1,
MATCH(1,INDEX((LEN(INDIRECT("'シフト一覧（転載）'!"&amp;W36&amp;":AK100"))&gt;0)
*(INDIRECT("'シフト一覧（転載）'!"&amp;W36&amp;":AK100")&lt;&gt;"休み"),1,0),0)),0),""),$E$9&amp;"保育無し")</f>
        <v>0</v>
      </c>
      <c r="Y36" s="21">
        <f t="array" aca="1" ref="Y36" ca="1">IFERROR(IF(W36&lt;&gt;0,ADDRESS(ROW(INDIRECT(W36)),
    COLUMN(INDIRECT(W36)) - 1 +
    MATCH(1,INDEX((LEN(INDIRECT("'シフト一覧（転載）'!"&amp;W36&amp;":AK100"))&gt;0)
            *(INDIRECT("'シフト一覧（転載）'!"&amp;W36&amp;":AK100")&lt;&gt;"休み"),
            1,0),0)+1,4),0),"")</f>
        <v>0</v>
      </c>
      <c r="Z36" s="21">
        <f t="array" aca="1" ref="Z36" ca="1">IFERROR(IF(Y36&lt;&gt;"",IF(Y36&lt;&gt;0,INDEX(
INDIRECT("'シフト一覧（転載）'!"&amp;Y36&amp;":AK100"),1,
MATCH(1,INDEX((LEN(INDIRECT("'シフト一覧（転載）'!"&amp;Y36&amp;":AK100"))&gt;0)
*(INDIRECT("'シフト一覧（転載）'!"&amp;Y36&amp;":AK100")&lt;&gt;"休み"),1,0),0)),0),""),$E$9&amp;"保育無し")</f>
        <v>0</v>
      </c>
      <c r="AA36" s="21">
        <f t="array" aca="1" ref="AA36" ca="1">IFERROR(IF(Y36&lt;&gt;0,ADDRESS(ROW(INDIRECT(Y36)),
    COLUMN(INDIRECT(Y36)) - 1 +
    MATCH(1,INDEX((LEN(INDIRECT("'シフト一覧（転載）'!"&amp;Y36&amp;":AK100"))&gt;0)
            *(INDIRECT("'シフト一覧（転載）'!"&amp;Y36&amp;":AK100")&lt;&gt;"休み"),
            1,0),0)+1,4),0),"")</f>
        <v>0</v>
      </c>
      <c r="AB36" s="21">
        <f t="array" aca="1" ref="AB36" ca="1">IFERROR(IF(AA36&lt;&gt;"",IF(AA36&lt;&gt;0,INDEX(
INDIRECT("'シフト一覧（転載）'!"&amp;AA36&amp;":AK100"),1,
MATCH(1,INDEX((LEN(INDIRECT("'シフト一覧（転載）'!"&amp;AA36&amp;":AK100"))&gt;0)
*(INDIRECT("'シフト一覧（転載）'!"&amp;AA36&amp;":AK100")&lt;&gt;"休み"),1,0),0)),0),""),$E$9&amp;"保育無し")</f>
        <v>0</v>
      </c>
      <c r="AC36" s="21">
        <f t="array" aca="1" ref="AC36" ca="1">IFERROR(IF(AA36&lt;&gt;0,ADDRESS(ROW(INDIRECT(AA36)),
    COLUMN(INDIRECT(AA36)) - 1 +
    MATCH(1,INDEX((LEN(INDIRECT("'シフト一覧（転載）'!"&amp;AA36&amp;":AK100"))&gt;0)
            *(INDIRECT("'シフト一覧（転載）'!"&amp;AA36&amp;":AK100")&lt;&gt;"休み"),
            1,0),0)+1,4),0),"")</f>
        <v>0</v>
      </c>
      <c r="AD36" s="21">
        <f t="array" aca="1" ref="AD36" ca="1">IFERROR(IF(AC36&lt;&gt;"",IF(AC36&lt;&gt;0,INDEX(
INDIRECT("'シフト一覧（転載）'!"&amp;AC36&amp;":AK100"),1,
MATCH(1,INDEX((LEN(INDIRECT("'シフト一覧（転載）'!"&amp;AC36&amp;":AK100"))&gt;0)
*(INDIRECT("'シフト一覧（転載）'!"&amp;AC36&amp;":AK100")&lt;&gt;"休み"),1,0),0)),0),""),$E$9&amp;"保育無し")</f>
        <v>0</v>
      </c>
      <c r="AE36" s="21">
        <f t="array" aca="1" ref="AE36" ca="1">IFERROR(IF(AC36&lt;&gt;0,ADDRESS(ROW(INDIRECT(AC36)),
    COLUMN(INDIRECT(AC36)) - 1 +
    MATCH(1,INDEX((LEN(INDIRECT("'シフト一覧（転載）'!"&amp;AC36&amp;":AK100"))&gt;0)
            *(INDIRECT("'シフト一覧（転載）'!"&amp;AC36&amp;":AK100")&lt;&gt;"休み"),
            1,0),0)+1,4),0),"")</f>
        <v>0</v>
      </c>
      <c r="AF36" s="21">
        <f t="array" aca="1" ref="AF36" ca="1">IFERROR(IF(AE36&lt;&gt;"",IF(AE36&lt;&gt;0,INDEX(
INDIRECT("'シフト一覧（転載）'!"&amp;AE36&amp;":AK100"),1,
MATCH(1,INDEX((LEN(INDIRECT("'シフト一覧（転載）'!"&amp;AE36&amp;":AK100"))&gt;0)
*(INDIRECT("'シフト一覧（転載）'!"&amp;AE36&amp;":AK100")&lt;&gt;"休み"),1,0),0)),0),""),$E$9&amp;"保育無し")</f>
        <v>0</v>
      </c>
      <c r="AG36" s="21">
        <f t="array" aca="1" ref="AG36" ca="1">IFERROR(IF(AE36&lt;&gt;0,ADDRESS(ROW(INDIRECT(AE36)),
    COLUMN(INDIRECT(AE36)) - 1 +
    MATCH(1,INDEX((LEN(INDIRECT("'シフト一覧（転載）'!"&amp;AE36&amp;":AK100"))&gt;0)
            *(INDIRECT("'シフト一覧（転載）'!"&amp;AE36&amp;":AK100")&lt;&gt;"休み"),
            1,0),0)+1,4),0),"")</f>
        <v>0</v>
      </c>
      <c r="AH36" s="21">
        <f t="array" aca="1" ref="AH36" ca="1">IFERROR(IF(AG36&lt;&gt;"",IF(AG36&lt;&gt;0,INDEX(
INDIRECT("'シフト一覧（転載）'!"&amp;AG36&amp;":AK100"),1,
MATCH(1,INDEX((LEN(INDIRECT("'シフト一覧（転載）'!"&amp;AG36&amp;":AK100"))&gt;0)
*(INDIRECT("'シフト一覧（転載）'!"&amp;AG36&amp;":AK100")&lt;&gt;"休み"),1,0),0)),0),""),$E$9&amp;"保育無し")</f>
        <v>0</v>
      </c>
      <c r="AI36" s="21">
        <f t="array" aca="1" ref="AI36" ca="1">IFERROR(IF(AG36&lt;&gt;0,ADDRESS(ROW(INDIRECT(AG36)),
    COLUMN(INDIRECT(AG36)) - 1 +
    MATCH(1,INDEX((LEN(INDIRECT("'シフト一覧（転載）'!"&amp;AG36&amp;":AK100"))&gt;0)
            *(INDIRECT("'シフト一覧（転載）'!"&amp;AG36&amp;":AK100")&lt;&gt;"休み"),
            1,0),0)+1,4),0),"")</f>
        <v>0</v>
      </c>
      <c r="AJ36" s="21">
        <f t="array" aca="1" ref="AJ36" ca="1">IFERROR(IF(AI36&lt;&gt;"",IF(AI36&lt;&gt;0,INDEX(
INDIRECT("'シフト一覧（転載）'!"&amp;AI36&amp;":AK100"),1,
MATCH(1,INDEX((LEN(INDIRECT("'シフト一覧（転載）'!"&amp;AI36&amp;":AK100"))&gt;0)
*(INDIRECT("'シフト一覧（転載）'!"&amp;AI36&amp;":AK100")&lt;&gt;"休み"),1,0),0)),0),""),$E$9&amp;"保育無し")</f>
        <v>0</v>
      </c>
      <c r="AK36" s="21">
        <f t="array" aca="1" ref="AK36" ca="1">IFERROR(IF(AI36&lt;&gt;0,ADDRESS(ROW(INDIRECT(AI36)),
    COLUMN(INDIRECT(AI36)) - 1 +
    MATCH(1,INDEX((LEN(INDIRECT("'シフト一覧（転載）'!"&amp;AI36&amp;":AK100"))&gt;0)
            *(INDIRECT("'シフト一覧（転載）'!"&amp;AI36&amp;":AK100")&lt;&gt;"休み"),
            1,0),0)+1,4),0),"")</f>
        <v>0</v>
      </c>
      <c r="AL36" s="21">
        <f t="array" aca="1" ref="AL36" ca="1">IFERROR(IF(AK36&lt;&gt;"",IF(AK36&lt;&gt;0,INDEX(
INDIRECT("'シフト一覧（転載）'!"&amp;AK36&amp;":AK100"),1,
MATCH(1,INDEX((LEN(INDIRECT("'シフト一覧（転載）'!"&amp;AK36&amp;":AK100"))&gt;0)
*(INDIRECT("'シフト一覧（転載）'!"&amp;AK36&amp;":AK100")&lt;&gt;"休み"),1,0),0)),0),""),$E$9&amp;"保育無し")</f>
        <v>0</v>
      </c>
      <c r="AM36" s="21">
        <f t="array" aca="1" ref="AM36" ca="1">IFERROR(IF(AK36&lt;&gt;0,ADDRESS(ROW(INDIRECT(AK36)),
    COLUMN(INDIRECT(AK36)) - 1 +
    MATCH(1,INDEX((LEN(INDIRECT("'シフト一覧（転載）'!"&amp;AK36&amp;":AK100"))&gt;0)
            *(INDIRECT("'シフト一覧（転載）'!"&amp;AK36&amp;":AK100")&lt;&gt;"休み"),
            1,0),0)+1,4),0),"")</f>
        <v>0</v>
      </c>
      <c r="AN36" s="21">
        <f t="array" aca="1" ref="AN36" ca="1">IFERROR(IF(AM36&lt;&gt;"",IF(AM36&lt;&gt;0,INDEX(
INDIRECT("'シフト一覧（転載）'!"&amp;AM36&amp;":AK100"),1,
MATCH(1,INDEX((LEN(INDIRECT("'シフト一覧（転載）'!"&amp;AM36&amp;":AK100"))&gt;0)
*(INDIRECT("'シフト一覧（転載）'!"&amp;AM36&amp;":AK100")&lt;&gt;"休み"),1,0),0)),0),""),$E$9&amp;"保育無し")</f>
        <v>0</v>
      </c>
      <c r="AO36" s="21">
        <f t="array" aca="1" ref="AO36" ca="1">IFERROR(IF(AM36&lt;&gt;0,ADDRESS(ROW(INDIRECT(AM36)),
    COLUMN(INDIRECT(AM36)) - 1 +
    MATCH(1,INDEX((LEN(INDIRECT("'シフト一覧（転載）'!"&amp;AM36&amp;":AK100"))&gt;0)
            *(INDIRECT("'シフト一覧（転載）'!"&amp;AM36&amp;":AK100")&lt;&gt;"休み"),
            1,0),0)+1,4),0),"")</f>
        <v>0</v>
      </c>
      <c r="AP36" s="21">
        <f t="array" aca="1" ref="AP36" ca="1">IFERROR(IF(AO36&lt;&gt;"",IF(AO36&lt;&gt;0,INDEX(
INDIRECT("'シフト一覧（転載）'!"&amp;AO36&amp;":AK100"),1,
MATCH(1,INDEX((LEN(INDIRECT("'シフト一覧（転載）'!"&amp;AO36&amp;":AK100"))&gt;0)
*(INDIRECT("'シフト一覧（転載）'!"&amp;AO36&amp;":AK100")&lt;&gt;"休み"),1,0),0)),0),""),$E$9&amp;"保育無し")</f>
        <v>0</v>
      </c>
      <c r="AQ36" s="21">
        <f t="array" aca="1" ref="AQ36" ca="1">IFERROR(IF(AO36&lt;&gt;0,ADDRESS(ROW(INDIRECT(AO36)),
    COLUMN(INDIRECT(AO36)) - 1 +
    MATCH(1,INDEX((LEN(INDIRECT("'シフト一覧（転載）'!"&amp;AO36&amp;":AK100"))&gt;0)
            *(INDIRECT("'シフト一覧（転載）'!"&amp;AO36&amp;":AK100")&lt;&gt;"休み"),
            1,0),0)+1,4),0),"")</f>
        <v>0</v>
      </c>
      <c r="AR36" s="21">
        <f t="array" aca="1" ref="AR36" ca="1">IFERROR(IF(AQ36&lt;&gt;"",IF(AQ36&lt;&gt;0,INDEX(
INDIRECT("'シフト一覧（転載）'!"&amp;AQ36&amp;":AK100"),1,
MATCH(1,INDEX((LEN(INDIRECT("'シフト一覧（転載）'!"&amp;AQ36&amp;":AK100"))&gt;0)
*(INDIRECT("'シフト一覧（転載）'!"&amp;AQ36&amp;":AK100")&lt;&gt;"休み"),1,0),0)),0),""),$E$9&amp;"保育無し")</f>
        <v>0</v>
      </c>
      <c r="AS36" s="21">
        <f t="array" aca="1" ref="AS36" ca="1">IFERROR(IF(AQ36&lt;&gt;0,ADDRESS(ROW(INDIRECT(AQ36)),
    COLUMN(INDIRECT(AQ36)) - 1 +
    MATCH(1,INDEX((LEN(INDIRECT("'シフト一覧（転載）'!"&amp;AQ36&amp;":AK100"))&gt;0)
            *(INDIRECT("'シフト一覧（転載）'!"&amp;AQ36&amp;":AK100")&lt;&gt;"休み"),
            1,0),0)+1,4),0),"")</f>
        <v>0</v>
      </c>
      <c r="AT36" s="21">
        <f t="array" aca="1" ref="AT36" ca="1">IFERROR(IF(AS36&lt;&gt;"",IF(AS36&lt;&gt;0,INDEX(
INDIRECT("'シフト一覧（転載）'!"&amp;AS36&amp;":AK100"),1,
MATCH(1,INDEX((LEN(INDIRECT("'シフト一覧（転載）'!"&amp;AS36&amp;":AK100"))&gt;0)
*(INDIRECT("'シフト一覧（転載）'!"&amp;AS36&amp;":AK100")&lt;&gt;"休み"),1,0),0)),0),""),$E$9&amp;"保育無し")</f>
        <v>0</v>
      </c>
      <c r="AU36" s="21">
        <f t="array" aca="1" ref="AU36" ca="1">IFERROR(IF(AS36&lt;&gt;0,ADDRESS(ROW(INDIRECT(AS36)),
    COLUMN(INDIRECT(AS36)) - 1 +
    MATCH(1,INDEX((LEN(INDIRECT("'シフト一覧（転載）'!"&amp;AS36&amp;":AK100"))&gt;0)
            *(INDIRECT("'シフト一覧（転載）'!"&amp;AS36&amp;":AK100")&lt;&gt;"休み"),
            1,0),0)+1,4),0),"")</f>
        <v>0</v>
      </c>
      <c r="AV36" s="21">
        <f t="array" aca="1" ref="AV36" ca="1">IFERROR(IF(AU36&lt;&gt;"",IF(AU36&lt;&gt;0,INDEX(
INDIRECT("'シフト一覧（転載）'!"&amp;AU36&amp;":AK100"),1,
MATCH(1,INDEX((LEN(INDIRECT("'シフト一覧（転載）'!"&amp;AU36&amp;":AK100"))&gt;0)
*(INDIRECT("'シフト一覧（転載）'!"&amp;AU36&amp;":AK100")&lt;&gt;"休み"),1,0),0)),0),""),$E$9&amp;"保育無し")</f>
        <v>0</v>
      </c>
      <c r="AW36" s="21">
        <f t="array" aca="1" ref="AW36" ca="1">IFERROR(IF(AU36&lt;&gt;0,ADDRESS(ROW(INDIRECT(AU36)),
    COLUMN(INDIRECT(AU36)) - 1 +
    MATCH(1,INDEX((LEN(INDIRECT("'シフト一覧（転載）'!"&amp;AU36&amp;":AK100"))&gt;0)
            *(INDIRECT("'シフト一覧（転載）'!"&amp;AU36&amp;":AK100")&lt;&gt;"休み"),
            1,0),0)+1,4),0),"")</f>
        <v>0</v>
      </c>
      <c r="AX36" s="21">
        <f t="array" aca="1" ref="AX36" ca="1">IFERROR(IF(AW36&lt;&gt;"",IF(AW36&lt;&gt;0,INDEX(
INDIRECT("'シフト一覧（転載）'!"&amp;AW36&amp;":AK100"),1,
MATCH(1,INDEX((LEN(INDIRECT("'シフト一覧（転載）'!"&amp;AW36&amp;":AK100"))&gt;0)
*(INDIRECT("'シフト一覧（転載）'!"&amp;AW36&amp;":AK100")&lt;&gt;"休み"),1,0),0)),0),""),$E$9&amp;"保育無し")</f>
        <v>0</v>
      </c>
      <c r="AY36" s="21">
        <f t="array" aca="1" ref="AY36" ca="1">IFERROR(IF(AW36&lt;&gt;0,ADDRESS(ROW(INDIRECT(AW36)),
    COLUMN(INDIRECT(AW36)) - 1 +
    MATCH(1,INDEX((LEN(INDIRECT("'シフト一覧（転載）'!"&amp;AW36&amp;":AK100"))&gt;0)
            *(INDIRECT("'シフト一覧（転載）'!"&amp;AW36&amp;":AK100")&lt;&gt;"休み"),
            1,0),0)+1,4),0),"")</f>
        <v>0</v>
      </c>
      <c r="AZ36" s="21">
        <f t="array" aca="1" ref="AZ36" ca="1">IFERROR(IF(AY36&lt;&gt;"",IF(AY36&lt;&gt;0,INDEX(
INDIRECT("'シフト一覧（転載）'!"&amp;AY36&amp;":AK100"),1,
MATCH(1,INDEX((LEN(INDIRECT("'シフト一覧（転載）'!"&amp;AY36&amp;":AK100"))&gt;0)
*(INDIRECT("'シフト一覧（転載）'!"&amp;AY36&amp;":AK100")&lt;&gt;"休み"),1,0),0)),0),""),$E$9&amp;"保育無し")</f>
        <v>0</v>
      </c>
      <c r="BA36" s="21">
        <f t="array" aca="1" ref="BA36" ca="1">IFERROR(IF(AY36&lt;&gt;0,ADDRESS(ROW(INDIRECT(AY36)),
    COLUMN(INDIRECT(AY36)) - 1 +
    MATCH(1,INDEX((LEN(INDIRECT("'シフト一覧（転載）'!"&amp;AY36&amp;":AK100"))&gt;0)
            *(INDIRECT("'シフト一覧（転載）'!"&amp;AY36&amp;":AK100")&lt;&gt;"休み"),
            1,0),0)+1,4),0),"")</f>
        <v>0</v>
      </c>
      <c r="BB36" s="21">
        <f t="array" aca="1" ref="BB36" ca="1">IFERROR(IF(BA36&lt;&gt;"",IF(BA36&lt;&gt;0,INDEX(
INDIRECT("'シフト一覧（転載）'!"&amp;BA36&amp;":AK100"),1,
MATCH(1,INDEX((LEN(INDIRECT("'シフト一覧（転載）'!"&amp;BA36&amp;":AK100"))&gt;0)
*(INDIRECT("'シフト一覧（転載）'!"&amp;BA36&amp;":AK100")&lt;&gt;"休み"),1,0),0)),0),""),$E$9&amp;"保育無し")</f>
        <v>0</v>
      </c>
      <c r="BC36" s="21">
        <f t="array" aca="1" ref="BC36" ca="1">IFERROR(IF(BA36&lt;&gt;0,ADDRESS(ROW(INDIRECT(BA36)),
    COLUMN(INDIRECT(BA36)) - 1 +
    MATCH(1,INDEX((LEN(INDIRECT("'シフト一覧（転載）'!"&amp;BA36&amp;":AK100"))&gt;0)
            *(INDIRECT("'シフト一覧（転載）'!"&amp;BA36&amp;":AK100")&lt;&gt;"休み"),
            1,0),0)+1,4),0),"")</f>
        <v>0</v>
      </c>
      <c r="BD36" s="21">
        <f t="array" aca="1" ref="BD36" ca="1">IFERROR(IF(BC36&lt;&gt;"",IF(BC36&lt;&gt;0,INDEX(
INDIRECT("'シフト一覧（転載）'!"&amp;BC36&amp;":AK100"),1,
MATCH(1,INDEX((LEN(INDIRECT("'シフト一覧（転載）'!"&amp;BC36&amp;":AK100"))&gt;0)
*(INDIRECT("'シフト一覧（転載）'!"&amp;BC36&amp;":AK100")&lt;&gt;"休み"),1,0),0)),0),""),$E$9&amp;"保育無し")</f>
        <v>0</v>
      </c>
      <c r="BE36" s="21">
        <f t="array" aca="1" ref="BE36" ca="1">IFERROR(IF(BC36&lt;&gt;0,ADDRESS(ROW(INDIRECT(BC36)),
    COLUMN(INDIRECT(BC36)) - 1 +
    MATCH(1,INDEX((LEN(INDIRECT("'シフト一覧（転載）'!"&amp;BC36&amp;":AK100"))&gt;0)
            *(INDIRECT("'シフト一覧（転載）'!"&amp;BC36&amp;":AK100")&lt;&gt;"休み"),
            1,0),0)+1,4),0),"")</f>
        <v>0</v>
      </c>
      <c r="BF36" s="21">
        <f t="array" aca="1" ref="BF36" ca="1">IFERROR(IF(BE36&lt;&gt;"",IF(BE36&lt;&gt;0,INDEX(
INDIRECT("'シフト一覧（転載）'!"&amp;BE36&amp;":AK100"),1,
MATCH(1,INDEX((LEN(INDIRECT("'シフト一覧（転載）'!"&amp;BE36&amp;":AK100"))&gt;0)
*(INDIRECT("'シフト一覧（転載）'!"&amp;BE36&amp;":AK100")&lt;&gt;"休み"),1,0),0)),0),""),$E$9&amp;"保育無し")</f>
        <v>0</v>
      </c>
      <c r="BG36" s="21">
        <f t="array" aca="1" ref="BG36" ca="1">IFERROR(IF(BE36&lt;&gt;0,ADDRESS(ROW(INDIRECT(BE36)),
    COLUMN(INDIRECT(BE36)) - 1 +
    MATCH(1,INDEX((LEN(INDIRECT("'シフト一覧（転載）'!"&amp;BE36&amp;":AK100"))&gt;0)
            *(INDIRECT("'シフト一覧（転載）'!"&amp;BE36&amp;":AK100")&lt;&gt;"休み"),
            1,0),0)+1,4),0),"")</f>
        <v>0</v>
      </c>
      <c r="BH36" s="21">
        <f t="array" aca="1" ref="BH36" ca="1">IFERROR(IF(BG36&lt;&gt;"",IF(BG36&lt;&gt;0,INDEX(
INDIRECT("'シフト一覧（転載）'!"&amp;BG36&amp;":AK100"),1,
MATCH(1,INDEX((LEN(INDIRECT("'シフト一覧（転載）'!"&amp;BG36&amp;":AK100"))&gt;0)
*(INDIRECT("'シフト一覧（転載）'!"&amp;BG36&amp;":AK100")&lt;&gt;"休み"),1,0),0)),0),""),$E$9&amp;"保育無し")</f>
        <v>0</v>
      </c>
      <c r="BI36" s="21">
        <f t="array" aca="1" ref="BI36" ca="1">IFERROR(IF(BG36&lt;&gt;0,ADDRESS(ROW(INDIRECT(BG36)),
    COLUMN(INDIRECT(BG36)) - 1 +
    MATCH(1,INDEX((LEN(INDIRECT("'シフト一覧（転載）'!"&amp;BG36&amp;":AK100"))&gt;0)
            *(INDIRECT("'シフト一覧（転載）'!"&amp;BG36&amp;":AK100")&lt;&gt;"休み"),
            1,0),0)+1,4),0),"")</f>
        <v>0</v>
      </c>
      <c r="BJ36" s="21">
        <f t="array" aca="1" ref="BJ36" ca="1">IFERROR(IF(BI36&lt;&gt;"",IF(BI36&lt;&gt;0,INDEX(
INDIRECT("'シフト一覧（転載）'!"&amp;BI36&amp;":AK100"),1,
MATCH(1,INDEX((LEN(INDIRECT("'シフト一覧（転載）'!"&amp;BI36&amp;":AK100"))&gt;0)
*(INDIRECT("'シフト一覧（転載）'!"&amp;BI36&amp;":AK100")&lt;&gt;"休み"),1,0),0)),0),""),$E$9&amp;"保育無し")</f>
        <v>0</v>
      </c>
      <c r="BK36" s="21">
        <f t="array" aca="1" ref="BK36" ca="1">IFERROR(IF(BI36&lt;&gt;0,ADDRESS(ROW(INDIRECT(BI36)),
    COLUMN(INDIRECT(BI36)) - 1 +
    MATCH(1,INDEX((LEN(INDIRECT("'シフト一覧（転載）'!"&amp;BI36&amp;":AK100"))&gt;0)
            *(INDIRECT("'シフト一覧（転載）'!"&amp;BI36&amp;":AK100")&lt;&gt;"休み"),
            1,0),0)+1,4),0),"")</f>
        <v>0</v>
      </c>
      <c r="BL36" s="21">
        <f t="array" aca="1" ref="BL36" ca="1">IFERROR(IF(BK36&lt;&gt;"",IF(BK36&lt;&gt;0,INDEX(
INDIRECT("'シフト一覧（転載）'!"&amp;BK36&amp;":AK100"),1,
MATCH(1,INDEX((LEN(INDIRECT("'シフト一覧（転載）'!"&amp;BK36&amp;":AK100"))&gt;0)
*(INDIRECT("'シフト一覧（転載）'!"&amp;BK36&amp;":AK100")&lt;&gt;"休み"),1,0),0)),0),""),$E$9&amp;"保育無し")</f>
        <v>0</v>
      </c>
      <c r="BM36" s="21">
        <f t="array" aca="1" ref="BM36" ca="1">IFERROR(IF(BK36&lt;&gt;0,ADDRESS(ROW(INDIRECT(BK36)),
    COLUMN(INDIRECT(BK36)) - 1 +
    MATCH(1,INDEX((LEN(INDIRECT("'シフト一覧（転載）'!"&amp;BK36&amp;":AK100"))&gt;0)
            *(INDIRECT("'シフト一覧（転載）'!"&amp;BK36&amp;":AK100")&lt;&gt;"休み"),
            1,0),0)+1,4),0),"")</f>
        <v>0</v>
      </c>
      <c r="BN36" s="21">
        <f t="array" aca="1" ref="BN36" ca="1">IFERROR(IF(BM36&lt;&gt;"",IF(BM36&lt;&gt;0,INDEX(
INDIRECT("'シフト一覧（転載）'!"&amp;BM36&amp;":AK100"),1,
MATCH(1,INDEX((LEN(INDIRECT("'シフト一覧（転載）'!"&amp;BM36&amp;":AK100"))&gt;0)
*(INDIRECT("'シフト一覧（転載）'!"&amp;BM36&amp;":AK100")&lt;&gt;"休み"),1,0),0)),0),""),$E$9&amp;"保育無し")</f>
        <v>0</v>
      </c>
      <c r="BO36" s="21">
        <f t="array" aca="1" ref="BO36" ca="1">IFERROR(IF(BM36&lt;&gt;0,ADDRESS(ROW(INDIRECT(BM36)),
    COLUMN(INDIRECT(BM36)) - 1 +
    MATCH(1,INDEX((LEN(INDIRECT("'シフト一覧（転載）'!"&amp;BM36&amp;":AK100"))&gt;0)
            *(INDIRECT("'シフト一覧（転載）'!"&amp;BM36&amp;":AK100")&lt;&gt;"休み"),
            1,0),0)+1,4),0),"")</f>
        <v>0</v>
      </c>
      <c r="BP36" s="21">
        <f t="array" aca="1" ref="BP36" ca="1">IFERROR(IF(BO36&lt;&gt;"",IF(BO36&lt;&gt;0,INDEX(
INDIRECT("'シフト一覧（転載）'!"&amp;BO36&amp;":AK100"),1,
MATCH(1,INDEX((LEN(INDIRECT("'シフト一覧（転載）'!"&amp;BO36&amp;":AK100"))&gt;0)
*(INDIRECT("'シフト一覧（転載）'!"&amp;BO36&amp;":AK100")&lt;&gt;"休み"),1,0),0)),0),""),$E$9&amp;"保育無し")</f>
        <v>0</v>
      </c>
      <c r="BQ36" s="21">
        <f t="array" aca="1" ref="BQ36" ca="1">IFERROR(IF(BO36&lt;&gt;0,ADDRESS(ROW(INDIRECT(BO36)),
    COLUMN(INDIRECT(BO36)) - 1 +
    MATCH(1,INDEX((LEN(INDIRECT("'シフト一覧（転載）'!"&amp;BO36&amp;":AK100"))&gt;0)
            *(INDIRECT("'シフト一覧（転載）'!"&amp;BO36&amp;":AK100")&lt;&gt;"休み"),
            1,0),0)+1,4),0),"")</f>
        <v>0</v>
      </c>
      <c r="BR36" s="21">
        <f t="array" aca="1" ref="BR36" ca="1">IFERROR(IF(BQ36&lt;&gt;"",IF(BQ36&lt;&gt;0,INDEX(
INDIRECT("'シフト一覧（転載）'!"&amp;BQ36&amp;":AK100"),1,
MATCH(1,INDEX((LEN(INDIRECT("'シフト一覧（転載）'!"&amp;BQ36&amp;":AK100"))&gt;0)
*(INDIRECT("'シフト一覧（転載）'!"&amp;BQ36&amp;":AK100")&lt;&gt;"休み"),1,0),0)),0),""),$E$9&amp;"保育無し")</f>
        <v>0</v>
      </c>
      <c r="BS36" s="21">
        <f t="array" aca="1" ref="BS36" ca="1">IFERROR(IF(BQ36&lt;&gt;0,ADDRESS(ROW(INDIRECT(BQ36)),
    COLUMN(INDIRECT(BQ36)) - 1 +
    MATCH(1,INDEX((LEN(INDIRECT("'シフト一覧（転載）'!"&amp;BQ36&amp;":AK100"))&gt;0)
            *(INDIRECT("'シフト一覧（転載）'!"&amp;BQ36&amp;":AK100")&lt;&gt;"休み"),
            1,0),0)+1,4),0),"")</f>
        <v>0</v>
      </c>
      <c r="BT36" s="21">
        <f t="array" aca="1" ref="BT36" ca="1">IFERROR(IF(BS36&lt;&gt;"",IF(BS36&lt;&gt;0,INDEX(
INDIRECT("'シフト一覧（転載）'!"&amp;BS36&amp;":AK100"),1,
MATCH(1,INDEX((LEN(INDIRECT("'シフト一覧（転載）'!"&amp;BS36&amp;":AK100"))&gt;0)
*(INDIRECT("'シフト一覧（転載）'!"&amp;BS36&amp;":AK100")&lt;&gt;"休み"),1,0),0)),0),""),$E$9&amp;"保育無し")</f>
        <v>0</v>
      </c>
      <c r="BU36" s="21">
        <f t="array" aca="1" ref="BU36" ca="1">IFERROR(IF(BS36&lt;&gt;0,ADDRESS(ROW(INDIRECT(BS36)),
    COLUMN(INDIRECT(BS36)) - 1 +
    MATCH(1,INDEX((LEN(INDIRECT("'シフト一覧（転載）'!"&amp;BS36&amp;":AK100"))&gt;0)
            *(INDIRECT("'シフト一覧（転載）'!"&amp;BS36&amp;":AK100")&lt;&gt;"休み"),
            1,0),0)+1,4),0),"")</f>
        <v>0</v>
      </c>
      <c r="BV36" s="21">
        <f t="array" aca="1" ref="BV36" ca="1">IFERROR(IF(BU36&lt;&gt;"",IF(BU36&lt;&gt;0,INDEX(
INDIRECT("'シフト一覧（転載）'!"&amp;BU36&amp;":AK100"),1,
MATCH(1,INDEX((LEN(INDIRECT("'シフト一覧（転載）'!"&amp;BU36&amp;":AK100"))&gt;0)
*(INDIRECT("'シフト一覧（転載）'!"&amp;BU36&amp;":AK100")&lt;&gt;"休み"),1,0),0)),0),""),$E$9&amp;"保育無し")</f>
        <v>0</v>
      </c>
      <c r="BW36" s="21">
        <f t="array" aca="1" ref="BW36" ca="1">IFERROR(IF(BU36&lt;&gt;0,ADDRESS(ROW(INDIRECT(BU36)),
    COLUMN(INDIRECT(BU36)) - 1 +
    MATCH(1,INDEX((LEN(INDIRECT("'シフト一覧（転載）'!"&amp;BU36&amp;":AK100"))&gt;0)
            *(INDIRECT("'シフト一覧（転載）'!"&amp;BU36&amp;":AK100")&lt;&gt;"休み"),
            1,0),0)+1,4),0),"")</f>
        <v>0</v>
      </c>
      <c r="BX36" s="21">
        <f t="array" aca="1" ref="BX36" ca="1">IFERROR(IF(BW36&lt;&gt;"",IF(BW36&lt;&gt;0,INDEX(
INDIRECT("'シフト一覧（転載）'!"&amp;BW36&amp;":AK100"),1,
MATCH(1,INDEX((LEN(INDIRECT("'シフト一覧（転載）'!"&amp;BW36&amp;":AK100"))&gt;0)
*(INDIRECT("'シフト一覧（転載）'!"&amp;BW36&amp;":AK100")&lt;&gt;"休み"),1,0),0)),0),""),$E$9&amp;"保育無し")</f>
        <v>0</v>
      </c>
      <c r="BY36" s="21">
        <f t="array" aca="1" ref="BY36" ca="1">IFERROR(IF(BW36&lt;&gt;0,ADDRESS(ROW(INDIRECT(BW36)),
    COLUMN(INDIRECT(BW36)) - 1 +
    MATCH(1,INDEX((LEN(INDIRECT("'シフト一覧（転載）'!"&amp;BW36&amp;":AK100"))&gt;0)
            *(INDIRECT("'シフト一覧（転載）'!"&amp;BW36&amp;":AK100")&lt;&gt;"休み"),
            1,0),0)+1,4),0),"")</f>
        <v>0</v>
      </c>
    </row>
    <row r="37" spans="13:77" ht="19.2" customHeight="1" x14ac:dyDescent="0.2">
      <c r="M37" s="93"/>
      <c r="N37" s="91"/>
      <c r="O37" s="95"/>
      <c r="P37" s="22">
        <f t="array" aca="1" ref="P37" ca="1">IFERROR(IF(M36&lt;&gt;"",INDEX('シフト一覧（転載）'!$F$8:$AK$100,
    MATCH(1,(ISNUMBER(SEARCH(M36,'シフト一覧（転載）'!$A$8:$A$100)))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MATCH(1,(ISNUMBER(SEARCH(M36,'シフト一覧（転載）'!$A$8:$A$100)))
                *(ISNUMBER(SEARCH($E$9,'シフト一覧（転載）'!$B$8:$B$100))),
                0),0),0)),0),"")</f>
        <v>0</v>
      </c>
      <c r="Q37" s="22">
        <f ca="1">IF(P36=0,0,
IF(OR(P36="",COUNTIF(P36,"*保育無し*")),"",
IF(MOD(P37-P36,1)*24&gt;=8,1,
IF(MOD(P37-P36,1)*24&gt;=6,0.75,0))))</f>
        <v>0</v>
      </c>
      <c r="R37" s="22">
        <f t="array" aca="1" ref="R37" ca="1">IFERROR(IF(Q36&lt;&gt;0,INDEX(
INDIRECT("'シフト一覧（転載）'!"&amp;Q36&amp;":AK100"),1+1,
MATCH(1,INDEX((LEN(INDIRECT("'シフト一覧（転載）'!"&amp;Q36&amp;":AK100"))&gt;0)
*(INDIRECT("'シフト一覧（転載）'!"&amp;Q36&amp;":AK100")&lt;&gt;"休み"),1,0),0)),0),"")</f>
        <v>0</v>
      </c>
      <c r="S37" s="22">
        <f ca="1">IF(R36=0,0,
IF(OR(R36="",COUNTIF(R36,"*保育無し*")),"",
IF(MOD(R37-R36,1)*24&gt;=8,1,
IF(MOD(R37-R36,1)*24&gt;=6,0.75,0))))</f>
        <v>0</v>
      </c>
      <c r="T37" s="22">
        <f t="array" aca="1" ref="T37" ca="1">IFERROR(IF(S36&lt;&gt;0,INDEX(
INDIRECT("'シフト一覧（転載）'!"&amp;S36&amp;":AK100"),1+1,
MATCH(1,INDEX((LEN(INDIRECT("'シフト一覧（転載）'!"&amp;S36&amp;":AK100"))&gt;0)
*(INDIRECT("'シフト一覧（転載）'!"&amp;S36&amp;":AK100")&lt;&gt;"休み"),1,0),0)),0),"")</f>
        <v>0</v>
      </c>
      <c r="U37" s="22">
        <f ca="1">IF(T36=0,0,
IF(OR(T36="",COUNTIF(T36,"*保育無し*")),"",
IF(MOD(T37-T36,1)*24&gt;=8,1,
IF(MOD(T37-T36,1)*24&gt;=6,0.75,0))))</f>
        <v>0</v>
      </c>
      <c r="V37" s="22">
        <f t="array" aca="1" ref="V37" ca="1">IFERROR(IF(U36&lt;&gt;0,INDEX(
INDIRECT("'シフト一覧（転載）'!"&amp;U36&amp;":AK100"),1+1,
MATCH(1,INDEX((LEN(INDIRECT("'シフト一覧（転載）'!"&amp;U36&amp;":AK100"))&gt;0)
*(INDIRECT("'シフト一覧（転載）'!"&amp;U36&amp;":AK100")&lt;&gt;"休み"),1,0),0)),0),"")</f>
        <v>0</v>
      </c>
      <c r="W37" s="22">
        <f ca="1">IF(V36=0,0,
IF(OR(V36="",COUNTIF(V36,"*保育無し*")),"",
IF(MOD(V37-V36,1)*24&gt;=8,1,
IF(MOD(V37-V36,1)*24&gt;=6,0.75,0))))</f>
        <v>0</v>
      </c>
      <c r="X37" s="22">
        <f t="array" aca="1" ref="X37" ca="1">IFERROR(IF(W36&lt;&gt;0,INDEX(
INDIRECT("'シフト一覧（転載）'!"&amp;W36&amp;":AK100"),1+1,
MATCH(1,INDEX((LEN(INDIRECT("'シフト一覧（転載）'!"&amp;W36&amp;":AK100"))&gt;0)
*(INDIRECT("'シフト一覧（転載）'!"&amp;W36&amp;":AK100")&lt;&gt;"休み"),1,0),0)),0),"")</f>
        <v>0</v>
      </c>
      <c r="Y37" s="22">
        <f ca="1">IF(X36=0,0,
IF(OR(X36="",COUNTIF(X36,"*保育無し*")),"",
IF(MOD(X37-X36,1)*24&gt;=8,1,
IF(MOD(X37-X36,1)*24&gt;=6,0.75,0))))</f>
        <v>0</v>
      </c>
      <c r="Z37" s="22">
        <f t="array" aca="1" ref="Z37" ca="1">IFERROR(IF(Y36&lt;&gt;0,INDEX(
INDIRECT("'シフト一覧（転載）'!"&amp;Y36&amp;":AK100"),1+1,
MATCH(1,INDEX((LEN(INDIRECT("'シフト一覧（転載）'!"&amp;Y36&amp;":AK100"))&gt;0)
*(INDIRECT("'シフト一覧（転載）'!"&amp;Y36&amp;":AK100")&lt;&gt;"休み"),1,0),0)),0),"")</f>
        <v>0</v>
      </c>
      <c r="AA37" s="22">
        <f ca="1">IF(Z36=0,0,
IF(OR(Z36="",COUNTIF(Z36,"*保育無し*")),"",
IF(MOD(Z37-Z36,1)*24&gt;=8,1,
IF(MOD(Z37-Z36,1)*24&gt;=6,0.75,0))))</f>
        <v>0</v>
      </c>
      <c r="AB37" s="22">
        <f t="array" aca="1" ref="AB37" ca="1">IFERROR(IF(AA36&lt;&gt;0,INDEX(
INDIRECT("'シフト一覧（転載）'!"&amp;AA36&amp;":AK100"),1+1,
MATCH(1,INDEX((LEN(INDIRECT("'シフト一覧（転載）'!"&amp;AA36&amp;":AK100"))&gt;0)
*(INDIRECT("'シフト一覧（転載）'!"&amp;AA36&amp;":AK100")&lt;&gt;"休み"),1,0),0)),0),"")</f>
        <v>0</v>
      </c>
      <c r="AC37" s="22">
        <f ca="1">IF(AB36=0,0,
IF(OR(AB36="",COUNTIF(AB36,"*保育無し*")),"",
IF(MOD(AB37-AB36,1)*24&gt;=8,1,
IF(MOD(AB37-AB36,1)*24&gt;=6,0.75,0))))</f>
        <v>0</v>
      </c>
      <c r="AD37" s="22">
        <f t="array" aca="1" ref="AD37" ca="1">IFERROR(IF(AC36&lt;&gt;0,INDEX(
INDIRECT("'シフト一覧（転載）'!"&amp;AC36&amp;":AK100"),1+1,
MATCH(1,INDEX((LEN(INDIRECT("'シフト一覧（転載）'!"&amp;AC36&amp;":AK100"))&gt;0)
*(INDIRECT("'シフト一覧（転載）'!"&amp;AC36&amp;":AK100")&lt;&gt;"休み"),1,0),0)),0),"")</f>
        <v>0</v>
      </c>
      <c r="AE37" s="22">
        <f ca="1">IF(AD36=0,0,
IF(OR(AD36="",COUNTIF(AD36,"*保育無し*")),"",
IF(MOD(AD37-AD36,1)*24&gt;=8,1,
IF(MOD(AD37-AD36,1)*24&gt;=6,0.75,0))))</f>
        <v>0</v>
      </c>
      <c r="AF37" s="22">
        <f t="array" aca="1" ref="AF37" ca="1">IFERROR(IF(AE36&lt;&gt;0,INDEX(
INDIRECT("'シフト一覧（転載）'!"&amp;AE36&amp;":AK100"),1+1,
MATCH(1,INDEX((LEN(INDIRECT("'シフト一覧（転載）'!"&amp;AE36&amp;":AK100"))&gt;0)
*(INDIRECT("'シフト一覧（転載）'!"&amp;AE36&amp;":AK100")&lt;&gt;"休み"),1,0),0)),0),"")</f>
        <v>0</v>
      </c>
      <c r="AG37" s="22">
        <f ca="1">IF(AF36=0,0,
IF(OR(AF36="",COUNTIF(AF36,"*保育無し*")),"",
IF(MOD(AF37-AF36,1)*24&gt;=8,1,
IF(MOD(AF37-AF36,1)*24&gt;=6,0.75,0))))</f>
        <v>0</v>
      </c>
      <c r="AH37" s="22">
        <f t="array" aca="1" ref="AH37" ca="1">IFERROR(IF(AG36&lt;&gt;0,INDEX(
INDIRECT("'シフト一覧（転載）'!"&amp;AG36&amp;":AK100"),1+1,
MATCH(1,INDEX((LEN(INDIRECT("'シフト一覧（転載）'!"&amp;AG36&amp;":AK100"))&gt;0)
*(INDIRECT("'シフト一覧（転載）'!"&amp;AG36&amp;":AK100")&lt;&gt;"休み"),1,0),0)),0),"")</f>
        <v>0</v>
      </c>
      <c r="AI37" s="22">
        <f ca="1">IF(AH36=0,0,
IF(OR(AH36="",COUNTIF(AH36,"*保育無し*")),"",
IF(MOD(AH37-AH36,1)*24&gt;=8,1,
IF(MOD(AH37-AH36,1)*24&gt;=6,0.75,0))))</f>
        <v>0</v>
      </c>
      <c r="AJ37" s="22">
        <f t="array" aca="1" ref="AJ37" ca="1">IFERROR(IF(AI36&lt;&gt;0,INDEX(
INDIRECT("'シフト一覧（転載）'!"&amp;AI36&amp;":AK100"),1+1,
MATCH(1,INDEX((LEN(INDIRECT("'シフト一覧（転載）'!"&amp;AI36&amp;":AK100"))&gt;0)
*(INDIRECT("'シフト一覧（転載）'!"&amp;AI36&amp;":AK100")&lt;&gt;"休み"),1,0),0)),0),"")</f>
        <v>0</v>
      </c>
      <c r="AK37" s="22">
        <f ca="1">IF(AJ36=0,0,
IF(OR(AJ36="",COUNTIF(AJ36,"*保育無し*")),"",
IF(MOD(AJ37-AJ36,1)*24&gt;=8,1,
IF(MOD(AJ37-AJ36,1)*24&gt;=6,0.75,0))))</f>
        <v>0</v>
      </c>
      <c r="AL37" s="22">
        <f t="array" aca="1" ref="AL37" ca="1">IFERROR(IF(AK36&lt;&gt;0,INDEX(
INDIRECT("'シフト一覧（転載）'!"&amp;AK36&amp;":AK100"),1+1,
MATCH(1,INDEX((LEN(INDIRECT("'シフト一覧（転載）'!"&amp;AK36&amp;":AK100"))&gt;0)
*(INDIRECT("'シフト一覧（転載）'!"&amp;AK36&amp;":AK100")&lt;&gt;"休み"),1,0),0)),0),"")</f>
        <v>0</v>
      </c>
      <c r="AM37" s="22">
        <f ca="1">IF(AL36=0,0,
IF(OR(AL36="",COUNTIF(AL36,"*保育無し*")),"",
IF(MOD(AL37-AL36,1)*24&gt;=8,1,
IF(MOD(AL37-AL36,1)*24&gt;=6,0.75,0))))</f>
        <v>0</v>
      </c>
      <c r="AN37" s="22">
        <f t="array" aca="1" ref="AN37" ca="1">IFERROR(IF(AM36&lt;&gt;0,INDEX(
INDIRECT("'シフト一覧（転載）'!"&amp;AM36&amp;":AK100"),1+1,
MATCH(1,INDEX((LEN(INDIRECT("'シフト一覧（転載）'!"&amp;AM36&amp;":AK100"))&gt;0)
*(INDIRECT("'シフト一覧（転載）'!"&amp;AM36&amp;":AK100")&lt;&gt;"休み"),1,0),0)),0),"")</f>
        <v>0</v>
      </c>
      <c r="AO37" s="22">
        <f ca="1">IF(AN36=0,0,
IF(OR(AN36="",COUNTIF(AN36,"*保育無し*")),"",
IF(MOD(AN37-AN36,1)*24&gt;=8,1,
IF(MOD(AN37-AN36,1)*24&gt;=6,0.75,0))))</f>
        <v>0</v>
      </c>
      <c r="AP37" s="22">
        <f t="array" aca="1" ref="AP37" ca="1">IFERROR(IF(AO36&lt;&gt;0,INDEX(
INDIRECT("'シフト一覧（転載）'!"&amp;AO36&amp;":AK100"),1+1,
MATCH(1,INDEX((LEN(INDIRECT("'シフト一覧（転載）'!"&amp;AO36&amp;":AK100"))&gt;0)
*(INDIRECT("'シフト一覧（転載）'!"&amp;AO36&amp;":AK100")&lt;&gt;"休み"),1,0),0)),0),"")</f>
        <v>0</v>
      </c>
      <c r="AQ37" s="22">
        <f ca="1">IF(AP36=0,0,
IF(OR(AP36="",COUNTIF(AP36,"*保育無し*")),"",
IF(MOD(AP37-AP36,1)*24&gt;=8,1,
IF(MOD(AP37-AP36,1)*24&gt;=6,0.75,0))))</f>
        <v>0</v>
      </c>
      <c r="AR37" s="22">
        <f t="array" aca="1" ref="AR37" ca="1">IFERROR(IF(AQ36&lt;&gt;0,INDEX(
INDIRECT("'シフト一覧（転載）'!"&amp;AQ36&amp;":AK100"),1+1,
MATCH(1,INDEX((LEN(INDIRECT("'シフト一覧（転載）'!"&amp;AQ36&amp;":AK100"))&gt;0)
*(INDIRECT("'シフト一覧（転載）'!"&amp;AQ36&amp;":AK100")&lt;&gt;"休み"),1,0),0)),0),"")</f>
        <v>0</v>
      </c>
      <c r="AS37" s="22">
        <f ca="1">IF(AR36=0,0,
IF(OR(AR36="",COUNTIF(AR36,"*保育無し*")),"",
IF(MOD(AR37-AR36,1)*24&gt;=8,1,
IF(MOD(AR37-AR36,1)*24&gt;=6,0.75,0))))</f>
        <v>0</v>
      </c>
      <c r="AT37" s="22">
        <f t="array" aca="1" ref="AT37" ca="1">IFERROR(IF(AS36&lt;&gt;0,INDEX(
INDIRECT("'シフト一覧（転載）'!"&amp;AS36&amp;":AK100"),1+1,
MATCH(1,INDEX((LEN(INDIRECT("'シフト一覧（転載）'!"&amp;AS36&amp;":AK100"))&gt;0)
*(INDIRECT("'シフト一覧（転載）'!"&amp;AS36&amp;":AK100")&lt;&gt;"休み"),1,0),0)),0),"")</f>
        <v>0</v>
      </c>
      <c r="AU37" s="22">
        <f ca="1">IF(AT36=0,0,
IF(OR(AT36="",COUNTIF(AT36,"*保育無し*")),"",
IF(MOD(AT37-AT36,1)*24&gt;=8,1,
IF(MOD(AT37-AT36,1)*24&gt;=6,0.75,0))))</f>
        <v>0</v>
      </c>
      <c r="AV37" s="22">
        <f t="array" aca="1" ref="AV37" ca="1">IFERROR(IF(AU36&lt;&gt;0,INDEX(
INDIRECT("'シフト一覧（転載）'!"&amp;AU36&amp;":AK100"),1+1,
MATCH(1,INDEX((LEN(INDIRECT("'シフト一覧（転載）'!"&amp;AU36&amp;":AK100"))&gt;0)
*(INDIRECT("'シフト一覧（転載）'!"&amp;AU36&amp;":AK100")&lt;&gt;"休み"),1,0),0)),0),"")</f>
        <v>0</v>
      </c>
      <c r="AW37" s="22">
        <f ca="1">IF(AV36=0,0,
IF(OR(AV36="",COUNTIF(AV36,"*保育無し*")),"",
IF(MOD(AV37-AV36,1)*24&gt;=8,1,
IF(MOD(AV37-AV36,1)*24&gt;=6,0.75,0))))</f>
        <v>0</v>
      </c>
      <c r="AX37" s="22">
        <f t="array" aca="1" ref="AX37" ca="1">IFERROR(IF(AW36&lt;&gt;0,INDEX(
INDIRECT("'シフト一覧（転載）'!"&amp;AW36&amp;":AK100"),1+1,
MATCH(1,INDEX((LEN(INDIRECT("'シフト一覧（転載）'!"&amp;AW36&amp;":AK100"))&gt;0)
*(INDIRECT("'シフト一覧（転載）'!"&amp;AW36&amp;":AK100")&lt;&gt;"休み"),1,0),0)),0),"")</f>
        <v>0</v>
      </c>
      <c r="AY37" s="22">
        <f ca="1">IF(AX36=0,0,
IF(OR(AX36="",COUNTIF(AX36,"*保育無し*")),"",
IF(MOD(AX37-AX36,1)*24&gt;=8,1,
IF(MOD(AX37-AX36,1)*24&gt;=6,0.75,0))))</f>
        <v>0</v>
      </c>
      <c r="AZ37" s="22">
        <f t="array" aca="1" ref="AZ37" ca="1">IFERROR(IF(AY36&lt;&gt;0,INDEX(
INDIRECT("'シフト一覧（転載）'!"&amp;AY36&amp;":AK100"),1+1,
MATCH(1,INDEX((LEN(INDIRECT("'シフト一覧（転載）'!"&amp;AY36&amp;":AK100"))&gt;0)
*(INDIRECT("'シフト一覧（転載）'!"&amp;AY36&amp;":AK100")&lt;&gt;"休み"),1,0),0)),0),"")</f>
        <v>0</v>
      </c>
      <c r="BA37" s="22">
        <f ca="1">IF(AZ36=0,0,
IF(OR(AZ36="",COUNTIF(AZ36,"*保育無し*")),"",
IF(MOD(AZ37-AZ36,1)*24&gt;=8,1,
IF(MOD(AZ37-AZ36,1)*24&gt;=6,0.75,0))))</f>
        <v>0</v>
      </c>
      <c r="BB37" s="22">
        <f t="array" aca="1" ref="BB37" ca="1">IFERROR(IF(BA36&lt;&gt;0,INDEX(
INDIRECT("'シフト一覧（転載）'!"&amp;BA36&amp;":AK100"),1+1,
MATCH(1,INDEX((LEN(INDIRECT("'シフト一覧（転載）'!"&amp;BA36&amp;":AK100"))&gt;0)
*(INDIRECT("'シフト一覧（転載）'!"&amp;BA36&amp;":AK100")&lt;&gt;"休み"),1,0),0)),0),"")</f>
        <v>0</v>
      </c>
      <c r="BC37" s="22">
        <f ca="1">IF(BB36=0,0,
IF(OR(BB36="",COUNTIF(BB36,"*保育無し*")),"",
IF(MOD(BB37-BB36,1)*24&gt;=8,1,
IF(MOD(BB37-BB36,1)*24&gt;=6,0.75,0))))</f>
        <v>0</v>
      </c>
      <c r="BD37" s="22">
        <f t="array" aca="1" ref="BD37" ca="1">IFERROR(IF(BC36&lt;&gt;0,INDEX(
INDIRECT("'シフト一覧（転載）'!"&amp;BC36&amp;":AK100"),1+1,
MATCH(1,INDEX((LEN(INDIRECT("'シフト一覧（転載）'!"&amp;BC36&amp;":AK100"))&gt;0)
*(INDIRECT("'シフト一覧（転載）'!"&amp;BC36&amp;":AK100")&lt;&gt;"休み"),1,0),0)),0),"")</f>
        <v>0</v>
      </c>
      <c r="BE37" s="22">
        <f ca="1">IF(BD36=0,0,
IF(OR(BD36="",COUNTIF(BD36,"*保育無し*")),"",
IF(MOD(BD37-BD36,1)*24&gt;=8,1,
IF(MOD(BD37-BD36,1)*24&gt;=6,0.75,0))))</f>
        <v>0</v>
      </c>
      <c r="BF37" s="22">
        <f t="array" aca="1" ref="BF37" ca="1">IFERROR(IF(BE36&lt;&gt;0,INDEX(
INDIRECT("'シフト一覧（転載）'!"&amp;BE36&amp;":AK100"),1+1,
MATCH(1,INDEX((LEN(INDIRECT("'シフト一覧（転載）'!"&amp;BE36&amp;":AK100"))&gt;0)
*(INDIRECT("'シフト一覧（転載）'!"&amp;BE36&amp;":AK100")&lt;&gt;"休み"),1,0),0)),0),"")</f>
        <v>0</v>
      </c>
      <c r="BG37" s="22">
        <f ca="1">IF(BF36=0,0,
IF(OR(BF36="",COUNTIF(BF36,"*保育無し*")),"",
IF(MOD(BF37-BF36,1)*24&gt;=8,1,
IF(MOD(BF37-BF36,1)*24&gt;=6,0.75,0))))</f>
        <v>0</v>
      </c>
      <c r="BH37" s="22">
        <f t="array" aca="1" ref="BH37" ca="1">IFERROR(IF(BG36&lt;&gt;0,INDEX(
INDIRECT("'シフト一覧（転載）'!"&amp;BG36&amp;":AK100"),1+1,
MATCH(1,INDEX((LEN(INDIRECT("'シフト一覧（転載）'!"&amp;BG36&amp;":AK100"))&gt;0)
*(INDIRECT("'シフト一覧（転載）'!"&amp;BG36&amp;":AK100")&lt;&gt;"休み"),1,0),0)),0),"")</f>
        <v>0</v>
      </c>
      <c r="BI37" s="22">
        <f ca="1">IF(BH36=0,0,
IF(OR(BH36="",COUNTIF(BH36,"*保育無し*")),"",
IF(MOD(BH37-BH36,1)*24&gt;=8,1,
IF(MOD(BH37-BH36,1)*24&gt;=6,0.75,0))))</f>
        <v>0</v>
      </c>
      <c r="BJ37" s="22">
        <f t="array" aca="1" ref="BJ37" ca="1">IFERROR(IF(BI36&lt;&gt;0,INDEX(
INDIRECT("'シフト一覧（転載）'!"&amp;BI36&amp;":AK100"),1+1,
MATCH(1,INDEX((LEN(INDIRECT("'シフト一覧（転載）'!"&amp;BI36&amp;":AK100"))&gt;0)
*(INDIRECT("'シフト一覧（転載）'!"&amp;BI36&amp;":AK100")&lt;&gt;"休み"),1,0),0)),0),"")</f>
        <v>0</v>
      </c>
      <c r="BK37" s="22">
        <f ca="1">IF(BJ36=0,0,
IF(OR(BJ36="",COUNTIF(BJ36,"*保育無し*")),"",
IF(MOD(BJ37-BJ36,1)*24&gt;=8,1,
IF(MOD(BJ37-BJ36,1)*24&gt;=6,0.75,0))))</f>
        <v>0</v>
      </c>
      <c r="BL37" s="22">
        <f t="array" aca="1" ref="BL37" ca="1">IFERROR(IF(BK36&lt;&gt;0,INDEX(
INDIRECT("'シフト一覧（転載）'!"&amp;BK36&amp;":AK100"),1+1,
MATCH(1,INDEX((LEN(INDIRECT("'シフト一覧（転載）'!"&amp;BK36&amp;":AK100"))&gt;0)
*(INDIRECT("'シフト一覧（転載）'!"&amp;BK36&amp;":AK100")&lt;&gt;"休み"),1,0),0)),0),"")</f>
        <v>0</v>
      </c>
      <c r="BM37" s="22">
        <f ca="1">IF(BL36=0,0,
IF(OR(BL36="",COUNTIF(BL36,"*保育無し*")),"",
IF(MOD(BL37-BL36,1)*24&gt;=8,1,
IF(MOD(BL37-BL36,1)*24&gt;=6,0.75,0))))</f>
        <v>0</v>
      </c>
      <c r="BN37" s="22">
        <f t="array" aca="1" ref="BN37" ca="1">IFERROR(IF(BM36&lt;&gt;0,INDEX(
INDIRECT("'シフト一覧（転載）'!"&amp;BM36&amp;":AK100"),1+1,
MATCH(1,INDEX((LEN(INDIRECT("'シフト一覧（転載）'!"&amp;BM36&amp;":AK100"))&gt;0)
*(INDIRECT("'シフト一覧（転載）'!"&amp;BM36&amp;":AK100")&lt;&gt;"休み"),1,0),0)),0),"")</f>
        <v>0</v>
      </c>
      <c r="BO37" s="22">
        <f ca="1">IF(BN36=0,0,
IF(OR(BN36="",COUNTIF(BN36,"*保育無し*")),"",
IF(MOD(BN37-BN36,1)*24&gt;=8,1,
IF(MOD(BN37-BN36,1)*24&gt;=6,0.75,0))))</f>
        <v>0</v>
      </c>
      <c r="BP37" s="22">
        <f t="array" aca="1" ref="BP37" ca="1">IFERROR(IF(BO36&lt;&gt;0,INDEX(
INDIRECT("'シフト一覧（転載）'!"&amp;BO36&amp;":AK100"),1+1,
MATCH(1,INDEX((LEN(INDIRECT("'シフト一覧（転載）'!"&amp;BO36&amp;":AK100"))&gt;0)
*(INDIRECT("'シフト一覧（転載）'!"&amp;BO36&amp;":AK100")&lt;&gt;"休み"),1,0),0)),0),"")</f>
        <v>0</v>
      </c>
      <c r="BQ37" s="22">
        <f ca="1">IF(BP36=0,0,
IF(OR(BP36="",COUNTIF(BP36,"*保育無し*")),"",
IF(MOD(BP37-BP36,1)*24&gt;=8,1,
IF(MOD(BP37-BP36,1)*24&gt;=6,0.75,0))))</f>
        <v>0</v>
      </c>
      <c r="BR37" s="22">
        <f t="array" aca="1" ref="BR37" ca="1">IFERROR(IF(BQ36&lt;&gt;0,INDEX(
INDIRECT("'シフト一覧（転載）'!"&amp;BQ36&amp;":AK100"),1+1,
MATCH(1,INDEX((LEN(INDIRECT("'シフト一覧（転載）'!"&amp;BQ36&amp;":AK100"))&gt;0)
*(INDIRECT("'シフト一覧（転載）'!"&amp;BQ36&amp;":AK100")&lt;&gt;"休み"),1,0),0)),0),"")</f>
        <v>0</v>
      </c>
      <c r="BS37" s="22">
        <f ca="1">IF(BR36=0,0,
IF(OR(BR36="",COUNTIF(BR36,"*保育無し*")),"",
IF(MOD(BR37-BR36,1)*24&gt;=8,1,
IF(MOD(BR37-BR36,1)*24&gt;=6,0.75,0))))</f>
        <v>0</v>
      </c>
      <c r="BT37" s="22">
        <f t="array" aca="1" ref="BT37" ca="1">IFERROR(IF(BS36&lt;&gt;0,INDEX(
INDIRECT("'シフト一覧（転載）'!"&amp;BS36&amp;":AK100"),1+1,
MATCH(1,INDEX((LEN(INDIRECT("'シフト一覧（転載）'!"&amp;BS36&amp;":AK100"))&gt;0)
*(INDIRECT("'シフト一覧（転載）'!"&amp;BS36&amp;":AK100")&lt;&gt;"休み"),1,0),0)),0),"")</f>
        <v>0</v>
      </c>
      <c r="BU37" s="22">
        <f ca="1">IF(BT36=0,0,
IF(OR(BT36="",COUNTIF(BT36,"*保育無し*")),"",
IF(MOD(BT37-BT36,1)*24&gt;=8,1,
IF(MOD(BT37-BT36,1)*24&gt;=6,0.75,0))))</f>
        <v>0</v>
      </c>
      <c r="BV37" s="22">
        <f t="array" aca="1" ref="BV37" ca="1">IFERROR(IF(BU36&lt;&gt;0,INDEX(
INDIRECT("'シフト一覧（転載）'!"&amp;BU36&amp;":AK100"),1+1,
MATCH(1,INDEX((LEN(INDIRECT("'シフト一覧（転載）'!"&amp;BU36&amp;":AK100"))&gt;0)
*(INDIRECT("'シフト一覧（転載）'!"&amp;BU36&amp;":AK100")&lt;&gt;"休み"),1,0),0)),0),"")</f>
        <v>0</v>
      </c>
      <c r="BW37" s="22">
        <f ca="1">IF(BV36=0,0,
IF(OR(BV36="",COUNTIF(BV36,"*保育無し*")),"",
IF(MOD(BV37-BV36,1)*24&gt;=8,1,
IF(MOD(BV37-BV36,1)*24&gt;=6,0.75,0))))</f>
        <v>0</v>
      </c>
      <c r="BX37" s="22">
        <f t="array" aca="1" ref="BX37" ca="1">IFERROR(IF(BW36&lt;&gt;0,INDEX(
INDIRECT("'シフト一覧（転載）'!"&amp;BW36&amp;":AK100"),1+1,
MATCH(1,INDEX((LEN(INDIRECT("'シフト一覧（転載）'!"&amp;BW36&amp;":AK100"))&gt;0)
*(INDIRECT("'シフト一覧（転載）'!"&amp;BW36&amp;":AK100")&lt;&gt;"休み"),1,0),0)),0),"")</f>
        <v>0</v>
      </c>
      <c r="BY37" s="22">
        <f ca="1">IF(BX36=0,0,
IF(OR(BX36="",COUNTIF(BX36,"*保育無し*")),"",
IF(MOD(BX37-BX36,1)*24&gt;=8,1,
IF(MOD(BX37-BX36,1)*24&gt;=6,0.75,0))))</f>
        <v>0</v>
      </c>
    </row>
    <row r="38" spans="13:77" ht="19.2" customHeight="1" x14ac:dyDescent="0.2">
      <c r="M38" s="92" t="str">
        <f t="array" aca="1" ref="M38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8" s="90" t="str">
        <f ca="1">IF(M38&lt;&gt;"",VLOOKUP(M38,$I$12:$J$27,2,FALSE),"")</f>
        <v/>
      </c>
      <c r="O38" s="94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21">
        <f t="array" aca="1" ref="P38" ca="1">IFERROR(IF(M38&lt;&gt;"",INDEX('シフト一覧（転載）'!$F$8:$AK$100,
    MATCH(1,(ISNUMBER(SEARCH(M38,'シフト一覧（転載）'!$A$8:$A$100)))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MATCH(1,(ISNUMBER(SEARCH(M38,'シフト一覧（転載）'!$A$8:$A$100)))
                *(ISNUMBER(SEARCH($E$9,'シフト一覧（転載）'!$B$8:$B$100))),
                0),0),0)),0),$E$9&amp;"保育無し")</f>
        <v>0</v>
      </c>
      <c r="Q38" s="21">
        <f t="array" aca="1" ref="Q38" ca="1">IFERROR(IF(COUNTIF(P38,"*無*"),"",IF(M38&lt;&gt;"",ADDRESS(
    MATCH(1,(ISNUMBER(SEARCH(M38,'シフト一覧（転載）'!$A$8:$A$100)))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MATCH(1,(ISNUMBER(SEARCH(M38,'シフト一覧（転載）'!$A$8:$A$100)))
                *(ISNUMBER(SEARCH($E$9,'シフト一覧（転載）'!$B$8:$B$100))),0),0),0) + 6,4),0)),0)</f>
        <v>0</v>
      </c>
      <c r="R38" s="21">
        <f t="array" aca="1" ref="R38" ca="1">IFERROR(IF(Q38&lt;&gt;"",IF(Q38&lt;&gt;0,INDEX(
INDIRECT("'シフト一覧（転載）'!"&amp;Q38&amp;":AK100"),1,
MATCH(1,INDEX((LEN(INDIRECT("'シフト一覧（転載）'!"&amp;Q38&amp;":AK100"))&gt;0)
*(INDIRECT("'シフト一覧（転載）'!"&amp;Q38&amp;":AK100")&lt;&gt;"休み"),1,0),0)),0),""),$E$9&amp;"保育無し")</f>
        <v>0</v>
      </c>
      <c r="S38" s="21">
        <f t="array" aca="1" ref="S38" ca="1">IFERROR(IF(Q38&lt;&gt;0,ADDRESS(ROW(INDIRECT(Q38)),
    COLUMN(INDIRECT(Q38)) - 1 +
    MATCH(1,INDEX((LEN(INDIRECT("'シフト一覧（転載）'!"&amp;Q38&amp;":AK100"))&gt;0)
            *(INDIRECT("'シフト一覧（転載）'!"&amp;Q38&amp;":AK100")&lt;&gt;"休み"),
            1,0),0)+1,4),0),"")</f>
        <v>0</v>
      </c>
      <c r="T38" s="21">
        <f t="array" aca="1" ref="T38" ca="1">IFERROR(IF(S38&lt;&gt;"",IF(S38&lt;&gt;0,INDEX(
INDIRECT("'シフト一覧（転載）'!"&amp;S38&amp;":AK100"),1,
MATCH(1,INDEX((LEN(INDIRECT("'シフト一覧（転載）'!"&amp;S38&amp;":AK100"))&gt;0)
*(INDIRECT("'シフト一覧（転載）'!"&amp;S38&amp;":AK100")&lt;&gt;"休み"),1,0),0)),0),""),$E$9&amp;"保育無し")</f>
        <v>0</v>
      </c>
      <c r="U38" s="21">
        <f t="array" aca="1" ref="U38" ca="1">IFERROR(IF(S38&lt;&gt;0,ADDRESS(ROW(INDIRECT(S38)),
    COLUMN(INDIRECT(S38)) - 1 +
    MATCH(1,INDEX((LEN(INDIRECT("'シフト一覧（転載）'!"&amp;S38&amp;":AK100"))&gt;0)
            *(INDIRECT("'シフト一覧（転載）'!"&amp;S38&amp;":AK100")&lt;&gt;"休み"),
            1,0),0)+1,4),0),"")</f>
        <v>0</v>
      </c>
      <c r="V38" s="21">
        <f t="array" aca="1" ref="V38" ca="1">IFERROR(IF(U38&lt;&gt;"",IF(U38&lt;&gt;0,INDEX(
INDIRECT("'シフト一覧（転載）'!"&amp;U38&amp;":AK100"),1,
MATCH(1,INDEX((LEN(INDIRECT("'シフト一覧（転載）'!"&amp;U38&amp;":AK100"))&gt;0)
*(INDIRECT("'シフト一覧（転載）'!"&amp;U38&amp;":AK100")&lt;&gt;"休み"),1,0),0)),0),""),$E$9&amp;"保育無し")</f>
        <v>0</v>
      </c>
      <c r="W38" s="21">
        <f t="array" aca="1" ref="W38" ca="1">IFERROR(IF(U38&lt;&gt;0,ADDRESS(ROW(INDIRECT(U38)),
    COLUMN(INDIRECT(U38)) - 1 +
    MATCH(1,INDEX((LEN(INDIRECT("'シフト一覧（転載）'!"&amp;U38&amp;":AK100"))&gt;0)
            *(INDIRECT("'シフト一覧（転載）'!"&amp;U38&amp;":AK100")&lt;&gt;"休み"),
            1,0),0)+1,4),0),"")</f>
        <v>0</v>
      </c>
      <c r="X38" s="21">
        <f t="array" aca="1" ref="X38" ca="1">IFERROR(IF(W38&lt;&gt;"",IF(W38&lt;&gt;0,INDEX(
INDIRECT("'シフト一覧（転載）'!"&amp;W38&amp;":AK100"),1,
MATCH(1,INDEX((LEN(INDIRECT("'シフト一覧（転載）'!"&amp;W38&amp;":AK100"))&gt;0)
*(INDIRECT("'シフト一覧（転載）'!"&amp;W38&amp;":AK100")&lt;&gt;"休み"),1,0),0)),0),""),$E$9&amp;"保育無し")</f>
        <v>0</v>
      </c>
      <c r="Y38" s="21">
        <f t="array" aca="1" ref="Y38" ca="1">IFERROR(IF(W38&lt;&gt;0,ADDRESS(ROW(INDIRECT(W38)),
    COLUMN(INDIRECT(W38)) - 1 +
    MATCH(1,INDEX((LEN(INDIRECT("'シフト一覧（転載）'!"&amp;W38&amp;":AK100"))&gt;0)
            *(INDIRECT("'シフト一覧（転載）'!"&amp;W38&amp;":AK100")&lt;&gt;"休み"),
            1,0),0)+1,4),0),"")</f>
        <v>0</v>
      </c>
      <c r="Z38" s="21">
        <f t="array" aca="1" ref="Z38" ca="1">IFERROR(IF(Y38&lt;&gt;"",IF(Y38&lt;&gt;0,INDEX(
INDIRECT("'シフト一覧（転載）'!"&amp;Y38&amp;":AK100"),1,
MATCH(1,INDEX((LEN(INDIRECT("'シフト一覧（転載）'!"&amp;Y38&amp;":AK100"))&gt;0)
*(INDIRECT("'シフト一覧（転載）'!"&amp;Y38&amp;":AK100")&lt;&gt;"休み"),1,0),0)),0),""),$E$9&amp;"保育無し")</f>
        <v>0</v>
      </c>
      <c r="AA38" s="21">
        <f t="array" aca="1" ref="AA38" ca="1">IFERROR(IF(Y38&lt;&gt;0,ADDRESS(ROW(INDIRECT(Y38)),
    COLUMN(INDIRECT(Y38)) - 1 +
    MATCH(1,INDEX((LEN(INDIRECT("'シフト一覧（転載）'!"&amp;Y38&amp;":AK100"))&gt;0)
            *(INDIRECT("'シフト一覧（転載）'!"&amp;Y38&amp;":AK100")&lt;&gt;"休み"),
            1,0),0)+1,4),0),"")</f>
        <v>0</v>
      </c>
      <c r="AB38" s="21">
        <f t="array" aca="1" ref="AB38" ca="1">IFERROR(IF(AA38&lt;&gt;"",IF(AA38&lt;&gt;0,INDEX(
INDIRECT("'シフト一覧（転載）'!"&amp;AA38&amp;":AK100"),1,
MATCH(1,INDEX((LEN(INDIRECT("'シフト一覧（転載）'!"&amp;AA38&amp;":AK100"))&gt;0)
*(INDIRECT("'シフト一覧（転載）'!"&amp;AA38&amp;":AK100")&lt;&gt;"休み"),1,0),0)),0),""),$E$9&amp;"保育無し")</f>
        <v>0</v>
      </c>
      <c r="AC38" s="21">
        <f t="array" aca="1" ref="AC38" ca="1">IFERROR(IF(AA38&lt;&gt;0,ADDRESS(ROW(INDIRECT(AA38)),
    COLUMN(INDIRECT(AA38)) - 1 +
    MATCH(1,INDEX((LEN(INDIRECT("'シフト一覧（転載）'!"&amp;AA38&amp;":AK100"))&gt;0)
            *(INDIRECT("'シフト一覧（転載）'!"&amp;AA38&amp;":AK100")&lt;&gt;"休み"),
            1,0),0)+1,4),0),"")</f>
        <v>0</v>
      </c>
      <c r="AD38" s="21">
        <f t="array" aca="1" ref="AD38" ca="1">IFERROR(IF(AC38&lt;&gt;"",IF(AC38&lt;&gt;0,INDEX(
INDIRECT("'シフト一覧（転載）'!"&amp;AC38&amp;":AK100"),1,
MATCH(1,INDEX((LEN(INDIRECT("'シフト一覧（転載）'!"&amp;AC38&amp;":AK100"))&gt;0)
*(INDIRECT("'シフト一覧（転載）'!"&amp;AC38&amp;":AK100")&lt;&gt;"休み"),1,0),0)),0),""),$E$9&amp;"保育無し")</f>
        <v>0</v>
      </c>
      <c r="AE38" s="21">
        <f t="array" aca="1" ref="AE38" ca="1">IFERROR(IF(AC38&lt;&gt;0,ADDRESS(ROW(INDIRECT(AC38)),
    COLUMN(INDIRECT(AC38)) - 1 +
    MATCH(1,INDEX((LEN(INDIRECT("'シフト一覧（転載）'!"&amp;AC38&amp;":AK100"))&gt;0)
            *(INDIRECT("'シフト一覧（転載）'!"&amp;AC38&amp;":AK100")&lt;&gt;"休み"),
            1,0),0)+1,4),0),"")</f>
        <v>0</v>
      </c>
      <c r="AF38" s="21">
        <f t="array" aca="1" ref="AF38" ca="1">IFERROR(IF(AE38&lt;&gt;"",IF(AE38&lt;&gt;0,INDEX(
INDIRECT("'シフト一覧（転載）'!"&amp;AE38&amp;":AK100"),1,
MATCH(1,INDEX((LEN(INDIRECT("'シフト一覧（転載）'!"&amp;AE38&amp;":AK100"))&gt;0)
*(INDIRECT("'シフト一覧（転載）'!"&amp;AE38&amp;":AK100")&lt;&gt;"休み"),1,0),0)),0),""),$E$9&amp;"保育無し")</f>
        <v>0</v>
      </c>
      <c r="AG38" s="21">
        <f t="array" aca="1" ref="AG38" ca="1">IFERROR(IF(AE38&lt;&gt;0,ADDRESS(ROW(INDIRECT(AE38)),
    COLUMN(INDIRECT(AE38)) - 1 +
    MATCH(1,INDEX((LEN(INDIRECT("'シフト一覧（転載）'!"&amp;AE38&amp;":AK100"))&gt;0)
            *(INDIRECT("'シフト一覧（転載）'!"&amp;AE38&amp;":AK100")&lt;&gt;"休み"),
            1,0),0)+1,4),0),"")</f>
        <v>0</v>
      </c>
      <c r="AH38" s="21">
        <f t="array" aca="1" ref="AH38" ca="1">IFERROR(IF(AG38&lt;&gt;"",IF(AG38&lt;&gt;0,INDEX(
INDIRECT("'シフト一覧（転載）'!"&amp;AG38&amp;":AK100"),1,
MATCH(1,INDEX((LEN(INDIRECT("'シフト一覧（転載）'!"&amp;AG38&amp;":AK100"))&gt;0)
*(INDIRECT("'シフト一覧（転載）'!"&amp;AG38&amp;":AK100")&lt;&gt;"休み"),1,0),0)),0),""),$E$9&amp;"保育無し")</f>
        <v>0</v>
      </c>
      <c r="AI38" s="21">
        <f t="array" aca="1" ref="AI38" ca="1">IFERROR(IF(AG38&lt;&gt;0,ADDRESS(ROW(INDIRECT(AG38)),
    COLUMN(INDIRECT(AG38)) - 1 +
    MATCH(1,INDEX((LEN(INDIRECT("'シフト一覧（転載）'!"&amp;AG38&amp;":AK100"))&gt;0)
            *(INDIRECT("'シフト一覧（転載）'!"&amp;AG38&amp;":AK100")&lt;&gt;"休み"),
            1,0),0)+1,4),0),"")</f>
        <v>0</v>
      </c>
      <c r="AJ38" s="21">
        <f t="array" aca="1" ref="AJ38" ca="1">IFERROR(IF(AI38&lt;&gt;"",IF(AI38&lt;&gt;0,INDEX(
INDIRECT("'シフト一覧（転載）'!"&amp;AI38&amp;":AK100"),1,
MATCH(1,INDEX((LEN(INDIRECT("'シフト一覧（転載）'!"&amp;AI38&amp;":AK100"))&gt;0)
*(INDIRECT("'シフト一覧（転載）'!"&amp;AI38&amp;":AK100")&lt;&gt;"休み"),1,0),0)),0),""),$E$9&amp;"保育無し")</f>
        <v>0</v>
      </c>
      <c r="AK38" s="21">
        <f t="array" aca="1" ref="AK38" ca="1">IFERROR(IF(AI38&lt;&gt;0,ADDRESS(ROW(INDIRECT(AI38)),
    COLUMN(INDIRECT(AI38)) - 1 +
    MATCH(1,INDEX((LEN(INDIRECT("'シフト一覧（転載）'!"&amp;AI38&amp;":AK100"))&gt;0)
            *(INDIRECT("'シフト一覧（転載）'!"&amp;AI38&amp;":AK100")&lt;&gt;"休み"),
            1,0),0)+1,4),0),"")</f>
        <v>0</v>
      </c>
      <c r="AL38" s="21">
        <f t="array" aca="1" ref="AL38" ca="1">IFERROR(IF(AK38&lt;&gt;"",IF(AK38&lt;&gt;0,INDEX(
INDIRECT("'シフト一覧（転載）'!"&amp;AK38&amp;":AK100"),1,
MATCH(1,INDEX((LEN(INDIRECT("'シフト一覧（転載）'!"&amp;AK38&amp;":AK100"))&gt;0)
*(INDIRECT("'シフト一覧（転載）'!"&amp;AK38&amp;":AK100")&lt;&gt;"休み"),1,0),0)),0),""),$E$9&amp;"保育無し")</f>
        <v>0</v>
      </c>
      <c r="AM38" s="21">
        <f t="array" aca="1" ref="AM38" ca="1">IFERROR(IF(AK38&lt;&gt;0,ADDRESS(ROW(INDIRECT(AK38)),
    COLUMN(INDIRECT(AK38)) - 1 +
    MATCH(1,INDEX((LEN(INDIRECT("'シフト一覧（転載）'!"&amp;AK38&amp;":AK100"))&gt;0)
            *(INDIRECT("'シフト一覧（転載）'!"&amp;AK38&amp;":AK100")&lt;&gt;"休み"),
            1,0),0)+1,4),0),"")</f>
        <v>0</v>
      </c>
      <c r="AN38" s="21">
        <f t="array" aca="1" ref="AN38" ca="1">IFERROR(IF(AM38&lt;&gt;"",IF(AM38&lt;&gt;0,INDEX(
INDIRECT("'シフト一覧（転載）'!"&amp;AM38&amp;":AK100"),1,
MATCH(1,INDEX((LEN(INDIRECT("'シフト一覧（転載）'!"&amp;AM38&amp;":AK100"))&gt;0)
*(INDIRECT("'シフト一覧（転載）'!"&amp;AM38&amp;":AK100")&lt;&gt;"休み"),1,0),0)),0),""),$E$9&amp;"保育無し")</f>
        <v>0</v>
      </c>
      <c r="AO38" s="21">
        <f t="array" aca="1" ref="AO38" ca="1">IFERROR(IF(AM38&lt;&gt;0,ADDRESS(ROW(INDIRECT(AM38)),
    COLUMN(INDIRECT(AM38)) - 1 +
    MATCH(1,INDEX((LEN(INDIRECT("'シフト一覧（転載）'!"&amp;AM38&amp;":AK100"))&gt;0)
            *(INDIRECT("'シフト一覧（転載）'!"&amp;AM38&amp;":AK100")&lt;&gt;"休み"),
            1,0),0)+1,4),0),"")</f>
        <v>0</v>
      </c>
      <c r="AP38" s="21">
        <f t="array" aca="1" ref="AP38" ca="1">IFERROR(IF(AO38&lt;&gt;"",IF(AO38&lt;&gt;0,INDEX(
INDIRECT("'シフト一覧（転載）'!"&amp;AO38&amp;":AK100"),1,
MATCH(1,INDEX((LEN(INDIRECT("'シフト一覧（転載）'!"&amp;AO38&amp;":AK100"))&gt;0)
*(INDIRECT("'シフト一覧（転載）'!"&amp;AO38&amp;":AK100")&lt;&gt;"休み"),1,0),0)),0),""),$E$9&amp;"保育無し")</f>
        <v>0</v>
      </c>
      <c r="AQ38" s="21">
        <f t="array" aca="1" ref="AQ38" ca="1">IFERROR(IF(AO38&lt;&gt;0,ADDRESS(ROW(INDIRECT(AO38)),
    COLUMN(INDIRECT(AO38)) - 1 +
    MATCH(1,INDEX((LEN(INDIRECT("'シフト一覧（転載）'!"&amp;AO38&amp;":AK100"))&gt;0)
            *(INDIRECT("'シフト一覧（転載）'!"&amp;AO38&amp;":AK100")&lt;&gt;"休み"),
            1,0),0)+1,4),0),"")</f>
        <v>0</v>
      </c>
      <c r="AR38" s="21">
        <f t="array" aca="1" ref="AR38" ca="1">IFERROR(IF(AQ38&lt;&gt;"",IF(AQ38&lt;&gt;0,INDEX(
INDIRECT("'シフト一覧（転載）'!"&amp;AQ38&amp;":AK100"),1,
MATCH(1,INDEX((LEN(INDIRECT("'シフト一覧（転載）'!"&amp;AQ38&amp;":AK100"))&gt;0)
*(INDIRECT("'シフト一覧（転載）'!"&amp;AQ38&amp;":AK100")&lt;&gt;"休み"),1,0),0)),0),""),$E$9&amp;"保育無し")</f>
        <v>0</v>
      </c>
      <c r="AS38" s="21">
        <f t="array" aca="1" ref="AS38" ca="1">IFERROR(IF(AQ38&lt;&gt;0,ADDRESS(ROW(INDIRECT(AQ38)),
    COLUMN(INDIRECT(AQ38)) - 1 +
    MATCH(1,INDEX((LEN(INDIRECT("'シフト一覧（転載）'!"&amp;AQ38&amp;":AK100"))&gt;0)
            *(INDIRECT("'シフト一覧（転載）'!"&amp;AQ38&amp;":AK100")&lt;&gt;"休み"),
            1,0),0)+1,4),0),"")</f>
        <v>0</v>
      </c>
      <c r="AT38" s="21">
        <f t="array" aca="1" ref="AT38" ca="1">IFERROR(IF(AS38&lt;&gt;"",IF(AS38&lt;&gt;0,INDEX(
INDIRECT("'シフト一覧（転載）'!"&amp;AS38&amp;":AK100"),1,
MATCH(1,INDEX((LEN(INDIRECT("'シフト一覧（転載）'!"&amp;AS38&amp;":AK100"))&gt;0)
*(INDIRECT("'シフト一覧（転載）'!"&amp;AS38&amp;":AK100")&lt;&gt;"休み"),1,0),0)),0),""),$E$9&amp;"保育無し")</f>
        <v>0</v>
      </c>
      <c r="AU38" s="21">
        <f t="array" aca="1" ref="AU38" ca="1">IFERROR(IF(AS38&lt;&gt;0,ADDRESS(ROW(INDIRECT(AS38)),
    COLUMN(INDIRECT(AS38)) - 1 +
    MATCH(1,INDEX((LEN(INDIRECT("'シフト一覧（転載）'!"&amp;AS38&amp;":AK100"))&gt;0)
            *(INDIRECT("'シフト一覧（転載）'!"&amp;AS38&amp;":AK100")&lt;&gt;"休み"),
            1,0),0)+1,4),0),"")</f>
        <v>0</v>
      </c>
      <c r="AV38" s="21">
        <f t="array" aca="1" ref="AV38" ca="1">IFERROR(IF(AU38&lt;&gt;"",IF(AU38&lt;&gt;0,INDEX(
INDIRECT("'シフト一覧（転載）'!"&amp;AU38&amp;":AK100"),1,
MATCH(1,INDEX((LEN(INDIRECT("'シフト一覧（転載）'!"&amp;AU38&amp;":AK100"))&gt;0)
*(INDIRECT("'シフト一覧（転載）'!"&amp;AU38&amp;":AK100")&lt;&gt;"休み"),1,0),0)),0),""),$E$9&amp;"保育無し")</f>
        <v>0</v>
      </c>
      <c r="AW38" s="21">
        <f t="array" aca="1" ref="AW38" ca="1">IFERROR(IF(AU38&lt;&gt;0,ADDRESS(ROW(INDIRECT(AU38)),
    COLUMN(INDIRECT(AU38)) - 1 +
    MATCH(1,INDEX((LEN(INDIRECT("'シフト一覧（転載）'!"&amp;AU38&amp;":AK100"))&gt;0)
            *(INDIRECT("'シフト一覧（転載）'!"&amp;AU38&amp;":AK100")&lt;&gt;"休み"),
            1,0),0)+1,4),0),"")</f>
        <v>0</v>
      </c>
      <c r="AX38" s="21">
        <f t="array" aca="1" ref="AX38" ca="1">IFERROR(IF(AW38&lt;&gt;"",IF(AW38&lt;&gt;0,INDEX(
INDIRECT("'シフト一覧（転載）'!"&amp;AW38&amp;":AK100"),1,
MATCH(1,INDEX((LEN(INDIRECT("'シフト一覧（転載）'!"&amp;AW38&amp;":AK100"))&gt;0)
*(INDIRECT("'シフト一覧（転載）'!"&amp;AW38&amp;":AK100")&lt;&gt;"休み"),1,0),0)),0),""),$E$9&amp;"保育無し")</f>
        <v>0</v>
      </c>
      <c r="AY38" s="21">
        <f t="array" aca="1" ref="AY38" ca="1">IFERROR(IF(AW38&lt;&gt;0,ADDRESS(ROW(INDIRECT(AW38)),
    COLUMN(INDIRECT(AW38)) - 1 +
    MATCH(1,INDEX((LEN(INDIRECT("'シフト一覧（転載）'!"&amp;AW38&amp;":AK100"))&gt;0)
            *(INDIRECT("'シフト一覧（転載）'!"&amp;AW38&amp;":AK100")&lt;&gt;"休み"),
            1,0),0)+1,4),0),"")</f>
        <v>0</v>
      </c>
      <c r="AZ38" s="21">
        <f t="array" aca="1" ref="AZ38" ca="1">IFERROR(IF(AY38&lt;&gt;"",IF(AY38&lt;&gt;0,INDEX(
INDIRECT("'シフト一覧（転載）'!"&amp;AY38&amp;":AK100"),1,
MATCH(1,INDEX((LEN(INDIRECT("'シフト一覧（転載）'!"&amp;AY38&amp;":AK100"))&gt;0)
*(INDIRECT("'シフト一覧（転載）'!"&amp;AY38&amp;":AK100")&lt;&gt;"休み"),1,0),0)),0),""),$E$9&amp;"保育無し")</f>
        <v>0</v>
      </c>
      <c r="BA38" s="21">
        <f t="array" aca="1" ref="BA38" ca="1">IFERROR(IF(AY38&lt;&gt;0,ADDRESS(ROW(INDIRECT(AY38)),
    COLUMN(INDIRECT(AY38)) - 1 +
    MATCH(1,INDEX((LEN(INDIRECT("'シフト一覧（転載）'!"&amp;AY38&amp;":AK100"))&gt;0)
            *(INDIRECT("'シフト一覧（転載）'!"&amp;AY38&amp;":AK100")&lt;&gt;"休み"),
            1,0),0)+1,4),0),"")</f>
        <v>0</v>
      </c>
      <c r="BB38" s="21">
        <f t="array" aca="1" ref="BB38" ca="1">IFERROR(IF(BA38&lt;&gt;"",IF(BA38&lt;&gt;0,INDEX(
INDIRECT("'シフト一覧（転載）'!"&amp;BA38&amp;":AK100"),1,
MATCH(1,INDEX((LEN(INDIRECT("'シフト一覧（転載）'!"&amp;BA38&amp;":AK100"))&gt;0)
*(INDIRECT("'シフト一覧（転載）'!"&amp;BA38&amp;":AK100")&lt;&gt;"休み"),1,0),0)),0),""),$E$9&amp;"保育無し")</f>
        <v>0</v>
      </c>
      <c r="BC38" s="21">
        <f t="array" aca="1" ref="BC38" ca="1">IFERROR(IF(BA38&lt;&gt;0,ADDRESS(ROW(INDIRECT(BA38)),
    COLUMN(INDIRECT(BA38)) - 1 +
    MATCH(1,INDEX((LEN(INDIRECT("'シフト一覧（転載）'!"&amp;BA38&amp;":AK100"))&gt;0)
            *(INDIRECT("'シフト一覧（転載）'!"&amp;BA38&amp;":AK100")&lt;&gt;"休み"),
            1,0),0)+1,4),0),"")</f>
        <v>0</v>
      </c>
      <c r="BD38" s="21">
        <f t="array" aca="1" ref="BD38" ca="1">IFERROR(IF(BC38&lt;&gt;"",IF(BC38&lt;&gt;0,INDEX(
INDIRECT("'シフト一覧（転載）'!"&amp;BC38&amp;":AK100"),1,
MATCH(1,INDEX((LEN(INDIRECT("'シフト一覧（転載）'!"&amp;BC38&amp;":AK100"))&gt;0)
*(INDIRECT("'シフト一覧（転載）'!"&amp;BC38&amp;":AK100")&lt;&gt;"休み"),1,0),0)),0),""),$E$9&amp;"保育無し")</f>
        <v>0</v>
      </c>
      <c r="BE38" s="21">
        <f t="array" aca="1" ref="BE38" ca="1">IFERROR(IF(BC38&lt;&gt;0,ADDRESS(ROW(INDIRECT(BC38)),
    COLUMN(INDIRECT(BC38)) - 1 +
    MATCH(1,INDEX((LEN(INDIRECT("'シフト一覧（転載）'!"&amp;BC38&amp;":AK100"))&gt;0)
            *(INDIRECT("'シフト一覧（転載）'!"&amp;BC38&amp;":AK100")&lt;&gt;"休み"),
            1,0),0)+1,4),0),"")</f>
        <v>0</v>
      </c>
      <c r="BF38" s="21">
        <f t="array" aca="1" ref="BF38" ca="1">IFERROR(IF(BE38&lt;&gt;"",IF(BE38&lt;&gt;0,INDEX(
INDIRECT("'シフト一覧（転載）'!"&amp;BE38&amp;":AK100"),1,
MATCH(1,INDEX((LEN(INDIRECT("'シフト一覧（転載）'!"&amp;BE38&amp;":AK100"))&gt;0)
*(INDIRECT("'シフト一覧（転載）'!"&amp;BE38&amp;":AK100")&lt;&gt;"休み"),1,0),0)),0),""),$E$9&amp;"保育無し")</f>
        <v>0</v>
      </c>
      <c r="BG38" s="21">
        <f t="array" aca="1" ref="BG38" ca="1">IFERROR(IF(BE38&lt;&gt;0,ADDRESS(ROW(INDIRECT(BE38)),
    COLUMN(INDIRECT(BE38)) - 1 +
    MATCH(1,INDEX((LEN(INDIRECT("'シフト一覧（転載）'!"&amp;BE38&amp;":AK100"))&gt;0)
            *(INDIRECT("'シフト一覧（転載）'!"&amp;BE38&amp;":AK100")&lt;&gt;"休み"),
            1,0),0)+1,4),0),"")</f>
        <v>0</v>
      </c>
      <c r="BH38" s="21">
        <f t="array" aca="1" ref="BH38" ca="1">IFERROR(IF(BG38&lt;&gt;"",IF(BG38&lt;&gt;0,INDEX(
INDIRECT("'シフト一覧（転載）'!"&amp;BG38&amp;":AK100"),1,
MATCH(1,INDEX((LEN(INDIRECT("'シフト一覧（転載）'!"&amp;BG38&amp;":AK100"))&gt;0)
*(INDIRECT("'シフト一覧（転載）'!"&amp;BG38&amp;":AK100")&lt;&gt;"休み"),1,0),0)),0),""),$E$9&amp;"保育無し")</f>
        <v>0</v>
      </c>
      <c r="BI38" s="21">
        <f t="array" aca="1" ref="BI38" ca="1">IFERROR(IF(BG38&lt;&gt;0,ADDRESS(ROW(INDIRECT(BG38)),
    COLUMN(INDIRECT(BG38)) - 1 +
    MATCH(1,INDEX((LEN(INDIRECT("'シフト一覧（転載）'!"&amp;BG38&amp;":AK100"))&gt;0)
            *(INDIRECT("'シフト一覧（転載）'!"&amp;BG38&amp;":AK100")&lt;&gt;"休み"),
            1,0),0)+1,4),0),"")</f>
        <v>0</v>
      </c>
      <c r="BJ38" s="21">
        <f t="array" aca="1" ref="BJ38" ca="1">IFERROR(IF(BI38&lt;&gt;"",IF(BI38&lt;&gt;0,INDEX(
INDIRECT("'シフト一覧（転載）'!"&amp;BI38&amp;":AK100"),1,
MATCH(1,INDEX((LEN(INDIRECT("'シフト一覧（転載）'!"&amp;BI38&amp;":AK100"))&gt;0)
*(INDIRECT("'シフト一覧（転載）'!"&amp;BI38&amp;":AK100")&lt;&gt;"休み"),1,0),0)),0),""),$E$9&amp;"保育無し")</f>
        <v>0</v>
      </c>
      <c r="BK38" s="21">
        <f t="array" aca="1" ref="BK38" ca="1">IFERROR(IF(BI38&lt;&gt;0,ADDRESS(ROW(INDIRECT(BI38)),
    COLUMN(INDIRECT(BI38)) - 1 +
    MATCH(1,INDEX((LEN(INDIRECT("'シフト一覧（転載）'!"&amp;BI38&amp;":AK100"))&gt;0)
            *(INDIRECT("'シフト一覧（転載）'!"&amp;BI38&amp;":AK100")&lt;&gt;"休み"),
            1,0),0)+1,4),0),"")</f>
        <v>0</v>
      </c>
      <c r="BL38" s="21">
        <f t="array" aca="1" ref="BL38" ca="1">IFERROR(IF(BK38&lt;&gt;"",IF(BK38&lt;&gt;0,INDEX(
INDIRECT("'シフト一覧（転載）'!"&amp;BK38&amp;":AK100"),1,
MATCH(1,INDEX((LEN(INDIRECT("'シフト一覧（転載）'!"&amp;BK38&amp;":AK100"))&gt;0)
*(INDIRECT("'シフト一覧（転載）'!"&amp;BK38&amp;":AK100")&lt;&gt;"休み"),1,0),0)),0),""),$E$9&amp;"保育無し")</f>
        <v>0</v>
      </c>
      <c r="BM38" s="21">
        <f t="array" aca="1" ref="BM38" ca="1">IFERROR(IF(BK38&lt;&gt;0,ADDRESS(ROW(INDIRECT(BK38)),
    COLUMN(INDIRECT(BK38)) - 1 +
    MATCH(1,INDEX((LEN(INDIRECT("'シフト一覧（転載）'!"&amp;BK38&amp;":AK100"))&gt;0)
            *(INDIRECT("'シフト一覧（転載）'!"&amp;BK38&amp;":AK100")&lt;&gt;"休み"),
            1,0),0)+1,4),0),"")</f>
        <v>0</v>
      </c>
      <c r="BN38" s="21">
        <f t="array" aca="1" ref="BN38" ca="1">IFERROR(IF(BM38&lt;&gt;"",IF(BM38&lt;&gt;0,INDEX(
INDIRECT("'シフト一覧（転載）'!"&amp;BM38&amp;":AK100"),1,
MATCH(1,INDEX((LEN(INDIRECT("'シフト一覧（転載）'!"&amp;BM38&amp;":AK100"))&gt;0)
*(INDIRECT("'シフト一覧（転載）'!"&amp;BM38&amp;":AK100")&lt;&gt;"休み"),1,0),0)),0),""),$E$9&amp;"保育無し")</f>
        <v>0</v>
      </c>
      <c r="BO38" s="21">
        <f t="array" aca="1" ref="BO38" ca="1">IFERROR(IF(BM38&lt;&gt;0,ADDRESS(ROW(INDIRECT(BM38)),
    COLUMN(INDIRECT(BM38)) - 1 +
    MATCH(1,INDEX((LEN(INDIRECT("'シフト一覧（転載）'!"&amp;BM38&amp;":AK100"))&gt;0)
            *(INDIRECT("'シフト一覧（転載）'!"&amp;BM38&amp;":AK100")&lt;&gt;"休み"),
            1,0),0)+1,4),0),"")</f>
        <v>0</v>
      </c>
      <c r="BP38" s="21">
        <f t="array" aca="1" ref="BP38" ca="1">IFERROR(IF(BO38&lt;&gt;"",IF(BO38&lt;&gt;0,INDEX(
INDIRECT("'シフト一覧（転載）'!"&amp;BO38&amp;":AK100"),1,
MATCH(1,INDEX((LEN(INDIRECT("'シフト一覧（転載）'!"&amp;BO38&amp;":AK100"))&gt;0)
*(INDIRECT("'シフト一覧（転載）'!"&amp;BO38&amp;":AK100")&lt;&gt;"休み"),1,0),0)),0),""),$E$9&amp;"保育無し")</f>
        <v>0</v>
      </c>
      <c r="BQ38" s="21">
        <f t="array" aca="1" ref="BQ38" ca="1">IFERROR(IF(BO38&lt;&gt;0,ADDRESS(ROW(INDIRECT(BO38)),
    COLUMN(INDIRECT(BO38)) - 1 +
    MATCH(1,INDEX((LEN(INDIRECT("'シフト一覧（転載）'!"&amp;BO38&amp;":AK100"))&gt;0)
            *(INDIRECT("'シフト一覧（転載）'!"&amp;BO38&amp;":AK100")&lt;&gt;"休み"),
            1,0),0)+1,4),0),"")</f>
        <v>0</v>
      </c>
      <c r="BR38" s="21">
        <f t="array" aca="1" ref="BR38" ca="1">IFERROR(IF(BQ38&lt;&gt;"",IF(BQ38&lt;&gt;0,INDEX(
INDIRECT("'シフト一覧（転載）'!"&amp;BQ38&amp;":AK100"),1,
MATCH(1,INDEX((LEN(INDIRECT("'シフト一覧（転載）'!"&amp;BQ38&amp;":AK100"))&gt;0)
*(INDIRECT("'シフト一覧（転載）'!"&amp;BQ38&amp;":AK100")&lt;&gt;"休み"),1,0),0)),0),""),$E$9&amp;"保育無し")</f>
        <v>0</v>
      </c>
      <c r="BS38" s="21">
        <f t="array" aca="1" ref="BS38" ca="1">IFERROR(IF(BQ38&lt;&gt;0,ADDRESS(ROW(INDIRECT(BQ38)),
    COLUMN(INDIRECT(BQ38)) - 1 +
    MATCH(1,INDEX((LEN(INDIRECT("'シフト一覧（転載）'!"&amp;BQ38&amp;":AK100"))&gt;0)
            *(INDIRECT("'シフト一覧（転載）'!"&amp;BQ38&amp;":AK100")&lt;&gt;"休み"),
            1,0),0)+1,4),0),"")</f>
        <v>0</v>
      </c>
      <c r="BT38" s="21">
        <f t="array" aca="1" ref="BT38" ca="1">IFERROR(IF(BS38&lt;&gt;"",IF(BS38&lt;&gt;0,INDEX(
INDIRECT("'シフト一覧（転載）'!"&amp;BS38&amp;":AK100"),1,
MATCH(1,INDEX((LEN(INDIRECT("'シフト一覧（転載）'!"&amp;BS38&amp;":AK100"))&gt;0)
*(INDIRECT("'シフト一覧（転載）'!"&amp;BS38&amp;":AK100")&lt;&gt;"休み"),1,0),0)),0),""),$E$9&amp;"保育無し")</f>
        <v>0</v>
      </c>
      <c r="BU38" s="21">
        <f t="array" aca="1" ref="BU38" ca="1">IFERROR(IF(BS38&lt;&gt;0,ADDRESS(ROW(INDIRECT(BS38)),
    COLUMN(INDIRECT(BS38)) - 1 +
    MATCH(1,INDEX((LEN(INDIRECT("'シフト一覧（転載）'!"&amp;BS38&amp;":AK100"))&gt;0)
            *(INDIRECT("'シフト一覧（転載）'!"&amp;BS38&amp;":AK100")&lt;&gt;"休み"),
            1,0),0)+1,4),0),"")</f>
        <v>0</v>
      </c>
      <c r="BV38" s="21">
        <f t="array" aca="1" ref="BV38" ca="1">IFERROR(IF(BU38&lt;&gt;"",IF(BU38&lt;&gt;0,INDEX(
INDIRECT("'シフト一覧（転載）'!"&amp;BU38&amp;":AK100"),1,
MATCH(1,INDEX((LEN(INDIRECT("'シフト一覧（転載）'!"&amp;BU38&amp;":AK100"))&gt;0)
*(INDIRECT("'シフト一覧（転載）'!"&amp;BU38&amp;":AK100")&lt;&gt;"休み"),1,0),0)),0),""),$E$9&amp;"保育無し")</f>
        <v>0</v>
      </c>
      <c r="BW38" s="21">
        <f t="array" aca="1" ref="BW38" ca="1">IFERROR(IF(BU38&lt;&gt;0,ADDRESS(ROW(INDIRECT(BU38)),
    COLUMN(INDIRECT(BU38)) - 1 +
    MATCH(1,INDEX((LEN(INDIRECT("'シフト一覧（転載）'!"&amp;BU38&amp;":AK100"))&gt;0)
            *(INDIRECT("'シフト一覧（転載）'!"&amp;BU38&amp;":AK100")&lt;&gt;"休み"),
            1,0),0)+1,4),0),"")</f>
        <v>0</v>
      </c>
      <c r="BX38" s="21">
        <f t="array" aca="1" ref="BX38" ca="1">IFERROR(IF(BW38&lt;&gt;"",IF(BW38&lt;&gt;0,INDEX(
INDIRECT("'シフト一覧（転載）'!"&amp;BW38&amp;":AK100"),1,
MATCH(1,INDEX((LEN(INDIRECT("'シフト一覧（転載）'!"&amp;BW38&amp;":AK100"))&gt;0)
*(INDIRECT("'シフト一覧（転載）'!"&amp;BW38&amp;":AK100")&lt;&gt;"休み"),1,0),0)),0),""),$E$9&amp;"保育無し")</f>
        <v>0</v>
      </c>
      <c r="BY38" s="21">
        <f t="array" aca="1" ref="BY38" ca="1">IFERROR(IF(BW38&lt;&gt;0,ADDRESS(ROW(INDIRECT(BW38)),
    COLUMN(INDIRECT(BW38)) - 1 +
    MATCH(1,INDEX((LEN(INDIRECT("'シフト一覧（転載）'!"&amp;BW38&amp;":AK100"))&gt;0)
            *(INDIRECT("'シフト一覧（転載）'!"&amp;BW38&amp;":AK100")&lt;&gt;"休み"),
            1,0),0)+1,4),0),"")</f>
        <v>0</v>
      </c>
    </row>
    <row r="39" spans="13:77" ht="19.2" customHeight="1" x14ac:dyDescent="0.2">
      <c r="M39" s="93"/>
      <c r="N39" s="91"/>
      <c r="O39" s="95"/>
      <c r="P39" s="22">
        <f t="array" aca="1" ref="P39" ca="1">IFERROR(IF(M38&lt;&gt;"",INDEX('シフト一覧（転載）'!$F$8:$AK$100,
    MATCH(1,(ISNUMBER(SEARCH(M38,'シフト一覧（転載）'!$A$8:$A$100)))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MATCH(1,(ISNUMBER(SEARCH(M38,'シフト一覧（転載）'!$A$8:$A$100)))
                *(ISNUMBER(SEARCH($E$9,'シフト一覧（転載）'!$B$8:$B$100))),
                0),0),0)),0),"")</f>
        <v>0</v>
      </c>
      <c r="Q39" s="22">
        <f ca="1">IF(P38=0,0,
IF(OR(P38="",COUNTIF(P38,"*保育無し*")),"",
IF(MOD(P39-P38,1)*24&gt;=8,1,
IF(MOD(P39-P38,1)*24&gt;=6,0.75,0))))</f>
        <v>0</v>
      </c>
      <c r="R39" s="22">
        <f t="array" aca="1" ref="R39" ca="1">IFERROR(IF(Q38&lt;&gt;0,INDEX(
INDIRECT("'シフト一覧（転載）'!"&amp;Q38&amp;":AK100"),1+1,
MATCH(1,INDEX((LEN(INDIRECT("'シフト一覧（転載）'!"&amp;Q38&amp;":AK100"))&gt;0)
*(INDIRECT("'シフト一覧（転載）'!"&amp;Q38&amp;":AK100")&lt;&gt;"休み"),1,0),0)),0),"")</f>
        <v>0</v>
      </c>
      <c r="S39" s="22">
        <f ca="1">IF(R38=0,0,
IF(OR(R38="",COUNTIF(R38,"*保育無し*")),"",
IF(MOD(R39-R38,1)*24&gt;=8,1,
IF(MOD(R39-R38,1)*24&gt;=6,0.75,0))))</f>
        <v>0</v>
      </c>
      <c r="T39" s="22">
        <f t="array" aca="1" ref="T39" ca="1">IFERROR(IF(S38&lt;&gt;0,INDEX(
INDIRECT("'シフト一覧（転載）'!"&amp;S38&amp;":AK100"),1+1,
MATCH(1,INDEX((LEN(INDIRECT("'シフト一覧（転載）'!"&amp;S38&amp;":AK100"))&gt;0)
*(INDIRECT("'シフト一覧（転載）'!"&amp;S38&amp;":AK100")&lt;&gt;"休み"),1,0),0)),0),"")</f>
        <v>0</v>
      </c>
      <c r="U39" s="22">
        <f ca="1">IF(T38=0,0,
IF(OR(T38="",COUNTIF(T38,"*保育無し*")),"",
IF(MOD(T39-T38,1)*24&gt;=8,1,
IF(MOD(T39-T38,1)*24&gt;=6,0.75,0))))</f>
        <v>0</v>
      </c>
      <c r="V39" s="22">
        <f t="array" aca="1" ref="V39" ca="1">IFERROR(IF(U38&lt;&gt;0,INDEX(
INDIRECT("'シフト一覧（転載）'!"&amp;U38&amp;":AK100"),1+1,
MATCH(1,INDEX((LEN(INDIRECT("'シフト一覧（転載）'!"&amp;U38&amp;":AK100"))&gt;0)
*(INDIRECT("'シフト一覧（転載）'!"&amp;U38&amp;":AK100")&lt;&gt;"休み"),1,0),0)),0),"")</f>
        <v>0</v>
      </c>
      <c r="W39" s="22">
        <f ca="1">IF(V38=0,0,
IF(OR(V38="",COUNTIF(V38,"*保育無し*")),"",
IF(MOD(V39-V38,1)*24&gt;=8,1,
IF(MOD(V39-V38,1)*24&gt;=6,0.75,0))))</f>
        <v>0</v>
      </c>
      <c r="X39" s="22">
        <f t="array" aca="1" ref="X39" ca="1">IFERROR(IF(W38&lt;&gt;0,INDEX(
INDIRECT("'シフト一覧（転載）'!"&amp;W38&amp;":AK100"),1+1,
MATCH(1,INDEX((LEN(INDIRECT("'シフト一覧（転載）'!"&amp;W38&amp;":AK100"))&gt;0)
*(INDIRECT("'シフト一覧（転載）'!"&amp;W38&amp;":AK100")&lt;&gt;"休み"),1,0),0)),0),"")</f>
        <v>0</v>
      </c>
      <c r="Y39" s="22">
        <f ca="1">IF(X38=0,0,
IF(OR(X38="",COUNTIF(X38,"*保育無し*")),"",
IF(MOD(X39-X38,1)*24&gt;=8,1,
IF(MOD(X39-X38,1)*24&gt;=6,0.75,0))))</f>
        <v>0</v>
      </c>
      <c r="Z39" s="22">
        <f t="array" aca="1" ref="Z39" ca="1">IFERROR(IF(Y38&lt;&gt;0,INDEX(
INDIRECT("'シフト一覧（転載）'!"&amp;Y38&amp;":AK100"),1+1,
MATCH(1,INDEX((LEN(INDIRECT("'シフト一覧（転載）'!"&amp;Y38&amp;":AK100"))&gt;0)
*(INDIRECT("'シフト一覧（転載）'!"&amp;Y38&amp;":AK100")&lt;&gt;"休み"),1,0),0)),0),"")</f>
        <v>0</v>
      </c>
      <c r="AA39" s="22">
        <f ca="1">IF(Z38=0,0,
IF(OR(Z38="",COUNTIF(Z38,"*保育無し*")),"",
IF(MOD(Z39-Z38,1)*24&gt;=8,1,
IF(MOD(Z39-Z38,1)*24&gt;=6,0.75,0))))</f>
        <v>0</v>
      </c>
      <c r="AB39" s="22">
        <f t="array" aca="1" ref="AB39" ca="1">IFERROR(IF(AA38&lt;&gt;0,INDEX(
INDIRECT("'シフト一覧（転載）'!"&amp;AA38&amp;":AK100"),1+1,
MATCH(1,INDEX((LEN(INDIRECT("'シフト一覧（転載）'!"&amp;AA38&amp;":AK100"))&gt;0)
*(INDIRECT("'シフト一覧（転載）'!"&amp;AA38&amp;":AK100")&lt;&gt;"休み"),1,0),0)),0),"")</f>
        <v>0</v>
      </c>
      <c r="AC39" s="22">
        <f ca="1">IF(AB38=0,0,
IF(OR(AB38="",COUNTIF(AB38,"*保育無し*")),"",
IF(MOD(AB39-AB38,1)*24&gt;=8,1,
IF(MOD(AB39-AB38,1)*24&gt;=6,0.75,0))))</f>
        <v>0</v>
      </c>
      <c r="AD39" s="22">
        <f t="array" aca="1" ref="AD39" ca="1">IFERROR(IF(AC38&lt;&gt;0,INDEX(
INDIRECT("'シフト一覧（転載）'!"&amp;AC38&amp;":AK100"),1+1,
MATCH(1,INDEX((LEN(INDIRECT("'シフト一覧（転載）'!"&amp;AC38&amp;":AK100"))&gt;0)
*(INDIRECT("'シフト一覧（転載）'!"&amp;AC38&amp;":AK100")&lt;&gt;"休み"),1,0),0)),0),"")</f>
        <v>0</v>
      </c>
      <c r="AE39" s="22">
        <f ca="1">IF(AD38=0,0,
IF(OR(AD38="",COUNTIF(AD38,"*保育無し*")),"",
IF(MOD(AD39-AD38,1)*24&gt;=8,1,
IF(MOD(AD39-AD38,1)*24&gt;=6,0.75,0))))</f>
        <v>0</v>
      </c>
      <c r="AF39" s="22">
        <f t="array" aca="1" ref="AF39" ca="1">IFERROR(IF(AE38&lt;&gt;0,INDEX(
INDIRECT("'シフト一覧（転載）'!"&amp;AE38&amp;":AK100"),1+1,
MATCH(1,INDEX((LEN(INDIRECT("'シフト一覧（転載）'!"&amp;AE38&amp;":AK100"))&gt;0)
*(INDIRECT("'シフト一覧（転載）'!"&amp;AE38&amp;":AK100")&lt;&gt;"休み"),1,0),0)),0),"")</f>
        <v>0</v>
      </c>
      <c r="AG39" s="22">
        <f ca="1">IF(AF38=0,0,
IF(OR(AF38="",COUNTIF(AF38,"*保育無し*")),"",
IF(MOD(AF39-AF38,1)*24&gt;=8,1,
IF(MOD(AF39-AF38,1)*24&gt;=6,0.75,0))))</f>
        <v>0</v>
      </c>
      <c r="AH39" s="22">
        <f t="array" aca="1" ref="AH39" ca="1">IFERROR(IF(AG38&lt;&gt;0,INDEX(
INDIRECT("'シフト一覧（転載）'!"&amp;AG38&amp;":AK100"),1+1,
MATCH(1,INDEX((LEN(INDIRECT("'シフト一覧（転載）'!"&amp;AG38&amp;":AK100"))&gt;0)
*(INDIRECT("'シフト一覧（転載）'!"&amp;AG38&amp;":AK100")&lt;&gt;"休み"),1,0),0)),0),"")</f>
        <v>0</v>
      </c>
      <c r="AI39" s="22">
        <f ca="1">IF(AH38=0,0,
IF(OR(AH38="",COUNTIF(AH38,"*保育無し*")),"",
IF(MOD(AH39-AH38,1)*24&gt;=8,1,
IF(MOD(AH39-AH38,1)*24&gt;=6,0.75,0))))</f>
        <v>0</v>
      </c>
      <c r="AJ39" s="22">
        <f t="array" aca="1" ref="AJ39" ca="1">IFERROR(IF(AI38&lt;&gt;0,INDEX(
INDIRECT("'シフト一覧（転載）'!"&amp;AI38&amp;":AK100"),1+1,
MATCH(1,INDEX((LEN(INDIRECT("'シフト一覧（転載）'!"&amp;AI38&amp;":AK100"))&gt;0)
*(INDIRECT("'シフト一覧（転載）'!"&amp;AI38&amp;":AK100")&lt;&gt;"休み"),1,0),0)),0),"")</f>
        <v>0</v>
      </c>
      <c r="AK39" s="22">
        <f ca="1">IF(AJ38=0,0,
IF(OR(AJ38="",COUNTIF(AJ38,"*保育無し*")),"",
IF(MOD(AJ39-AJ38,1)*24&gt;=8,1,
IF(MOD(AJ39-AJ38,1)*24&gt;=6,0.75,0))))</f>
        <v>0</v>
      </c>
      <c r="AL39" s="22">
        <f t="array" aca="1" ref="AL39" ca="1">IFERROR(IF(AK38&lt;&gt;0,INDEX(
INDIRECT("'シフト一覧（転載）'!"&amp;AK38&amp;":AK100"),1+1,
MATCH(1,INDEX((LEN(INDIRECT("'シフト一覧（転載）'!"&amp;AK38&amp;":AK100"))&gt;0)
*(INDIRECT("'シフト一覧（転載）'!"&amp;AK38&amp;":AK100")&lt;&gt;"休み"),1,0),0)),0),"")</f>
        <v>0</v>
      </c>
      <c r="AM39" s="22">
        <f ca="1">IF(AL38=0,0,
IF(OR(AL38="",COUNTIF(AL38,"*保育無し*")),"",
IF(MOD(AL39-AL38,1)*24&gt;=8,1,
IF(MOD(AL39-AL38,1)*24&gt;=6,0.75,0))))</f>
        <v>0</v>
      </c>
      <c r="AN39" s="22">
        <f t="array" aca="1" ref="AN39" ca="1">IFERROR(IF(AM38&lt;&gt;0,INDEX(
INDIRECT("'シフト一覧（転載）'!"&amp;AM38&amp;":AK100"),1+1,
MATCH(1,INDEX((LEN(INDIRECT("'シフト一覧（転載）'!"&amp;AM38&amp;":AK100"))&gt;0)
*(INDIRECT("'シフト一覧（転載）'!"&amp;AM38&amp;":AK100")&lt;&gt;"休み"),1,0),0)),0),"")</f>
        <v>0</v>
      </c>
      <c r="AO39" s="22">
        <f ca="1">IF(AN38=0,0,
IF(OR(AN38="",COUNTIF(AN38,"*保育無し*")),"",
IF(MOD(AN39-AN38,1)*24&gt;=8,1,
IF(MOD(AN39-AN38,1)*24&gt;=6,0.75,0))))</f>
        <v>0</v>
      </c>
      <c r="AP39" s="22">
        <f t="array" aca="1" ref="AP39" ca="1">IFERROR(IF(AO38&lt;&gt;0,INDEX(
INDIRECT("'シフト一覧（転載）'!"&amp;AO38&amp;":AK100"),1+1,
MATCH(1,INDEX((LEN(INDIRECT("'シフト一覧（転載）'!"&amp;AO38&amp;":AK100"))&gt;0)
*(INDIRECT("'シフト一覧（転載）'!"&amp;AO38&amp;":AK100")&lt;&gt;"休み"),1,0),0)),0),"")</f>
        <v>0</v>
      </c>
      <c r="AQ39" s="22">
        <f ca="1">IF(AP38=0,0,
IF(OR(AP38="",COUNTIF(AP38,"*保育無し*")),"",
IF(MOD(AP39-AP38,1)*24&gt;=8,1,
IF(MOD(AP39-AP38,1)*24&gt;=6,0.75,0))))</f>
        <v>0</v>
      </c>
      <c r="AR39" s="22">
        <f t="array" aca="1" ref="AR39" ca="1">IFERROR(IF(AQ38&lt;&gt;0,INDEX(
INDIRECT("'シフト一覧（転載）'!"&amp;AQ38&amp;":AK100"),1+1,
MATCH(1,INDEX((LEN(INDIRECT("'シフト一覧（転載）'!"&amp;AQ38&amp;":AK100"))&gt;0)
*(INDIRECT("'シフト一覧（転載）'!"&amp;AQ38&amp;":AK100")&lt;&gt;"休み"),1,0),0)),0),"")</f>
        <v>0</v>
      </c>
      <c r="AS39" s="22">
        <f ca="1">IF(AR38=0,0,
IF(OR(AR38="",COUNTIF(AR38,"*保育無し*")),"",
IF(MOD(AR39-AR38,1)*24&gt;=8,1,
IF(MOD(AR39-AR38,1)*24&gt;=6,0.75,0))))</f>
        <v>0</v>
      </c>
      <c r="AT39" s="22">
        <f t="array" aca="1" ref="AT39" ca="1">IFERROR(IF(AS38&lt;&gt;0,INDEX(
INDIRECT("'シフト一覧（転載）'!"&amp;AS38&amp;":AK100"),1+1,
MATCH(1,INDEX((LEN(INDIRECT("'シフト一覧（転載）'!"&amp;AS38&amp;":AK100"))&gt;0)
*(INDIRECT("'シフト一覧（転載）'!"&amp;AS38&amp;":AK100")&lt;&gt;"休み"),1,0),0)),0),"")</f>
        <v>0</v>
      </c>
      <c r="AU39" s="22">
        <f ca="1">IF(AT38=0,0,
IF(OR(AT38="",COUNTIF(AT38,"*保育無し*")),"",
IF(MOD(AT39-AT38,1)*24&gt;=8,1,
IF(MOD(AT39-AT38,1)*24&gt;=6,0.75,0))))</f>
        <v>0</v>
      </c>
      <c r="AV39" s="22">
        <f t="array" aca="1" ref="AV39" ca="1">IFERROR(IF(AU38&lt;&gt;0,INDEX(
INDIRECT("'シフト一覧（転載）'!"&amp;AU38&amp;":AK100"),1+1,
MATCH(1,INDEX((LEN(INDIRECT("'シフト一覧（転載）'!"&amp;AU38&amp;":AK100"))&gt;0)
*(INDIRECT("'シフト一覧（転載）'!"&amp;AU38&amp;":AK100")&lt;&gt;"休み"),1,0),0)),0),"")</f>
        <v>0</v>
      </c>
      <c r="AW39" s="22">
        <f ca="1">IF(AV38=0,0,
IF(OR(AV38="",COUNTIF(AV38,"*保育無し*")),"",
IF(MOD(AV39-AV38,1)*24&gt;=8,1,
IF(MOD(AV39-AV38,1)*24&gt;=6,0.75,0))))</f>
        <v>0</v>
      </c>
      <c r="AX39" s="22">
        <f t="array" aca="1" ref="AX39" ca="1">IFERROR(IF(AW38&lt;&gt;0,INDEX(
INDIRECT("'シフト一覧（転載）'!"&amp;AW38&amp;":AK100"),1+1,
MATCH(1,INDEX((LEN(INDIRECT("'シフト一覧（転載）'!"&amp;AW38&amp;":AK100"))&gt;0)
*(INDIRECT("'シフト一覧（転載）'!"&amp;AW38&amp;":AK100")&lt;&gt;"休み"),1,0),0)),0),"")</f>
        <v>0</v>
      </c>
      <c r="AY39" s="22">
        <f ca="1">IF(AX38=0,0,
IF(OR(AX38="",COUNTIF(AX38,"*保育無し*")),"",
IF(MOD(AX39-AX38,1)*24&gt;=8,1,
IF(MOD(AX39-AX38,1)*24&gt;=6,0.75,0))))</f>
        <v>0</v>
      </c>
      <c r="AZ39" s="22">
        <f t="array" aca="1" ref="AZ39" ca="1">IFERROR(IF(AY38&lt;&gt;0,INDEX(
INDIRECT("'シフト一覧（転載）'!"&amp;AY38&amp;":AK100"),1+1,
MATCH(1,INDEX((LEN(INDIRECT("'シフト一覧（転載）'!"&amp;AY38&amp;":AK100"))&gt;0)
*(INDIRECT("'シフト一覧（転載）'!"&amp;AY38&amp;":AK100")&lt;&gt;"休み"),1,0),0)),0),"")</f>
        <v>0</v>
      </c>
      <c r="BA39" s="22">
        <f ca="1">IF(AZ38=0,0,
IF(OR(AZ38="",COUNTIF(AZ38,"*保育無し*")),"",
IF(MOD(AZ39-AZ38,1)*24&gt;=8,1,
IF(MOD(AZ39-AZ38,1)*24&gt;=6,0.75,0))))</f>
        <v>0</v>
      </c>
      <c r="BB39" s="22">
        <f t="array" aca="1" ref="BB39" ca="1">IFERROR(IF(BA38&lt;&gt;0,INDEX(
INDIRECT("'シフト一覧（転載）'!"&amp;BA38&amp;":AK100"),1+1,
MATCH(1,INDEX((LEN(INDIRECT("'シフト一覧（転載）'!"&amp;BA38&amp;":AK100"))&gt;0)
*(INDIRECT("'シフト一覧（転載）'!"&amp;BA38&amp;":AK100")&lt;&gt;"休み"),1,0),0)),0),"")</f>
        <v>0</v>
      </c>
      <c r="BC39" s="22">
        <f ca="1">IF(BB38=0,0,
IF(OR(BB38="",COUNTIF(BB38,"*保育無し*")),"",
IF(MOD(BB39-BB38,1)*24&gt;=8,1,
IF(MOD(BB39-BB38,1)*24&gt;=6,0.75,0))))</f>
        <v>0</v>
      </c>
      <c r="BD39" s="22">
        <f t="array" aca="1" ref="BD39" ca="1">IFERROR(IF(BC38&lt;&gt;0,INDEX(
INDIRECT("'シフト一覧（転載）'!"&amp;BC38&amp;":AK100"),1+1,
MATCH(1,INDEX((LEN(INDIRECT("'シフト一覧（転載）'!"&amp;BC38&amp;":AK100"))&gt;0)
*(INDIRECT("'シフト一覧（転載）'!"&amp;BC38&amp;":AK100")&lt;&gt;"休み"),1,0),0)),0),"")</f>
        <v>0</v>
      </c>
      <c r="BE39" s="22">
        <f ca="1">IF(BD38=0,0,
IF(OR(BD38="",COUNTIF(BD38,"*保育無し*")),"",
IF(MOD(BD39-BD38,1)*24&gt;=8,1,
IF(MOD(BD39-BD38,1)*24&gt;=6,0.75,0))))</f>
        <v>0</v>
      </c>
      <c r="BF39" s="22">
        <f t="array" aca="1" ref="BF39" ca="1">IFERROR(IF(BE38&lt;&gt;0,INDEX(
INDIRECT("'シフト一覧（転載）'!"&amp;BE38&amp;":AK100"),1+1,
MATCH(1,INDEX((LEN(INDIRECT("'シフト一覧（転載）'!"&amp;BE38&amp;":AK100"))&gt;0)
*(INDIRECT("'シフト一覧（転載）'!"&amp;BE38&amp;":AK100")&lt;&gt;"休み"),1,0),0)),0),"")</f>
        <v>0</v>
      </c>
      <c r="BG39" s="22">
        <f ca="1">IF(BF38=0,0,
IF(OR(BF38="",COUNTIF(BF38,"*保育無し*")),"",
IF(MOD(BF39-BF38,1)*24&gt;=8,1,
IF(MOD(BF39-BF38,1)*24&gt;=6,0.75,0))))</f>
        <v>0</v>
      </c>
      <c r="BH39" s="22">
        <f t="array" aca="1" ref="BH39" ca="1">IFERROR(IF(BG38&lt;&gt;0,INDEX(
INDIRECT("'シフト一覧（転載）'!"&amp;BG38&amp;":AK100"),1+1,
MATCH(1,INDEX((LEN(INDIRECT("'シフト一覧（転載）'!"&amp;BG38&amp;":AK100"))&gt;0)
*(INDIRECT("'シフト一覧（転載）'!"&amp;BG38&amp;":AK100")&lt;&gt;"休み"),1,0),0)),0),"")</f>
        <v>0</v>
      </c>
      <c r="BI39" s="22">
        <f ca="1">IF(BH38=0,0,
IF(OR(BH38="",COUNTIF(BH38,"*保育無し*")),"",
IF(MOD(BH39-BH38,1)*24&gt;=8,1,
IF(MOD(BH39-BH38,1)*24&gt;=6,0.75,0))))</f>
        <v>0</v>
      </c>
      <c r="BJ39" s="22">
        <f t="array" aca="1" ref="BJ39" ca="1">IFERROR(IF(BI38&lt;&gt;0,INDEX(
INDIRECT("'シフト一覧（転載）'!"&amp;BI38&amp;":AK100"),1+1,
MATCH(1,INDEX((LEN(INDIRECT("'シフト一覧（転載）'!"&amp;BI38&amp;":AK100"))&gt;0)
*(INDIRECT("'シフト一覧（転載）'!"&amp;BI38&amp;":AK100")&lt;&gt;"休み"),1,0),0)),0),"")</f>
        <v>0</v>
      </c>
      <c r="BK39" s="22">
        <f ca="1">IF(BJ38=0,0,
IF(OR(BJ38="",COUNTIF(BJ38,"*保育無し*")),"",
IF(MOD(BJ39-BJ38,1)*24&gt;=8,1,
IF(MOD(BJ39-BJ38,1)*24&gt;=6,0.75,0))))</f>
        <v>0</v>
      </c>
      <c r="BL39" s="22">
        <f t="array" aca="1" ref="BL39" ca="1">IFERROR(IF(BK38&lt;&gt;0,INDEX(
INDIRECT("'シフト一覧（転載）'!"&amp;BK38&amp;":AK100"),1+1,
MATCH(1,INDEX((LEN(INDIRECT("'シフト一覧（転載）'!"&amp;BK38&amp;":AK100"))&gt;0)
*(INDIRECT("'シフト一覧（転載）'!"&amp;BK38&amp;":AK100")&lt;&gt;"休み"),1,0),0)),0),"")</f>
        <v>0</v>
      </c>
      <c r="BM39" s="22">
        <f ca="1">IF(BL38=0,0,
IF(OR(BL38="",COUNTIF(BL38,"*保育無し*")),"",
IF(MOD(BL39-BL38,1)*24&gt;=8,1,
IF(MOD(BL39-BL38,1)*24&gt;=6,0.75,0))))</f>
        <v>0</v>
      </c>
      <c r="BN39" s="22">
        <f t="array" aca="1" ref="BN39" ca="1">IFERROR(IF(BM38&lt;&gt;0,INDEX(
INDIRECT("'シフト一覧（転載）'!"&amp;BM38&amp;":AK100"),1+1,
MATCH(1,INDEX((LEN(INDIRECT("'シフト一覧（転載）'!"&amp;BM38&amp;":AK100"))&gt;0)
*(INDIRECT("'シフト一覧（転載）'!"&amp;BM38&amp;":AK100")&lt;&gt;"休み"),1,0),0)),0),"")</f>
        <v>0</v>
      </c>
      <c r="BO39" s="22">
        <f ca="1">IF(BN38=0,0,
IF(OR(BN38="",COUNTIF(BN38,"*保育無し*")),"",
IF(MOD(BN39-BN38,1)*24&gt;=8,1,
IF(MOD(BN39-BN38,1)*24&gt;=6,0.75,0))))</f>
        <v>0</v>
      </c>
      <c r="BP39" s="22">
        <f t="array" aca="1" ref="BP39" ca="1">IFERROR(IF(BO38&lt;&gt;0,INDEX(
INDIRECT("'シフト一覧（転載）'!"&amp;BO38&amp;":AK100"),1+1,
MATCH(1,INDEX((LEN(INDIRECT("'シフト一覧（転載）'!"&amp;BO38&amp;":AK100"))&gt;0)
*(INDIRECT("'シフト一覧（転載）'!"&amp;BO38&amp;":AK100")&lt;&gt;"休み"),1,0),0)),0),"")</f>
        <v>0</v>
      </c>
      <c r="BQ39" s="22">
        <f ca="1">IF(BP38=0,0,
IF(OR(BP38="",COUNTIF(BP38,"*保育無し*")),"",
IF(MOD(BP39-BP38,1)*24&gt;=8,1,
IF(MOD(BP39-BP38,1)*24&gt;=6,0.75,0))))</f>
        <v>0</v>
      </c>
      <c r="BR39" s="22">
        <f t="array" aca="1" ref="BR39" ca="1">IFERROR(IF(BQ38&lt;&gt;0,INDEX(
INDIRECT("'シフト一覧（転載）'!"&amp;BQ38&amp;":AK100"),1+1,
MATCH(1,INDEX((LEN(INDIRECT("'シフト一覧（転載）'!"&amp;BQ38&amp;":AK100"))&gt;0)
*(INDIRECT("'シフト一覧（転載）'!"&amp;BQ38&amp;":AK100")&lt;&gt;"休み"),1,0),0)),0),"")</f>
        <v>0</v>
      </c>
      <c r="BS39" s="22">
        <f ca="1">IF(BR38=0,0,
IF(OR(BR38="",COUNTIF(BR38,"*保育無し*")),"",
IF(MOD(BR39-BR38,1)*24&gt;=8,1,
IF(MOD(BR39-BR38,1)*24&gt;=6,0.75,0))))</f>
        <v>0</v>
      </c>
      <c r="BT39" s="22">
        <f t="array" aca="1" ref="BT39" ca="1">IFERROR(IF(BS38&lt;&gt;0,INDEX(
INDIRECT("'シフト一覧（転載）'!"&amp;BS38&amp;":AK100"),1+1,
MATCH(1,INDEX((LEN(INDIRECT("'シフト一覧（転載）'!"&amp;BS38&amp;":AK100"))&gt;0)
*(INDIRECT("'シフト一覧（転載）'!"&amp;BS38&amp;":AK100")&lt;&gt;"休み"),1,0),0)),0),"")</f>
        <v>0</v>
      </c>
      <c r="BU39" s="22">
        <f ca="1">IF(BT38=0,0,
IF(OR(BT38="",COUNTIF(BT38,"*保育無し*")),"",
IF(MOD(BT39-BT38,1)*24&gt;=8,1,
IF(MOD(BT39-BT38,1)*24&gt;=6,0.75,0))))</f>
        <v>0</v>
      </c>
      <c r="BV39" s="22">
        <f t="array" aca="1" ref="BV39" ca="1">IFERROR(IF(BU38&lt;&gt;0,INDEX(
INDIRECT("'シフト一覧（転載）'!"&amp;BU38&amp;":AK100"),1+1,
MATCH(1,INDEX((LEN(INDIRECT("'シフト一覧（転載）'!"&amp;BU38&amp;":AK100"))&gt;0)
*(INDIRECT("'シフト一覧（転載）'!"&amp;BU38&amp;":AK100")&lt;&gt;"休み"),1,0),0)),0),"")</f>
        <v>0</v>
      </c>
      <c r="BW39" s="22">
        <f ca="1">IF(BV38=0,0,
IF(OR(BV38="",COUNTIF(BV38,"*保育無し*")),"",
IF(MOD(BV39-BV38,1)*24&gt;=8,1,
IF(MOD(BV39-BV38,1)*24&gt;=6,0.75,0))))</f>
        <v>0</v>
      </c>
      <c r="BX39" s="22">
        <f t="array" aca="1" ref="BX39" ca="1">IFERROR(IF(BW38&lt;&gt;0,INDEX(
INDIRECT("'シフト一覧（転載）'!"&amp;BW38&amp;":AK100"),1+1,
MATCH(1,INDEX((LEN(INDIRECT("'シフト一覧（転載）'!"&amp;BW38&amp;":AK100"))&gt;0)
*(INDIRECT("'シフト一覧（転載）'!"&amp;BW38&amp;":AK100")&lt;&gt;"休み"),1,0),0)),0),"")</f>
        <v>0</v>
      </c>
      <c r="BY39" s="22">
        <f ca="1">IF(BX38=0,0,
IF(OR(BX38="",COUNTIF(BX38,"*保育無し*")),"",
IF(MOD(BX39-BX38,1)*24&gt;=8,1,
IF(MOD(BX39-BX38,1)*24&gt;=6,0.75,0))))</f>
        <v>0</v>
      </c>
    </row>
    <row r="40" spans="13:77" ht="19.2" customHeight="1" x14ac:dyDescent="0.2">
      <c r="M40" s="92" t="str">
        <f t="array" aca="1" ref="M40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40" s="90" t="str">
        <f ca="1">IF(M40&lt;&gt;"",VLOOKUP(M40,$I$12:$J$27,2,FALSE),"")</f>
        <v/>
      </c>
      <c r="O40" s="94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21">
        <f t="array" aca="1" ref="P40" ca="1">IFERROR(IF(M40&lt;&gt;"",INDEX('シフト一覧（転載）'!$F$8:$AK$100,
    MATCH(1,(ISNUMBER(SEARCH(M40,'シフト一覧（転載）'!$A$8:$A$100)))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MATCH(1,(ISNUMBER(SEARCH(M40,'シフト一覧（転載）'!$A$8:$A$100)))
                *(ISNUMBER(SEARCH($E$9,'シフト一覧（転載）'!$B$8:$B$100))),
                0),0),0)),0),$E$9&amp;"保育無し")</f>
        <v>0</v>
      </c>
      <c r="Q40" s="21">
        <f t="array" aca="1" ref="Q40" ca="1">IFERROR(IF(COUNTIF(P40,"*無*"),"",IF(M40&lt;&gt;"",ADDRESS(
    MATCH(1,(ISNUMBER(SEARCH(M40,'シフト一覧（転載）'!$A$8:$A$100)))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MATCH(1,(ISNUMBER(SEARCH(M40,'シフト一覧（転載）'!$A$8:$A$100)))
                *(ISNUMBER(SEARCH($E$9,'シフト一覧（転載）'!$B$8:$B$100))),0),0),0) + 6,4),0)),0)</f>
        <v>0</v>
      </c>
      <c r="R40" s="21">
        <f t="array" aca="1" ref="R40" ca="1">IFERROR(IF(Q40&lt;&gt;"",IF(Q40&lt;&gt;0,INDEX(
INDIRECT("'シフト一覧（転載）'!"&amp;Q40&amp;":AK100"),1,
MATCH(1,INDEX((LEN(INDIRECT("'シフト一覧（転載）'!"&amp;Q40&amp;":AK100"))&gt;0)
*(INDIRECT("'シフト一覧（転載）'!"&amp;Q40&amp;":AK100")&lt;&gt;"休み"),1,0),0)),0),""),$E$9&amp;"保育無し")</f>
        <v>0</v>
      </c>
      <c r="S40" s="21">
        <f t="array" aca="1" ref="S40" ca="1">IFERROR(IF(Q40&lt;&gt;0,ADDRESS(ROW(INDIRECT(Q40)),
    COLUMN(INDIRECT(Q40)) - 1 +
    MATCH(1,INDEX((LEN(INDIRECT("'シフト一覧（転載）'!"&amp;Q40&amp;":AK100"))&gt;0)
            *(INDIRECT("'シフト一覧（転載）'!"&amp;Q40&amp;":AK100")&lt;&gt;"休み"),
            1,0),0)+1,4),0),"")</f>
        <v>0</v>
      </c>
      <c r="T40" s="21">
        <f t="array" aca="1" ref="T40" ca="1">IFERROR(IF(S40&lt;&gt;"",IF(S40&lt;&gt;0,INDEX(
INDIRECT("'シフト一覧（転載）'!"&amp;S40&amp;":AK100"),1,
MATCH(1,INDEX((LEN(INDIRECT("'シフト一覧（転載）'!"&amp;S40&amp;":AK100"))&gt;0)
*(INDIRECT("'シフト一覧（転載）'!"&amp;S40&amp;":AK100")&lt;&gt;"休み"),1,0),0)),0),""),$E$9&amp;"保育無し")</f>
        <v>0</v>
      </c>
      <c r="U40" s="21">
        <f t="array" aca="1" ref="U40" ca="1">IFERROR(IF(S40&lt;&gt;0,ADDRESS(ROW(INDIRECT(S40)),
    COLUMN(INDIRECT(S40)) - 1 +
    MATCH(1,INDEX((LEN(INDIRECT("'シフト一覧（転載）'!"&amp;S40&amp;":AK100"))&gt;0)
            *(INDIRECT("'シフト一覧（転載）'!"&amp;S40&amp;":AK100")&lt;&gt;"休み"),
            1,0),0)+1,4),0),"")</f>
        <v>0</v>
      </c>
      <c r="V40" s="21">
        <f t="array" aca="1" ref="V40" ca="1">IFERROR(IF(U40&lt;&gt;"",IF(U40&lt;&gt;0,INDEX(
INDIRECT("'シフト一覧（転載）'!"&amp;U40&amp;":AK100"),1,
MATCH(1,INDEX((LEN(INDIRECT("'シフト一覧（転載）'!"&amp;U40&amp;":AK100"))&gt;0)
*(INDIRECT("'シフト一覧（転載）'!"&amp;U40&amp;":AK100")&lt;&gt;"休み"),1,0),0)),0),""),$E$9&amp;"保育無し")</f>
        <v>0</v>
      </c>
      <c r="W40" s="21">
        <f t="array" aca="1" ref="W40" ca="1">IFERROR(IF(U40&lt;&gt;0,ADDRESS(ROW(INDIRECT(U40)),
    COLUMN(INDIRECT(U40)) - 1 +
    MATCH(1,INDEX((LEN(INDIRECT("'シフト一覧（転載）'!"&amp;U40&amp;":AK100"))&gt;0)
            *(INDIRECT("'シフト一覧（転載）'!"&amp;U40&amp;":AK100")&lt;&gt;"休み"),
            1,0),0)+1,4),0),"")</f>
        <v>0</v>
      </c>
      <c r="X40" s="21">
        <f t="array" aca="1" ref="X40" ca="1">IFERROR(IF(W40&lt;&gt;"",IF(W40&lt;&gt;0,INDEX(
INDIRECT("'シフト一覧（転載）'!"&amp;W40&amp;":AK100"),1,
MATCH(1,INDEX((LEN(INDIRECT("'シフト一覧（転載）'!"&amp;W40&amp;":AK100"))&gt;0)
*(INDIRECT("'シフト一覧（転載）'!"&amp;W40&amp;":AK100")&lt;&gt;"休み"),1,0),0)),0),""),$E$9&amp;"保育無し")</f>
        <v>0</v>
      </c>
      <c r="Y40" s="21">
        <f t="array" aca="1" ref="Y40" ca="1">IFERROR(IF(W40&lt;&gt;0,ADDRESS(ROW(INDIRECT(W40)),
    COLUMN(INDIRECT(W40)) - 1 +
    MATCH(1,INDEX((LEN(INDIRECT("'シフト一覧（転載）'!"&amp;W40&amp;":AK100"))&gt;0)
            *(INDIRECT("'シフト一覧（転載）'!"&amp;W40&amp;":AK100")&lt;&gt;"休み"),
            1,0),0)+1,4),0),"")</f>
        <v>0</v>
      </c>
      <c r="Z40" s="21">
        <f t="array" aca="1" ref="Z40" ca="1">IFERROR(IF(Y40&lt;&gt;"",IF(Y40&lt;&gt;0,INDEX(
INDIRECT("'シフト一覧（転載）'!"&amp;Y40&amp;":AK100"),1,
MATCH(1,INDEX((LEN(INDIRECT("'シフト一覧（転載）'!"&amp;Y40&amp;":AK100"))&gt;0)
*(INDIRECT("'シフト一覧（転載）'!"&amp;Y40&amp;":AK100")&lt;&gt;"休み"),1,0),0)),0),""),$E$9&amp;"保育無し")</f>
        <v>0</v>
      </c>
      <c r="AA40" s="21">
        <f t="array" aca="1" ref="AA40" ca="1">IFERROR(IF(Y40&lt;&gt;0,ADDRESS(ROW(INDIRECT(Y40)),
    COLUMN(INDIRECT(Y40)) - 1 +
    MATCH(1,INDEX((LEN(INDIRECT("'シフト一覧（転載）'!"&amp;Y40&amp;":AK100"))&gt;0)
            *(INDIRECT("'シフト一覧（転載）'!"&amp;Y40&amp;":AK100")&lt;&gt;"休み"),
            1,0),0)+1,4),0),"")</f>
        <v>0</v>
      </c>
      <c r="AB40" s="21">
        <f t="array" aca="1" ref="AB40" ca="1">IFERROR(IF(AA40&lt;&gt;"",IF(AA40&lt;&gt;0,INDEX(
INDIRECT("'シフト一覧（転載）'!"&amp;AA40&amp;":AK100"),1,
MATCH(1,INDEX((LEN(INDIRECT("'シフト一覧（転載）'!"&amp;AA40&amp;":AK100"))&gt;0)
*(INDIRECT("'シフト一覧（転載）'!"&amp;AA40&amp;":AK100")&lt;&gt;"休み"),1,0),0)),0),""),$E$9&amp;"保育無し")</f>
        <v>0</v>
      </c>
      <c r="AC40" s="21">
        <f t="array" aca="1" ref="AC40" ca="1">IFERROR(IF(AA40&lt;&gt;0,ADDRESS(ROW(INDIRECT(AA40)),
    COLUMN(INDIRECT(AA40)) - 1 +
    MATCH(1,INDEX((LEN(INDIRECT("'シフト一覧（転載）'!"&amp;AA40&amp;":AK100"))&gt;0)
            *(INDIRECT("'シフト一覧（転載）'!"&amp;AA40&amp;":AK100")&lt;&gt;"休み"),
            1,0),0)+1,4),0),"")</f>
        <v>0</v>
      </c>
      <c r="AD40" s="21">
        <f t="array" aca="1" ref="AD40" ca="1">IFERROR(IF(AC40&lt;&gt;"",IF(AC40&lt;&gt;0,INDEX(
INDIRECT("'シフト一覧（転載）'!"&amp;AC40&amp;":AK100"),1,
MATCH(1,INDEX((LEN(INDIRECT("'シフト一覧（転載）'!"&amp;AC40&amp;":AK100"))&gt;0)
*(INDIRECT("'シフト一覧（転載）'!"&amp;AC40&amp;":AK100")&lt;&gt;"休み"),1,0),0)),0),""),$E$9&amp;"保育無し")</f>
        <v>0</v>
      </c>
      <c r="AE40" s="21">
        <f t="array" aca="1" ref="AE40" ca="1">IFERROR(IF(AC40&lt;&gt;0,ADDRESS(ROW(INDIRECT(AC40)),
    COLUMN(INDIRECT(AC40)) - 1 +
    MATCH(1,INDEX((LEN(INDIRECT("'シフト一覧（転載）'!"&amp;AC40&amp;":AK100"))&gt;0)
            *(INDIRECT("'シフト一覧（転載）'!"&amp;AC40&amp;":AK100")&lt;&gt;"休み"),
            1,0),0)+1,4),0),"")</f>
        <v>0</v>
      </c>
      <c r="AF40" s="21">
        <f t="array" aca="1" ref="AF40" ca="1">IFERROR(IF(AE40&lt;&gt;"",IF(AE40&lt;&gt;0,INDEX(
INDIRECT("'シフト一覧（転載）'!"&amp;AE40&amp;":AK100"),1,
MATCH(1,INDEX((LEN(INDIRECT("'シフト一覧（転載）'!"&amp;AE40&amp;":AK100"))&gt;0)
*(INDIRECT("'シフト一覧（転載）'!"&amp;AE40&amp;":AK100")&lt;&gt;"休み"),1,0),0)),0),""),$E$9&amp;"保育無し")</f>
        <v>0</v>
      </c>
      <c r="AG40" s="21">
        <f t="array" aca="1" ref="AG40" ca="1">IFERROR(IF(AE40&lt;&gt;0,ADDRESS(ROW(INDIRECT(AE40)),
    COLUMN(INDIRECT(AE40)) - 1 +
    MATCH(1,INDEX((LEN(INDIRECT("'シフト一覧（転載）'!"&amp;AE40&amp;":AK100"))&gt;0)
            *(INDIRECT("'シフト一覧（転載）'!"&amp;AE40&amp;":AK100")&lt;&gt;"休み"),
            1,0),0)+1,4),0),"")</f>
        <v>0</v>
      </c>
      <c r="AH40" s="21">
        <f t="array" aca="1" ref="AH40" ca="1">IFERROR(IF(AG40&lt;&gt;"",IF(AG40&lt;&gt;0,INDEX(
INDIRECT("'シフト一覧（転載）'!"&amp;AG40&amp;":AK100"),1,
MATCH(1,INDEX((LEN(INDIRECT("'シフト一覧（転載）'!"&amp;AG40&amp;":AK100"))&gt;0)
*(INDIRECT("'シフト一覧（転載）'!"&amp;AG40&amp;":AK100")&lt;&gt;"休み"),1,0),0)),0),""),$E$9&amp;"保育無し")</f>
        <v>0</v>
      </c>
      <c r="AI40" s="21">
        <f t="array" aca="1" ref="AI40" ca="1">IFERROR(IF(AG40&lt;&gt;0,ADDRESS(ROW(INDIRECT(AG40)),
    COLUMN(INDIRECT(AG40)) - 1 +
    MATCH(1,INDEX((LEN(INDIRECT("'シフト一覧（転載）'!"&amp;AG40&amp;":AK100"))&gt;0)
            *(INDIRECT("'シフト一覧（転載）'!"&amp;AG40&amp;":AK100")&lt;&gt;"休み"),
            1,0),0)+1,4),0),"")</f>
        <v>0</v>
      </c>
      <c r="AJ40" s="21">
        <f t="array" aca="1" ref="AJ40" ca="1">IFERROR(IF(AI40&lt;&gt;"",IF(AI40&lt;&gt;0,INDEX(
INDIRECT("'シフト一覧（転載）'!"&amp;AI40&amp;":AK100"),1,
MATCH(1,INDEX((LEN(INDIRECT("'シフト一覧（転載）'!"&amp;AI40&amp;":AK100"))&gt;0)
*(INDIRECT("'シフト一覧（転載）'!"&amp;AI40&amp;":AK100")&lt;&gt;"休み"),1,0),0)),0),""),$E$9&amp;"保育無し")</f>
        <v>0</v>
      </c>
      <c r="AK40" s="21">
        <f t="array" aca="1" ref="AK40" ca="1">IFERROR(IF(AI40&lt;&gt;0,ADDRESS(ROW(INDIRECT(AI40)),
    COLUMN(INDIRECT(AI40)) - 1 +
    MATCH(1,INDEX((LEN(INDIRECT("'シフト一覧（転載）'!"&amp;AI40&amp;":AK100"))&gt;0)
            *(INDIRECT("'シフト一覧（転載）'!"&amp;AI40&amp;":AK100")&lt;&gt;"休み"),
            1,0),0)+1,4),0),"")</f>
        <v>0</v>
      </c>
      <c r="AL40" s="21">
        <f t="array" aca="1" ref="AL40" ca="1">IFERROR(IF(AK40&lt;&gt;"",IF(AK40&lt;&gt;0,INDEX(
INDIRECT("'シフト一覧（転載）'!"&amp;AK40&amp;":AK100"),1,
MATCH(1,INDEX((LEN(INDIRECT("'シフト一覧（転載）'!"&amp;AK40&amp;":AK100"))&gt;0)
*(INDIRECT("'シフト一覧（転載）'!"&amp;AK40&amp;":AK100")&lt;&gt;"休み"),1,0),0)),0),""),$E$9&amp;"保育無し")</f>
        <v>0</v>
      </c>
      <c r="AM40" s="21">
        <f t="array" aca="1" ref="AM40" ca="1">IFERROR(IF(AK40&lt;&gt;0,ADDRESS(ROW(INDIRECT(AK40)),
    COLUMN(INDIRECT(AK40)) - 1 +
    MATCH(1,INDEX((LEN(INDIRECT("'シフト一覧（転載）'!"&amp;AK40&amp;":AK100"))&gt;0)
            *(INDIRECT("'シフト一覧（転載）'!"&amp;AK40&amp;":AK100")&lt;&gt;"休み"),
            1,0),0)+1,4),0),"")</f>
        <v>0</v>
      </c>
      <c r="AN40" s="21">
        <f t="array" aca="1" ref="AN40" ca="1">IFERROR(IF(AM40&lt;&gt;"",IF(AM40&lt;&gt;0,INDEX(
INDIRECT("'シフト一覧（転載）'!"&amp;AM40&amp;":AK100"),1,
MATCH(1,INDEX((LEN(INDIRECT("'シフト一覧（転載）'!"&amp;AM40&amp;":AK100"))&gt;0)
*(INDIRECT("'シフト一覧（転載）'!"&amp;AM40&amp;":AK100")&lt;&gt;"休み"),1,0),0)),0),""),$E$9&amp;"保育無し")</f>
        <v>0</v>
      </c>
      <c r="AO40" s="21">
        <f t="array" aca="1" ref="AO40" ca="1">IFERROR(IF(AM40&lt;&gt;0,ADDRESS(ROW(INDIRECT(AM40)),
    COLUMN(INDIRECT(AM40)) - 1 +
    MATCH(1,INDEX((LEN(INDIRECT("'シフト一覧（転載）'!"&amp;AM40&amp;":AK100"))&gt;0)
            *(INDIRECT("'シフト一覧（転載）'!"&amp;AM40&amp;":AK100")&lt;&gt;"休み"),
            1,0),0)+1,4),0),"")</f>
        <v>0</v>
      </c>
      <c r="AP40" s="21">
        <f t="array" aca="1" ref="AP40" ca="1">IFERROR(IF(AO40&lt;&gt;"",IF(AO40&lt;&gt;0,INDEX(
INDIRECT("'シフト一覧（転載）'!"&amp;AO40&amp;":AK100"),1,
MATCH(1,INDEX((LEN(INDIRECT("'シフト一覧（転載）'!"&amp;AO40&amp;":AK100"))&gt;0)
*(INDIRECT("'シフト一覧（転載）'!"&amp;AO40&amp;":AK100")&lt;&gt;"休み"),1,0),0)),0),""),$E$9&amp;"保育無し")</f>
        <v>0</v>
      </c>
      <c r="AQ40" s="21">
        <f t="array" aca="1" ref="AQ40" ca="1">IFERROR(IF(AO40&lt;&gt;0,ADDRESS(ROW(INDIRECT(AO40)),
    COLUMN(INDIRECT(AO40)) - 1 +
    MATCH(1,INDEX((LEN(INDIRECT("'シフト一覧（転載）'!"&amp;AO40&amp;":AK100"))&gt;0)
            *(INDIRECT("'シフト一覧（転載）'!"&amp;AO40&amp;":AK100")&lt;&gt;"休み"),
            1,0),0)+1,4),0),"")</f>
        <v>0</v>
      </c>
      <c r="AR40" s="21">
        <f t="array" aca="1" ref="AR40" ca="1">IFERROR(IF(AQ40&lt;&gt;"",IF(AQ40&lt;&gt;0,INDEX(
INDIRECT("'シフト一覧（転載）'!"&amp;AQ40&amp;":AK100"),1,
MATCH(1,INDEX((LEN(INDIRECT("'シフト一覧（転載）'!"&amp;AQ40&amp;":AK100"))&gt;0)
*(INDIRECT("'シフト一覧（転載）'!"&amp;AQ40&amp;":AK100")&lt;&gt;"休み"),1,0),0)),0),""),$E$9&amp;"保育無し")</f>
        <v>0</v>
      </c>
      <c r="AS40" s="21">
        <f t="array" aca="1" ref="AS40" ca="1">IFERROR(IF(AQ40&lt;&gt;0,ADDRESS(ROW(INDIRECT(AQ40)),
    COLUMN(INDIRECT(AQ40)) - 1 +
    MATCH(1,INDEX((LEN(INDIRECT("'シフト一覧（転載）'!"&amp;AQ40&amp;":AK100"))&gt;0)
            *(INDIRECT("'シフト一覧（転載）'!"&amp;AQ40&amp;":AK100")&lt;&gt;"休み"),
            1,0),0)+1,4),0),"")</f>
        <v>0</v>
      </c>
      <c r="AT40" s="21">
        <f t="array" aca="1" ref="AT40" ca="1">IFERROR(IF(AS40&lt;&gt;"",IF(AS40&lt;&gt;0,INDEX(
INDIRECT("'シフト一覧（転載）'!"&amp;AS40&amp;":AK100"),1,
MATCH(1,INDEX((LEN(INDIRECT("'シフト一覧（転載）'!"&amp;AS40&amp;":AK100"))&gt;0)
*(INDIRECT("'シフト一覧（転載）'!"&amp;AS40&amp;":AK100")&lt;&gt;"休み"),1,0),0)),0),""),$E$9&amp;"保育無し")</f>
        <v>0</v>
      </c>
      <c r="AU40" s="21">
        <f t="array" aca="1" ref="AU40" ca="1">IFERROR(IF(AS40&lt;&gt;0,ADDRESS(ROW(INDIRECT(AS40)),
    COLUMN(INDIRECT(AS40)) - 1 +
    MATCH(1,INDEX((LEN(INDIRECT("'シフト一覧（転載）'!"&amp;AS40&amp;":AK100"))&gt;0)
            *(INDIRECT("'シフト一覧（転載）'!"&amp;AS40&amp;":AK100")&lt;&gt;"休み"),
            1,0),0)+1,4),0),"")</f>
        <v>0</v>
      </c>
      <c r="AV40" s="21">
        <f t="array" aca="1" ref="AV40" ca="1">IFERROR(IF(AU40&lt;&gt;"",IF(AU40&lt;&gt;0,INDEX(
INDIRECT("'シフト一覧（転載）'!"&amp;AU40&amp;":AK100"),1,
MATCH(1,INDEX((LEN(INDIRECT("'シフト一覧（転載）'!"&amp;AU40&amp;":AK100"))&gt;0)
*(INDIRECT("'シフト一覧（転載）'!"&amp;AU40&amp;":AK100")&lt;&gt;"休み"),1,0),0)),0),""),$E$9&amp;"保育無し")</f>
        <v>0</v>
      </c>
      <c r="AW40" s="21">
        <f t="array" aca="1" ref="AW40" ca="1">IFERROR(IF(AU40&lt;&gt;0,ADDRESS(ROW(INDIRECT(AU40)),
    COLUMN(INDIRECT(AU40)) - 1 +
    MATCH(1,INDEX((LEN(INDIRECT("'シフト一覧（転載）'!"&amp;AU40&amp;":AK100"))&gt;0)
            *(INDIRECT("'シフト一覧（転載）'!"&amp;AU40&amp;":AK100")&lt;&gt;"休み"),
            1,0),0)+1,4),0),"")</f>
        <v>0</v>
      </c>
      <c r="AX40" s="21">
        <f t="array" aca="1" ref="AX40" ca="1">IFERROR(IF(AW40&lt;&gt;"",IF(AW40&lt;&gt;0,INDEX(
INDIRECT("'シフト一覧（転載）'!"&amp;AW40&amp;":AK100"),1,
MATCH(1,INDEX((LEN(INDIRECT("'シフト一覧（転載）'!"&amp;AW40&amp;":AK100"))&gt;0)
*(INDIRECT("'シフト一覧（転載）'!"&amp;AW40&amp;":AK100")&lt;&gt;"休み"),1,0),0)),0),""),$E$9&amp;"保育無し")</f>
        <v>0</v>
      </c>
      <c r="AY40" s="21">
        <f t="array" aca="1" ref="AY40" ca="1">IFERROR(IF(AW40&lt;&gt;0,ADDRESS(ROW(INDIRECT(AW40)),
    COLUMN(INDIRECT(AW40)) - 1 +
    MATCH(1,INDEX((LEN(INDIRECT("'シフト一覧（転載）'!"&amp;AW40&amp;":AK100"))&gt;0)
            *(INDIRECT("'シフト一覧（転載）'!"&amp;AW40&amp;":AK100")&lt;&gt;"休み"),
            1,0),0)+1,4),0),"")</f>
        <v>0</v>
      </c>
      <c r="AZ40" s="21">
        <f t="array" aca="1" ref="AZ40" ca="1">IFERROR(IF(AY40&lt;&gt;"",IF(AY40&lt;&gt;0,INDEX(
INDIRECT("'シフト一覧（転載）'!"&amp;AY40&amp;":AK100"),1,
MATCH(1,INDEX((LEN(INDIRECT("'シフト一覧（転載）'!"&amp;AY40&amp;":AK100"))&gt;0)
*(INDIRECT("'シフト一覧（転載）'!"&amp;AY40&amp;":AK100")&lt;&gt;"休み"),1,0),0)),0),""),$E$9&amp;"保育無し")</f>
        <v>0</v>
      </c>
      <c r="BA40" s="21">
        <f t="array" aca="1" ref="BA40" ca="1">IFERROR(IF(AY40&lt;&gt;0,ADDRESS(ROW(INDIRECT(AY40)),
    COLUMN(INDIRECT(AY40)) - 1 +
    MATCH(1,INDEX((LEN(INDIRECT("'シフト一覧（転載）'!"&amp;AY40&amp;":AK100"))&gt;0)
            *(INDIRECT("'シフト一覧（転載）'!"&amp;AY40&amp;":AK100")&lt;&gt;"休み"),
            1,0),0)+1,4),0),"")</f>
        <v>0</v>
      </c>
      <c r="BB40" s="21">
        <f t="array" aca="1" ref="BB40" ca="1">IFERROR(IF(BA40&lt;&gt;"",IF(BA40&lt;&gt;0,INDEX(
INDIRECT("'シフト一覧（転載）'!"&amp;BA40&amp;":AK100"),1,
MATCH(1,INDEX((LEN(INDIRECT("'シフト一覧（転載）'!"&amp;BA40&amp;":AK100"))&gt;0)
*(INDIRECT("'シフト一覧（転載）'!"&amp;BA40&amp;":AK100")&lt;&gt;"休み"),1,0),0)),0),""),$E$9&amp;"保育無し")</f>
        <v>0</v>
      </c>
      <c r="BC40" s="21">
        <f t="array" aca="1" ref="BC40" ca="1">IFERROR(IF(BA40&lt;&gt;0,ADDRESS(ROW(INDIRECT(BA40)),
    COLUMN(INDIRECT(BA40)) - 1 +
    MATCH(1,INDEX((LEN(INDIRECT("'シフト一覧（転載）'!"&amp;BA40&amp;":AK100"))&gt;0)
            *(INDIRECT("'シフト一覧（転載）'!"&amp;BA40&amp;":AK100")&lt;&gt;"休み"),
            1,0),0)+1,4),0),"")</f>
        <v>0</v>
      </c>
      <c r="BD40" s="21">
        <f t="array" aca="1" ref="BD40" ca="1">IFERROR(IF(BC40&lt;&gt;"",IF(BC40&lt;&gt;0,INDEX(
INDIRECT("'シフト一覧（転載）'!"&amp;BC40&amp;":AK100"),1,
MATCH(1,INDEX((LEN(INDIRECT("'シフト一覧（転載）'!"&amp;BC40&amp;":AK100"))&gt;0)
*(INDIRECT("'シフト一覧（転載）'!"&amp;BC40&amp;":AK100")&lt;&gt;"休み"),1,0),0)),0),""),$E$9&amp;"保育無し")</f>
        <v>0</v>
      </c>
      <c r="BE40" s="21">
        <f t="array" aca="1" ref="BE40" ca="1">IFERROR(IF(BC40&lt;&gt;0,ADDRESS(ROW(INDIRECT(BC40)),
    COLUMN(INDIRECT(BC40)) - 1 +
    MATCH(1,INDEX((LEN(INDIRECT("'シフト一覧（転載）'!"&amp;BC40&amp;":AK100"))&gt;0)
            *(INDIRECT("'シフト一覧（転載）'!"&amp;BC40&amp;":AK100")&lt;&gt;"休み"),
            1,0),0)+1,4),0),"")</f>
        <v>0</v>
      </c>
      <c r="BF40" s="21">
        <f t="array" aca="1" ref="BF40" ca="1">IFERROR(IF(BE40&lt;&gt;"",IF(BE40&lt;&gt;0,INDEX(
INDIRECT("'シフト一覧（転載）'!"&amp;BE40&amp;":AK100"),1,
MATCH(1,INDEX((LEN(INDIRECT("'シフト一覧（転載）'!"&amp;BE40&amp;":AK100"))&gt;0)
*(INDIRECT("'シフト一覧（転載）'!"&amp;BE40&amp;":AK100")&lt;&gt;"休み"),1,0),0)),0),""),$E$9&amp;"保育無し")</f>
        <v>0</v>
      </c>
      <c r="BG40" s="21">
        <f t="array" aca="1" ref="BG40" ca="1">IFERROR(IF(BE40&lt;&gt;0,ADDRESS(ROW(INDIRECT(BE40)),
    COLUMN(INDIRECT(BE40)) - 1 +
    MATCH(1,INDEX((LEN(INDIRECT("'シフト一覧（転載）'!"&amp;BE40&amp;":AK100"))&gt;0)
            *(INDIRECT("'シフト一覧（転載）'!"&amp;BE40&amp;":AK100")&lt;&gt;"休み"),
            1,0),0)+1,4),0),"")</f>
        <v>0</v>
      </c>
      <c r="BH40" s="21">
        <f t="array" aca="1" ref="BH40" ca="1">IFERROR(IF(BG40&lt;&gt;"",IF(BG40&lt;&gt;0,INDEX(
INDIRECT("'シフト一覧（転載）'!"&amp;BG40&amp;":AK100"),1,
MATCH(1,INDEX((LEN(INDIRECT("'シフト一覧（転載）'!"&amp;BG40&amp;":AK100"))&gt;0)
*(INDIRECT("'シフト一覧（転載）'!"&amp;BG40&amp;":AK100")&lt;&gt;"休み"),1,0),0)),0),""),$E$9&amp;"保育無し")</f>
        <v>0</v>
      </c>
      <c r="BI40" s="21">
        <f t="array" aca="1" ref="BI40" ca="1">IFERROR(IF(BG40&lt;&gt;0,ADDRESS(ROW(INDIRECT(BG40)),
    COLUMN(INDIRECT(BG40)) - 1 +
    MATCH(1,INDEX((LEN(INDIRECT("'シフト一覧（転載）'!"&amp;BG40&amp;":AK100"))&gt;0)
            *(INDIRECT("'シフト一覧（転載）'!"&amp;BG40&amp;":AK100")&lt;&gt;"休み"),
            1,0),0)+1,4),0),"")</f>
        <v>0</v>
      </c>
      <c r="BJ40" s="21">
        <f t="array" aca="1" ref="BJ40" ca="1">IFERROR(IF(BI40&lt;&gt;"",IF(BI40&lt;&gt;0,INDEX(
INDIRECT("'シフト一覧（転載）'!"&amp;BI40&amp;":AK100"),1,
MATCH(1,INDEX((LEN(INDIRECT("'シフト一覧（転載）'!"&amp;BI40&amp;":AK100"))&gt;0)
*(INDIRECT("'シフト一覧（転載）'!"&amp;BI40&amp;":AK100")&lt;&gt;"休み"),1,0),0)),0),""),$E$9&amp;"保育無し")</f>
        <v>0</v>
      </c>
      <c r="BK40" s="21">
        <f t="array" aca="1" ref="BK40" ca="1">IFERROR(IF(BI40&lt;&gt;0,ADDRESS(ROW(INDIRECT(BI40)),
    COLUMN(INDIRECT(BI40)) - 1 +
    MATCH(1,INDEX((LEN(INDIRECT("'シフト一覧（転載）'!"&amp;BI40&amp;":AK100"))&gt;0)
            *(INDIRECT("'シフト一覧（転載）'!"&amp;BI40&amp;":AK100")&lt;&gt;"休み"),
            1,0),0)+1,4),0),"")</f>
        <v>0</v>
      </c>
      <c r="BL40" s="21">
        <f t="array" aca="1" ref="BL40" ca="1">IFERROR(IF(BK40&lt;&gt;"",IF(BK40&lt;&gt;0,INDEX(
INDIRECT("'シフト一覧（転載）'!"&amp;BK40&amp;":AK100"),1,
MATCH(1,INDEX((LEN(INDIRECT("'シフト一覧（転載）'!"&amp;BK40&amp;":AK100"))&gt;0)
*(INDIRECT("'シフト一覧（転載）'!"&amp;BK40&amp;":AK100")&lt;&gt;"休み"),1,0),0)),0),""),$E$9&amp;"保育無し")</f>
        <v>0</v>
      </c>
      <c r="BM40" s="21">
        <f t="array" aca="1" ref="BM40" ca="1">IFERROR(IF(BK40&lt;&gt;0,ADDRESS(ROW(INDIRECT(BK40)),
    COLUMN(INDIRECT(BK40)) - 1 +
    MATCH(1,INDEX((LEN(INDIRECT("'シフト一覧（転載）'!"&amp;BK40&amp;":AK100"))&gt;0)
            *(INDIRECT("'シフト一覧（転載）'!"&amp;BK40&amp;":AK100")&lt;&gt;"休み"),
            1,0),0)+1,4),0),"")</f>
        <v>0</v>
      </c>
      <c r="BN40" s="21">
        <f t="array" aca="1" ref="BN40" ca="1">IFERROR(IF(BM40&lt;&gt;"",IF(BM40&lt;&gt;0,INDEX(
INDIRECT("'シフト一覧（転載）'!"&amp;BM40&amp;":AK100"),1,
MATCH(1,INDEX((LEN(INDIRECT("'シフト一覧（転載）'!"&amp;BM40&amp;":AK100"))&gt;0)
*(INDIRECT("'シフト一覧（転載）'!"&amp;BM40&amp;":AK100")&lt;&gt;"休み"),1,0),0)),0),""),$E$9&amp;"保育無し")</f>
        <v>0</v>
      </c>
      <c r="BO40" s="21">
        <f t="array" aca="1" ref="BO40" ca="1">IFERROR(IF(BM40&lt;&gt;0,ADDRESS(ROW(INDIRECT(BM40)),
    COLUMN(INDIRECT(BM40)) - 1 +
    MATCH(1,INDEX((LEN(INDIRECT("'シフト一覧（転載）'!"&amp;BM40&amp;":AK100"))&gt;0)
            *(INDIRECT("'シフト一覧（転載）'!"&amp;BM40&amp;":AK100")&lt;&gt;"休み"),
            1,0),0)+1,4),0),"")</f>
        <v>0</v>
      </c>
      <c r="BP40" s="21">
        <f t="array" aca="1" ref="BP40" ca="1">IFERROR(IF(BO40&lt;&gt;"",IF(BO40&lt;&gt;0,INDEX(
INDIRECT("'シフト一覧（転載）'!"&amp;BO40&amp;":AK100"),1,
MATCH(1,INDEX((LEN(INDIRECT("'シフト一覧（転載）'!"&amp;BO40&amp;":AK100"))&gt;0)
*(INDIRECT("'シフト一覧（転載）'!"&amp;BO40&amp;":AK100")&lt;&gt;"休み"),1,0),0)),0),""),$E$9&amp;"保育無し")</f>
        <v>0</v>
      </c>
      <c r="BQ40" s="21">
        <f t="array" aca="1" ref="BQ40" ca="1">IFERROR(IF(BO40&lt;&gt;0,ADDRESS(ROW(INDIRECT(BO40)),
    COLUMN(INDIRECT(BO40)) - 1 +
    MATCH(1,INDEX((LEN(INDIRECT("'シフト一覧（転載）'!"&amp;BO40&amp;":AK100"))&gt;0)
            *(INDIRECT("'シフト一覧（転載）'!"&amp;BO40&amp;":AK100")&lt;&gt;"休み"),
            1,0),0)+1,4),0),"")</f>
        <v>0</v>
      </c>
      <c r="BR40" s="21">
        <f t="array" aca="1" ref="BR40" ca="1">IFERROR(IF(BQ40&lt;&gt;"",IF(BQ40&lt;&gt;0,INDEX(
INDIRECT("'シフト一覧（転載）'!"&amp;BQ40&amp;":AK100"),1,
MATCH(1,INDEX((LEN(INDIRECT("'シフト一覧（転載）'!"&amp;BQ40&amp;":AK100"))&gt;0)
*(INDIRECT("'シフト一覧（転載）'!"&amp;BQ40&amp;":AK100")&lt;&gt;"休み"),1,0),0)),0),""),$E$9&amp;"保育無し")</f>
        <v>0</v>
      </c>
      <c r="BS40" s="21">
        <f t="array" aca="1" ref="BS40" ca="1">IFERROR(IF(BQ40&lt;&gt;0,ADDRESS(ROW(INDIRECT(BQ40)),
    COLUMN(INDIRECT(BQ40)) - 1 +
    MATCH(1,INDEX((LEN(INDIRECT("'シフト一覧（転載）'!"&amp;BQ40&amp;":AK100"))&gt;0)
            *(INDIRECT("'シフト一覧（転載）'!"&amp;BQ40&amp;":AK100")&lt;&gt;"休み"),
            1,0),0)+1,4),0),"")</f>
        <v>0</v>
      </c>
      <c r="BT40" s="21">
        <f t="array" aca="1" ref="BT40" ca="1">IFERROR(IF(BS40&lt;&gt;"",IF(BS40&lt;&gt;0,INDEX(
INDIRECT("'シフト一覧（転載）'!"&amp;BS40&amp;":AK100"),1,
MATCH(1,INDEX((LEN(INDIRECT("'シフト一覧（転載）'!"&amp;BS40&amp;":AK100"))&gt;0)
*(INDIRECT("'シフト一覧（転載）'!"&amp;BS40&amp;":AK100")&lt;&gt;"休み"),1,0),0)),0),""),$E$9&amp;"保育無し")</f>
        <v>0</v>
      </c>
      <c r="BU40" s="21">
        <f t="array" aca="1" ref="BU40" ca="1">IFERROR(IF(BS40&lt;&gt;0,ADDRESS(ROW(INDIRECT(BS40)),
    COLUMN(INDIRECT(BS40)) - 1 +
    MATCH(1,INDEX((LEN(INDIRECT("'シフト一覧（転載）'!"&amp;BS40&amp;":AK100"))&gt;0)
            *(INDIRECT("'シフト一覧（転載）'!"&amp;BS40&amp;":AK100")&lt;&gt;"休み"),
            1,0),0)+1,4),0),"")</f>
        <v>0</v>
      </c>
      <c r="BV40" s="21">
        <f t="array" aca="1" ref="BV40" ca="1">IFERROR(IF(BU40&lt;&gt;"",IF(BU40&lt;&gt;0,INDEX(
INDIRECT("'シフト一覧（転載）'!"&amp;BU40&amp;":AK100"),1,
MATCH(1,INDEX((LEN(INDIRECT("'シフト一覧（転載）'!"&amp;BU40&amp;":AK100"))&gt;0)
*(INDIRECT("'シフト一覧（転載）'!"&amp;BU40&amp;":AK100")&lt;&gt;"休み"),1,0),0)),0),""),$E$9&amp;"保育無し")</f>
        <v>0</v>
      </c>
      <c r="BW40" s="21">
        <f t="array" aca="1" ref="BW40" ca="1">IFERROR(IF(BU40&lt;&gt;0,ADDRESS(ROW(INDIRECT(BU40)),
    COLUMN(INDIRECT(BU40)) - 1 +
    MATCH(1,INDEX((LEN(INDIRECT("'シフト一覧（転載）'!"&amp;BU40&amp;":AK100"))&gt;0)
            *(INDIRECT("'シフト一覧（転載）'!"&amp;BU40&amp;":AK100")&lt;&gt;"休み"),
            1,0),0)+1,4),0),"")</f>
        <v>0</v>
      </c>
      <c r="BX40" s="21">
        <f t="array" aca="1" ref="BX40" ca="1">IFERROR(IF(BW40&lt;&gt;"",IF(BW40&lt;&gt;0,INDEX(
INDIRECT("'シフト一覧（転載）'!"&amp;BW40&amp;":AK100"),1,
MATCH(1,INDEX((LEN(INDIRECT("'シフト一覧（転載）'!"&amp;BW40&amp;":AK100"))&gt;0)
*(INDIRECT("'シフト一覧（転載）'!"&amp;BW40&amp;":AK100")&lt;&gt;"休み"),1,0),0)),0),""),$E$9&amp;"保育無し")</f>
        <v>0</v>
      </c>
      <c r="BY40" s="21">
        <f t="array" aca="1" ref="BY40" ca="1">IFERROR(IF(BW40&lt;&gt;0,ADDRESS(ROW(INDIRECT(BW40)),
    COLUMN(INDIRECT(BW40)) - 1 +
    MATCH(1,INDEX((LEN(INDIRECT("'シフト一覧（転載）'!"&amp;BW40&amp;":AK100"))&gt;0)
            *(INDIRECT("'シフト一覧（転載）'!"&amp;BW40&amp;":AK100")&lt;&gt;"休み"),
            1,0),0)+1,4),0),"")</f>
        <v>0</v>
      </c>
    </row>
    <row r="41" spans="13:77" ht="19.2" customHeight="1" x14ac:dyDescent="0.2">
      <c r="M41" s="93"/>
      <c r="N41" s="91"/>
      <c r="O41" s="95"/>
      <c r="P41" s="22">
        <f t="array" aca="1" ref="P41" ca="1">IFERROR(IF(M40&lt;&gt;"",INDEX('シフト一覧（転載）'!$F$8:$AK$100,
    MATCH(1,(ISNUMBER(SEARCH(M40,'シフト一覧（転載）'!$A$8:$A$100)))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MATCH(1,(ISNUMBER(SEARCH(M40,'シフト一覧（転載）'!$A$8:$A$100)))
                *(ISNUMBER(SEARCH($E$9,'シフト一覧（転載）'!$B$8:$B$100))),
                0),0),0)),0),"")</f>
        <v>0</v>
      </c>
      <c r="Q41" s="22">
        <f ca="1">IF(P40=0,0,
IF(OR(P40="",COUNTIF(P40,"*保育無し*")),"",
IF(MOD(P41-P40,1)*24&gt;=8,1,
IF(MOD(P41-P40,1)*24&gt;=6,0.75,0))))</f>
        <v>0</v>
      </c>
      <c r="R41" s="22">
        <f t="array" aca="1" ref="R41" ca="1">IFERROR(IF(Q40&lt;&gt;0,INDEX(
INDIRECT("'シフト一覧（転載）'!"&amp;Q40&amp;":AK100"),1+1,
MATCH(1,INDEX((LEN(INDIRECT("'シフト一覧（転載）'!"&amp;Q40&amp;":AK100"))&gt;0)
*(INDIRECT("'シフト一覧（転載）'!"&amp;Q40&amp;":AK100")&lt;&gt;"休み"),1,0),0)),0),"")</f>
        <v>0</v>
      </c>
      <c r="S41" s="22">
        <f ca="1">IF(R40=0,0,
IF(OR(R40="",COUNTIF(R40,"*保育無し*")),"",
IF(MOD(R41-R40,1)*24&gt;=8,1,
IF(MOD(R41-R40,1)*24&gt;=6,0.75,0))))</f>
        <v>0</v>
      </c>
      <c r="T41" s="22">
        <f t="array" aca="1" ref="T41" ca="1">IFERROR(IF(S40&lt;&gt;0,INDEX(
INDIRECT("'シフト一覧（転載）'!"&amp;S40&amp;":AK100"),1+1,
MATCH(1,INDEX((LEN(INDIRECT("'シフト一覧（転載）'!"&amp;S40&amp;":AK100"))&gt;0)
*(INDIRECT("'シフト一覧（転載）'!"&amp;S40&amp;":AK100")&lt;&gt;"休み"),1,0),0)),0),"")</f>
        <v>0</v>
      </c>
      <c r="U41" s="22">
        <f ca="1">IF(T40=0,0,
IF(OR(T40="",COUNTIF(T40,"*保育無し*")),"",
IF(MOD(T41-T40,1)*24&gt;=8,1,
IF(MOD(T41-T40,1)*24&gt;=6,0.75,0))))</f>
        <v>0</v>
      </c>
      <c r="V41" s="22">
        <f t="array" aca="1" ref="V41" ca="1">IFERROR(IF(U40&lt;&gt;0,INDEX(
INDIRECT("'シフト一覧（転載）'!"&amp;U40&amp;":AK100"),1+1,
MATCH(1,INDEX((LEN(INDIRECT("'シフト一覧（転載）'!"&amp;U40&amp;":AK100"))&gt;0)
*(INDIRECT("'シフト一覧（転載）'!"&amp;U40&amp;":AK100")&lt;&gt;"休み"),1,0),0)),0),"")</f>
        <v>0</v>
      </c>
      <c r="W41" s="22">
        <f ca="1">IF(V40=0,0,
IF(OR(V40="",COUNTIF(V40,"*保育無し*")),"",
IF(MOD(V41-V40,1)*24&gt;=8,1,
IF(MOD(V41-V40,1)*24&gt;=6,0.75,0))))</f>
        <v>0</v>
      </c>
      <c r="X41" s="22">
        <f t="array" aca="1" ref="X41" ca="1">IFERROR(IF(W40&lt;&gt;0,INDEX(
INDIRECT("'シフト一覧（転載）'!"&amp;W40&amp;":AK100"),1+1,
MATCH(1,INDEX((LEN(INDIRECT("'シフト一覧（転載）'!"&amp;W40&amp;":AK100"))&gt;0)
*(INDIRECT("'シフト一覧（転載）'!"&amp;W40&amp;":AK100")&lt;&gt;"休み"),1,0),0)),0),"")</f>
        <v>0</v>
      </c>
      <c r="Y41" s="22">
        <f ca="1">IF(X40=0,0,
IF(OR(X40="",COUNTIF(X40,"*保育無し*")),"",
IF(MOD(X41-X40,1)*24&gt;=8,1,
IF(MOD(X41-X40,1)*24&gt;=6,0.75,0))))</f>
        <v>0</v>
      </c>
      <c r="Z41" s="22">
        <f t="array" aca="1" ref="Z41" ca="1">IFERROR(IF(Y40&lt;&gt;0,INDEX(
INDIRECT("'シフト一覧（転載）'!"&amp;Y40&amp;":AK100"),1+1,
MATCH(1,INDEX((LEN(INDIRECT("'シフト一覧（転載）'!"&amp;Y40&amp;":AK100"))&gt;0)
*(INDIRECT("'シフト一覧（転載）'!"&amp;Y40&amp;":AK100")&lt;&gt;"休み"),1,0),0)),0),"")</f>
        <v>0</v>
      </c>
      <c r="AA41" s="22">
        <f ca="1">IF(Z40=0,0,
IF(OR(Z40="",COUNTIF(Z40,"*保育無し*")),"",
IF(MOD(Z41-Z40,1)*24&gt;=8,1,
IF(MOD(Z41-Z40,1)*24&gt;=6,0.75,0))))</f>
        <v>0</v>
      </c>
      <c r="AB41" s="22">
        <f t="array" aca="1" ref="AB41" ca="1">IFERROR(IF(AA40&lt;&gt;0,INDEX(
INDIRECT("'シフト一覧（転載）'!"&amp;AA40&amp;":AK100"),1+1,
MATCH(1,INDEX((LEN(INDIRECT("'シフト一覧（転載）'!"&amp;AA40&amp;":AK100"))&gt;0)
*(INDIRECT("'シフト一覧（転載）'!"&amp;AA40&amp;":AK100")&lt;&gt;"休み"),1,0),0)),0),"")</f>
        <v>0</v>
      </c>
      <c r="AC41" s="22">
        <f ca="1">IF(AB40=0,0,
IF(OR(AB40="",COUNTIF(AB40,"*保育無し*")),"",
IF(MOD(AB41-AB40,1)*24&gt;=8,1,
IF(MOD(AB41-AB40,1)*24&gt;=6,0.75,0))))</f>
        <v>0</v>
      </c>
      <c r="AD41" s="22">
        <f t="array" aca="1" ref="AD41" ca="1">IFERROR(IF(AC40&lt;&gt;0,INDEX(
INDIRECT("'シフト一覧（転載）'!"&amp;AC40&amp;":AK100"),1+1,
MATCH(1,INDEX((LEN(INDIRECT("'シフト一覧（転載）'!"&amp;AC40&amp;":AK100"))&gt;0)
*(INDIRECT("'シフト一覧（転載）'!"&amp;AC40&amp;":AK100")&lt;&gt;"休み"),1,0),0)),0),"")</f>
        <v>0</v>
      </c>
      <c r="AE41" s="22">
        <f ca="1">IF(AD40=0,0,
IF(OR(AD40="",COUNTIF(AD40,"*保育無し*")),"",
IF(MOD(AD41-AD40,1)*24&gt;=8,1,
IF(MOD(AD41-AD40,1)*24&gt;=6,0.75,0))))</f>
        <v>0</v>
      </c>
      <c r="AF41" s="22">
        <f t="array" aca="1" ref="AF41" ca="1">IFERROR(IF(AE40&lt;&gt;0,INDEX(
INDIRECT("'シフト一覧（転載）'!"&amp;AE40&amp;":AK100"),1+1,
MATCH(1,INDEX((LEN(INDIRECT("'シフト一覧（転載）'!"&amp;AE40&amp;":AK100"))&gt;0)
*(INDIRECT("'シフト一覧（転載）'!"&amp;AE40&amp;":AK100")&lt;&gt;"休み"),1,0),0)),0),"")</f>
        <v>0</v>
      </c>
      <c r="AG41" s="22">
        <f ca="1">IF(AF40=0,0,
IF(OR(AF40="",COUNTIF(AF40,"*保育無し*")),"",
IF(MOD(AF41-AF40,1)*24&gt;=8,1,
IF(MOD(AF41-AF40,1)*24&gt;=6,0.75,0))))</f>
        <v>0</v>
      </c>
      <c r="AH41" s="22">
        <f t="array" aca="1" ref="AH41" ca="1">IFERROR(IF(AG40&lt;&gt;0,INDEX(
INDIRECT("'シフト一覧（転載）'!"&amp;AG40&amp;":AK100"),1+1,
MATCH(1,INDEX((LEN(INDIRECT("'シフト一覧（転載）'!"&amp;AG40&amp;":AK100"))&gt;0)
*(INDIRECT("'シフト一覧（転載）'!"&amp;AG40&amp;":AK100")&lt;&gt;"休み"),1,0),0)),0),"")</f>
        <v>0</v>
      </c>
      <c r="AI41" s="22">
        <f ca="1">IF(AH40=0,0,
IF(OR(AH40="",COUNTIF(AH40,"*保育無し*")),"",
IF(MOD(AH41-AH40,1)*24&gt;=8,1,
IF(MOD(AH41-AH40,1)*24&gt;=6,0.75,0))))</f>
        <v>0</v>
      </c>
      <c r="AJ41" s="22">
        <f t="array" aca="1" ref="AJ41" ca="1">IFERROR(IF(AI40&lt;&gt;0,INDEX(
INDIRECT("'シフト一覧（転載）'!"&amp;AI40&amp;":AK100"),1+1,
MATCH(1,INDEX((LEN(INDIRECT("'シフト一覧（転載）'!"&amp;AI40&amp;":AK100"))&gt;0)
*(INDIRECT("'シフト一覧（転載）'!"&amp;AI40&amp;":AK100")&lt;&gt;"休み"),1,0),0)),0),"")</f>
        <v>0</v>
      </c>
      <c r="AK41" s="22">
        <f ca="1">IF(AJ40=0,0,
IF(OR(AJ40="",COUNTIF(AJ40,"*保育無し*")),"",
IF(MOD(AJ41-AJ40,1)*24&gt;=8,1,
IF(MOD(AJ41-AJ40,1)*24&gt;=6,0.75,0))))</f>
        <v>0</v>
      </c>
      <c r="AL41" s="22">
        <f t="array" aca="1" ref="AL41" ca="1">IFERROR(IF(AK40&lt;&gt;0,INDEX(
INDIRECT("'シフト一覧（転載）'!"&amp;AK40&amp;":AK100"),1+1,
MATCH(1,INDEX((LEN(INDIRECT("'シフト一覧（転載）'!"&amp;AK40&amp;":AK100"))&gt;0)
*(INDIRECT("'シフト一覧（転載）'!"&amp;AK40&amp;":AK100")&lt;&gt;"休み"),1,0),0)),0),"")</f>
        <v>0</v>
      </c>
      <c r="AM41" s="22">
        <f ca="1">IF(AL40=0,0,
IF(OR(AL40="",COUNTIF(AL40,"*保育無し*")),"",
IF(MOD(AL41-AL40,1)*24&gt;=8,1,
IF(MOD(AL41-AL40,1)*24&gt;=6,0.75,0))))</f>
        <v>0</v>
      </c>
      <c r="AN41" s="22">
        <f t="array" aca="1" ref="AN41" ca="1">IFERROR(IF(AM40&lt;&gt;0,INDEX(
INDIRECT("'シフト一覧（転載）'!"&amp;AM40&amp;":AK100"),1+1,
MATCH(1,INDEX((LEN(INDIRECT("'シフト一覧（転載）'!"&amp;AM40&amp;":AK100"))&gt;0)
*(INDIRECT("'シフト一覧（転載）'!"&amp;AM40&amp;":AK100")&lt;&gt;"休み"),1,0),0)),0),"")</f>
        <v>0</v>
      </c>
      <c r="AO41" s="22">
        <f ca="1">IF(AN40=0,0,
IF(OR(AN40="",COUNTIF(AN40,"*保育無し*")),"",
IF(MOD(AN41-AN40,1)*24&gt;=8,1,
IF(MOD(AN41-AN40,1)*24&gt;=6,0.75,0))))</f>
        <v>0</v>
      </c>
      <c r="AP41" s="22">
        <f t="array" aca="1" ref="AP41" ca="1">IFERROR(IF(AO40&lt;&gt;0,INDEX(
INDIRECT("'シフト一覧（転載）'!"&amp;AO40&amp;":AK100"),1+1,
MATCH(1,INDEX((LEN(INDIRECT("'シフト一覧（転載）'!"&amp;AO40&amp;":AK100"))&gt;0)
*(INDIRECT("'シフト一覧（転載）'!"&amp;AO40&amp;":AK100")&lt;&gt;"休み"),1,0),0)),0),"")</f>
        <v>0</v>
      </c>
      <c r="AQ41" s="22">
        <f ca="1">IF(AP40=0,0,
IF(OR(AP40="",COUNTIF(AP40,"*保育無し*")),"",
IF(MOD(AP41-AP40,1)*24&gt;=8,1,
IF(MOD(AP41-AP40,1)*24&gt;=6,0.75,0))))</f>
        <v>0</v>
      </c>
      <c r="AR41" s="22">
        <f t="array" aca="1" ref="AR41" ca="1">IFERROR(IF(AQ40&lt;&gt;0,INDEX(
INDIRECT("'シフト一覧（転載）'!"&amp;AQ40&amp;":AK100"),1+1,
MATCH(1,INDEX((LEN(INDIRECT("'シフト一覧（転載）'!"&amp;AQ40&amp;":AK100"))&gt;0)
*(INDIRECT("'シフト一覧（転載）'!"&amp;AQ40&amp;":AK100")&lt;&gt;"休み"),1,0),0)),0),"")</f>
        <v>0</v>
      </c>
      <c r="AS41" s="22">
        <f ca="1">IF(AR40=0,0,
IF(OR(AR40="",COUNTIF(AR40,"*保育無し*")),"",
IF(MOD(AR41-AR40,1)*24&gt;=8,1,
IF(MOD(AR41-AR40,1)*24&gt;=6,0.75,0))))</f>
        <v>0</v>
      </c>
      <c r="AT41" s="22">
        <f t="array" aca="1" ref="AT41" ca="1">IFERROR(IF(AS40&lt;&gt;0,INDEX(
INDIRECT("'シフト一覧（転載）'!"&amp;AS40&amp;":AK100"),1+1,
MATCH(1,INDEX((LEN(INDIRECT("'シフト一覧（転載）'!"&amp;AS40&amp;":AK100"))&gt;0)
*(INDIRECT("'シフト一覧（転載）'!"&amp;AS40&amp;":AK100")&lt;&gt;"休み"),1,0),0)),0),"")</f>
        <v>0</v>
      </c>
      <c r="AU41" s="22">
        <f ca="1">IF(AT40=0,0,
IF(OR(AT40="",COUNTIF(AT40,"*保育無し*")),"",
IF(MOD(AT41-AT40,1)*24&gt;=8,1,
IF(MOD(AT41-AT40,1)*24&gt;=6,0.75,0))))</f>
        <v>0</v>
      </c>
      <c r="AV41" s="22">
        <f t="array" aca="1" ref="AV41" ca="1">IFERROR(IF(AU40&lt;&gt;0,INDEX(
INDIRECT("'シフト一覧（転載）'!"&amp;AU40&amp;":AK100"),1+1,
MATCH(1,INDEX((LEN(INDIRECT("'シフト一覧（転載）'!"&amp;AU40&amp;":AK100"))&gt;0)
*(INDIRECT("'シフト一覧（転載）'!"&amp;AU40&amp;":AK100")&lt;&gt;"休み"),1,0),0)),0),"")</f>
        <v>0</v>
      </c>
      <c r="AW41" s="22">
        <f ca="1">IF(AV40=0,0,
IF(OR(AV40="",COUNTIF(AV40,"*保育無し*")),"",
IF(MOD(AV41-AV40,1)*24&gt;=8,1,
IF(MOD(AV41-AV40,1)*24&gt;=6,0.75,0))))</f>
        <v>0</v>
      </c>
      <c r="AX41" s="22">
        <f t="array" aca="1" ref="AX41" ca="1">IFERROR(IF(AW40&lt;&gt;0,INDEX(
INDIRECT("'シフト一覧（転載）'!"&amp;AW40&amp;":AK100"),1+1,
MATCH(1,INDEX((LEN(INDIRECT("'シフト一覧（転載）'!"&amp;AW40&amp;":AK100"))&gt;0)
*(INDIRECT("'シフト一覧（転載）'!"&amp;AW40&amp;":AK100")&lt;&gt;"休み"),1,0),0)),0),"")</f>
        <v>0</v>
      </c>
      <c r="AY41" s="22">
        <f ca="1">IF(AX40=0,0,
IF(OR(AX40="",COUNTIF(AX40,"*保育無し*")),"",
IF(MOD(AX41-AX40,1)*24&gt;=8,1,
IF(MOD(AX41-AX40,1)*24&gt;=6,0.75,0))))</f>
        <v>0</v>
      </c>
      <c r="AZ41" s="22">
        <f t="array" aca="1" ref="AZ41" ca="1">IFERROR(IF(AY40&lt;&gt;0,INDEX(
INDIRECT("'シフト一覧（転載）'!"&amp;AY40&amp;":AK100"),1+1,
MATCH(1,INDEX((LEN(INDIRECT("'シフト一覧（転載）'!"&amp;AY40&amp;":AK100"))&gt;0)
*(INDIRECT("'シフト一覧（転載）'!"&amp;AY40&amp;":AK100")&lt;&gt;"休み"),1,0),0)),0),"")</f>
        <v>0</v>
      </c>
      <c r="BA41" s="22">
        <f ca="1">IF(AZ40=0,0,
IF(OR(AZ40="",COUNTIF(AZ40,"*保育無し*")),"",
IF(MOD(AZ41-AZ40,1)*24&gt;=8,1,
IF(MOD(AZ41-AZ40,1)*24&gt;=6,0.75,0))))</f>
        <v>0</v>
      </c>
      <c r="BB41" s="22">
        <f t="array" aca="1" ref="BB41" ca="1">IFERROR(IF(BA40&lt;&gt;0,INDEX(
INDIRECT("'シフト一覧（転載）'!"&amp;BA40&amp;":AK100"),1+1,
MATCH(1,INDEX((LEN(INDIRECT("'シフト一覧（転載）'!"&amp;BA40&amp;":AK100"))&gt;0)
*(INDIRECT("'シフト一覧（転載）'!"&amp;BA40&amp;":AK100")&lt;&gt;"休み"),1,0),0)),0),"")</f>
        <v>0</v>
      </c>
      <c r="BC41" s="22">
        <f ca="1">IF(BB40=0,0,
IF(OR(BB40="",COUNTIF(BB40,"*保育無し*")),"",
IF(MOD(BB41-BB40,1)*24&gt;=8,1,
IF(MOD(BB41-BB40,1)*24&gt;=6,0.75,0))))</f>
        <v>0</v>
      </c>
      <c r="BD41" s="22">
        <f t="array" aca="1" ref="BD41" ca="1">IFERROR(IF(BC40&lt;&gt;0,INDEX(
INDIRECT("'シフト一覧（転載）'!"&amp;BC40&amp;":AK100"),1+1,
MATCH(1,INDEX((LEN(INDIRECT("'シフト一覧（転載）'!"&amp;BC40&amp;":AK100"))&gt;0)
*(INDIRECT("'シフト一覧（転載）'!"&amp;BC40&amp;":AK100")&lt;&gt;"休み"),1,0),0)),0),"")</f>
        <v>0</v>
      </c>
      <c r="BE41" s="22">
        <f ca="1">IF(BD40=0,0,
IF(OR(BD40="",COUNTIF(BD40,"*保育無し*")),"",
IF(MOD(BD41-BD40,1)*24&gt;=8,1,
IF(MOD(BD41-BD40,1)*24&gt;=6,0.75,0))))</f>
        <v>0</v>
      </c>
      <c r="BF41" s="22">
        <f t="array" aca="1" ref="BF41" ca="1">IFERROR(IF(BE40&lt;&gt;0,INDEX(
INDIRECT("'シフト一覧（転載）'!"&amp;BE40&amp;":AK100"),1+1,
MATCH(1,INDEX((LEN(INDIRECT("'シフト一覧（転載）'!"&amp;BE40&amp;":AK100"))&gt;0)
*(INDIRECT("'シフト一覧（転載）'!"&amp;BE40&amp;":AK100")&lt;&gt;"休み"),1,0),0)),0),"")</f>
        <v>0</v>
      </c>
      <c r="BG41" s="22">
        <f ca="1">IF(BF40=0,0,
IF(OR(BF40="",COUNTIF(BF40,"*保育無し*")),"",
IF(MOD(BF41-BF40,1)*24&gt;=8,1,
IF(MOD(BF41-BF40,1)*24&gt;=6,0.75,0))))</f>
        <v>0</v>
      </c>
      <c r="BH41" s="22">
        <f t="array" aca="1" ref="BH41" ca="1">IFERROR(IF(BG40&lt;&gt;0,INDEX(
INDIRECT("'シフト一覧（転載）'!"&amp;BG40&amp;":AK100"),1+1,
MATCH(1,INDEX((LEN(INDIRECT("'シフト一覧（転載）'!"&amp;BG40&amp;":AK100"))&gt;0)
*(INDIRECT("'シフト一覧（転載）'!"&amp;BG40&amp;":AK100")&lt;&gt;"休み"),1,0),0)),0),"")</f>
        <v>0</v>
      </c>
      <c r="BI41" s="22">
        <f ca="1">IF(BH40=0,0,
IF(OR(BH40="",COUNTIF(BH40,"*保育無し*")),"",
IF(MOD(BH41-BH40,1)*24&gt;=8,1,
IF(MOD(BH41-BH40,1)*24&gt;=6,0.75,0))))</f>
        <v>0</v>
      </c>
      <c r="BJ41" s="22">
        <f t="array" aca="1" ref="BJ41" ca="1">IFERROR(IF(BI40&lt;&gt;0,INDEX(
INDIRECT("'シフト一覧（転載）'!"&amp;BI40&amp;":AK100"),1+1,
MATCH(1,INDEX((LEN(INDIRECT("'シフト一覧（転載）'!"&amp;BI40&amp;":AK100"))&gt;0)
*(INDIRECT("'シフト一覧（転載）'!"&amp;BI40&amp;":AK100")&lt;&gt;"休み"),1,0),0)),0),"")</f>
        <v>0</v>
      </c>
      <c r="BK41" s="22">
        <f ca="1">IF(BJ40=0,0,
IF(OR(BJ40="",COUNTIF(BJ40,"*保育無し*")),"",
IF(MOD(BJ41-BJ40,1)*24&gt;=8,1,
IF(MOD(BJ41-BJ40,1)*24&gt;=6,0.75,0))))</f>
        <v>0</v>
      </c>
      <c r="BL41" s="22">
        <f t="array" aca="1" ref="BL41" ca="1">IFERROR(IF(BK40&lt;&gt;0,INDEX(
INDIRECT("'シフト一覧（転載）'!"&amp;BK40&amp;":AK100"),1+1,
MATCH(1,INDEX((LEN(INDIRECT("'シフト一覧（転載）'!"&amp;BK40&amp;":AK100"))&gt;0)
*(INDIRECT("'シフト一覧（転載）'!"&amp;BK40&amp;":AK100")&lt;&gt;"休み"),1,0),0)),0),"")</f>
        <v>0</v>
      </c>
      <c r="BM41" s="22">
        <f ca="1">IF(BL40=0,0,
IF(OR(BL40="",COUNTIF(BL40,"*保育無し*")),"",
IF(MOD(BL41-BL40,1)*24&gt;=8,1,
IF(MOD(BL41-BL40,1)*24&gt;=6,0.75,0))))</f>
        <v>0</v>
      </c>
      <c r="BN41" s="22">
        <f t="array" aca="1" ref="BN41" ca="1">IFERROR(IF(BM40&lt;&gt;0,INDEX(
INDIRECT("'シフト一覧（転載）'!"&amp;BM40&amp;":AK100"),1+1,
MATCH(1,INDEX((LEN(INDIRECT("'シフト一覧（転載）'!"&amp;BM40&amp;":AK100"))&gt;0)
*(INDIRECT("'シフト一覧（転載）'!"&amp;BM40&amp;":AK100")&lt;&gt;"休み"),1,0),0)),0),"")</f>
        <v>0</v>
      </c>
      <c r="BO41" s="22">
        <f ca="1">IF(BN40=0,0,
IF(OR(BN40="",COUNTIF(BN40,"*保育無し*")),"",
IF(MOD(BN41-BN40,1)*24&gt;=8,1,
IF(MOD(BN41-BN40,1)*24&gt;=6,0.75,0))))</f>
        <v>0</v>
      </c>
      <c r="BP41" s="22">
        <f t="array" aca="1" ref="BP41" ca="1">IFERROR(IF(BO40&lt;&gt;0,INDEX(
INDIRECT("'シフト一覧（転載）'!"&amp;BO40&amp;":AK100"),1+1,
MATCH(1,INDEX((LEN(INDIRECT("'シフト一覧（転載）'!"&amp;BO40&amp;":AK100"))&gt;0)
*(INDIRECT("'シフト一覧（転載）'!"&amp;BO40&amp;":AK100")&lt;&gt;"休み"),1,0),0)),0),"")</f>
        <v>0</v>
      </c>
      <c r="BQ41" s="22">
        <f ca="1">IF(BP40=0,0,
IF(OR(BP40="",COUNTIF(BP40,"*保育無し*")),"",
IF(MOD(BP41-BP40,1)*24&gt;=8,1,
IF(MOD(BP41-BP40,1)*24&gt;=6,0.75,0))))</f>
        <v>0</v>
      </c>
      <c r="BR41" s="22">
        <f t="array" aca="1" ref="BR41" ca="1">IFERROR(IF(BQ40&lt;&gt;0,INDEX(
INDIRECT("'シフト一覧（転載）'!"&amp;BQ40&amp;":AK100"),1+1,
MATCH(1,INDEX((LEN(INDIRECT("'シフト一覧（転載）'!"&amp;BQ40&amp;":AK100"))&gt;0)
*(INDIRECT("'シフト一覧（転載）'!"&amp;BQ40&amp;":AK100")&lt;&gt;"休み"),1,0),0)),0),"")</f>
        <v>0</v>
      </c>
      <c r="BS41" s="22">
        <f ca="1">IF(BR40=0,0,
IF(OR(BR40="",COUNTIF(BR40,"*保育無し*")),"",
IF(MOD(BR41-BR40,1)*24&gt;=8,1,
IF(MOD(BR41-BR40,1)*24&gt;=6,0.75,0))))</f>
        <v>0</v>
      </c>
      <c r="BT41" s="22">
        <f t="array" aca="1" ref="BT41" ca="1">IFERROR(IF(BS40&lt;&gt;0,INDEX(
INDIRECT("'シフト一覧（転載）'!"&amp;BS40&amp;":AK100"),1+1,
MATCH(1,INDEX((LEN(INDIRECT("'シフト一覧（転載）'!"&amp;BS40&amp;":AK100"))&gt;0)
*(INDIRECT("'シフト一覧（転載）'!"&amp;BS40&amp;":AK100")&lt;&gt;"休み"),1,0),0)),0),"")</f>
        <v>0</v>
      </c>
      <c r="BU41" s="22">
        <f ca="1">IF(BT40=0,0,
IF(OR(BT40="",COUNTIF(BT40,"*保育無し*")),"",
IF(MOD(BT41-BT40,1)*24&gt;=8,1,
IF(MOD(BT41-BT40,1)*24&gt;=6,0.75,0))))</f>
        <v>0</v>
      </c>
      <c r="BV41" s="22">
        <f t="array" aca="1" ref="BV41" ca="1">IFERROR(IF(BU40&lt;&gt;0,INDEX(
INDIRECT("'シフト一覧（転載）'!"&amp;BU40&amp;":AK100"),1+1,
MATCH(1,INDEX((LEN(INDIRECT("'シフト一覧（転載）'!"&amp;BU40&amp;":AK100"))&gt;0)
*(INDIRECT("'シフト一覧（転載）'!"&amp;BU40&amp;":AK100")&lt;&gt;"休み"),1,0),0)),0),"")</f>
        <v>0</v>
      </c>
      <c r="BW41" s="22">
        <f ca="1">IF(BV40=0,0,
IF(OR(BV40="",COUNTIF(BV40,"*保育無し*")),"",
IF(MOD(BV41-BV40,1)*24&gt;=8,1,
IF(MOD(BV41-BV40,1)*24&gt;=6,0.75,0))))</f>
        <v>0</v>
      </c>
      <c r="BX41" s="22">
        <f t="array" aca="1" ref="BX41" ca="1">IFERROR(IF(BW40&lt;&gt;0,INDEX(
INDIRECT("'シフト一覧（転載）'!"&amp;BW40&amp;":AK100"),1+1,
MATCH(1,INDEX((LEN(INDIRECT("'シフト一覧（転載）'!"&amp;BW40&amp;":AK100"))&gt;0)
*(INDIRECT("'シフト一覧（転載）'!"&amp;BW40&amp;":AK100")&lt;&gt;"休み"),1,0),0)),0),"")</f>
        <v>0</v>
      </c>
      <c r="BY41" s="22">
        <f ca="1">IF(BX40=0,0,
IF(OR(BX40="",COUNTIF(BX40,"*保育無し*")),"",
IF(MOD(BX41-BX40,1)*24&gt;=8,1,
IF(MOD(BX41-BX40,1)*24&gt;=6,0.75,0))))</f>
        <v>0</v>
      </c>
    </row>
  </sheetData>
  <mergeCells count="50">
    <mergeCell ref="N36:N37"/>
    <mergeCell ref="N16:N17"/>
    <mergeCell ref="O28:O29"/>
    <mergeCell ref="M40:M41"/>
    <mergeCell ref="O22:O23"/>
    <mergeCell ref="O40:O41"/>
    <mergeCell ref="M24:M25"/>
    <mergeCell ref="M36:M37"/>
    <mergeCell ref="M30:M31"/>
    <mergeCell ref="M32:M33"/>
    <mergeCell ref="N38:N39"/>
    <mergeCell ref="N34:N35"/>
    <mergeCell ref="N28:N29"/>
    <mergeCell ref="N24:N25"/>
    <mergeCell ref="M26:M27"/>
    <mergeCell ref="N40:N41"/>
    <mergeCell ref="N30:N31"/>
    <mergeCell ref="M38:M39"/>
    <mergeCell ref="O38:O39"/>
    <mergeCell ref="B11:C11"/>
    <mergeCell ref="C1:D1"/>
    <mergeCell ref="N14:N15"/>
    <mergeCell ref="M16:M17"/>
    <mergeCell ref="M12:M13"/>
    <mergeCell ref="M14:M15"/>
    <mergeCell ref="O36:O37"/>
    <mergeCell ref="O16:O17"/>
    <mergeCell ref="O30:O31"/>
    <mergeCell ref="O32:O33"/>
    <mergeCell ref="O26:O27"/>
    <mergeCell ref="O34:O35"/>
    <mergeCell ref="F11:G11"/>
    <mergeCell ref="N22:N23"/>
    <mergeCell ref="N18:N19"/>
    <mergeCell ref="I11:J11"/>
    <mergeCell ref="O24:O25"/>
    <mergeCell ref="N12:N13"/>
    <mergeCell ref="O20:O21"/>
    <mergeCell ref="M22:M23"/>
    <mergeCell ref="M11:N11"/>
    <mergeCell ref="O12:O13"/>
    <mergeCell ref="M18:M19"/>
    <mergeCell ref="O14:O15"/>
    <mergeCell ref="N20:N21"/>
    <mergeCell ref="N32:N33"/>
    <mergeCell ref="M20:M21"/>
    <mergeCell ref="M34:M35"/>
    <mergeCell ref="O18:O19"/>
    <mergeCell ref="N26:N27"/>
    <mergeCell ref="M28:M29"/>
  </mergeCells>
  <phoneticPr fontId="2"/>
  <dataValidations count="1">
    <dataValidation type="list" showInputMessage="1" showErrorMessage="1" sqref="E9" xr:uid="{00000000-0002-0000-0100-000000000000}">
      <formula1>"病児,一時"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3"/>
  <sheetViews>
    <sheetView workbookViewId="0">
      <selection activeCell="E5" sqref="E5:G5"/>
    </sheetView>
  </sheetViews>
  <sheetFormatPr defaultRowHeight="13.2" x14ac:dyDescent="0.2"/>
  <cols>
    <col min="1" max="1" width="3.6640625" customWidth="1"/>
    <col min="2" max="2" width="18.44140625" customWidth="1"/>
    <col min="3" max="3" width="15.109375" customWidth="1"/>
    <col min="4" max="5" width="10.21875" customWidth="1"/>
    <col min="6" max="7" width="8.109375" customWidth="1"/>
    <col min="8" max="9" width="10.109375" customWidth="1"/>
    <col min="10" max="11" width="7.88671875" customWidth="1"/>
    <col min="12" max="12" width="37" customWidth="1"/>
  </cols>
  <sheetData>
    <row r="1" spans="1:12" ht="27.6" customHeight="1" x14ac:dyDescent="0.25">
      <c r="B1" s="23" t="s">
        <v>17</v>
      </c>
    </row>
    <row r="2" spans="1:12" ht="14.4" customHeight="1" thickBot="1" x14ac:dyDescent="0.25">
      <c r="B2" t="str">
        <f>"・"&amp;まとめ!B1</f>
        <v>・0</v>
      </c>
    </row>
    <row r="3" spans="1:12" ht="10.199999999999999" customHeight="1" thickBot="1" x14ac:dyDescent="0.25">
      <c r="E3" s="100" t="s">
        <v>18</v>
      </c>
      <c r="F3" s="101"/>
      <c r="G3" s="102"/>
    </row>
    <row r="4" spans="1:12" ht="18.600000000000001" customHeight="1" thickBot="1" x14ac:dyDescent="0.25">
      <c r="A4" s="1"/>
      <c r="B4" s="26" t="s">
        <v>8</v>
      </c>
      <c r="C4" s="19" t="s">
        <v>9</v>
      </c>
      <c r="D4" s="3"/>
      <c r="E4" s="103"/>
      <c r="F4" s="104"/>
      <c r="G4" s="105"/>
      <c r="H4" s="9"/>
      <c r="I4" s="10"/>
      <c r="J4" s="1"/>
      <c r="K4" s="1"/>
      <c r="L4" s="1"/>
    </row>
    <row r="5" spans="1:12" ht="28.2" customHeight="1" thickBot="1" x14ac:dyDescent="0.25">
      <c r="A5" s="1"/>
      <c r="B5" s="24">
        <f>まとめ!C9</f>
        <v>1.9</v>
      </c>
      <c r="C5" s="25">
        <f>まとめ!D9</f>
        <v>168</v>
      </c>
      <c r="D5" s="3"/>
      <c r="E5" s="106">
        <f ca="1">SUM(I8:I23)</f>
        <v>0</v>
      </c>
      <c r="F5" s="107"/>
      <c r="G5" s="108"/>
      <c r="H5" s="9"/>
      <c r="I5" s="10"/>
      <c r="J5" s="1"/>
      <c r="K5" s="1"/>
      <c r="L5" s="1"/>
    </row>
    <row r="6" spans="1:12" ht="15" customHeight="1" x14ac:dyDescent="0.2">
      <c r="A6" s="1"/>
      <c r="B6" s="3"/>
      <c r="C6" s="3"/>
      <c r="D6" s="3"/>
      <c r="E6" s="3"/>
      <c r="F6" s="3"/>
      <c r="G6" s="3"/>
      <c r="H6" s="9"/>
      <c r="I6" s="10"/>
      <c r="J6" s="1"/>
      <c r="K6" s="1"/>
      <c r="L6" s="1"/>
    </row>
    <row r="7" spans="1:12" ht="15" customHeight="1" x14ac:dyDescent="0.2">
      <c r="A7" s="15"/>
      <c r="B7" s="17" t="s">
        <v>0</v>
      </c>
      <c r="C7" s="16" t="s">
        <v>19</v>
      </c>
      <c r="D7" s="16" t="s">
        <v>12</v>
      </c>
      <c r="E7" s="16" t="s">
        <v>20</v>
      </c>
      <c r="F7" s="96" t="s">
        <v>10</v>
      </c>
      <c r="G7" s="97"/>
      <c r="H7" s="16" t="s">
        <v>14</v>
      </c>
      <c r="I7" s="18" t="s">
        <v>21</v>
      </c>
      <c r="J7" s="96" t="s">
        <v>15</v>
      </c>
      <c r="K7" s="97"/>
      <c r="L7" s="16" t="s">
        <v>16</v>
      </c>
    </row>
    <row r="8" spans="1:12" ht="19.2" customHeight="1" x14ac:dyDescent="0.2">
      <c r="A8" s="45" t="str">
        <f ca="1">IF(AND(J8&lt;&gt;0,J8&lt;&gt;""),1,"")</f>
        <v/>
      </c>
      <c r="B8" s="45">
        <f ca="1">IF(J8&lt;&gt;"",IF(J8&lt;&gt;0,
IF(COUNTIF(INDEX(まとめ!$B$12:$B$27, MATCH(J8,まとめ!$I$12:$I$27, 0)),"*正社員*"),"保育士（正社員）","保育士（パート）"), 0),"")</f>
        <v>0</v>
      </c>
      <c r="C8" s="30">
        <f t="shared" ref="C8:C23" ca="1" si="0">IF(J8="","",IF(J8=0,0,IF(I8&gt;=1,"常勤","非常勤")))</f>
        <v>0</v>
      </c>
      <c r="D8" s="30">
        <f ca="1">IF(J8&lt;&gt;"",IF(J8&lt;&gt;0,
IFERROR(INDEX(まとめ!$D$12:$D$27,MATCH(J8,まとめ!$I$12:$I$27,0)),""), 0),"")</f>
        <v>0</v>
      </c>
      <c r="E8" s="27">
        <f ca="1">IF(J8&lt;&gt;"",
IFERROR(VALUE(INDEX(まとめ!$E$12:$E$27,MATCH(J8,まとめ!$I$12:$I$27,0)))-SUM(G8:H8),""),"")</f>
        <v>0</v>
      </c>
      <c r="F8" s="33">
        <f ca="1">IF(J8&lt;&gt;"",IF(J8&lt;&gt;0,
IF(IFERROR(INDEX(まとめ!$F$12:$F$27,MATCH(J8,まとめ!$I$12:$I$27,0)),"")&lt;&gt;"",まとめ!$E$9,""), 0),"")</f>
        <v>0</v>
      </c>
      <c r="G8" s="48">
        <f ca="1">IF(F8&lt;&gt;"",IFERROR(VALUE(INDEX(まとめ!$G$12:$G$27,MATCH(J8,まとめ!$I$12:$I$27,0))),0),"")</f>
        <v>0</v>
      </c>
      <c r="H8" s="37">
        <f ca="1">IF(J8&lt;&gt;"",IF(J8&lt;&gt;0,
IFERROR(VALUE(INDEX(まとめ!$H$12:$H$27,MATCH(J8,まとめ!$I$12:$I$27,0))),""), 0),"")</f>
        <v>0</v>
      </c>
      <c r="I8" s="27">
        <f t="shared" ref="I8:I23" ca="1" si="1">IF(J8&lt;&gt;"",IF(E8&gt;$C$5,1,ROUND(E8/$C$5,1)),"")</f>
        <v>0</v>
      </c>
      <c r="J8" s="49">
        <f t="array" aca="1" ref="J8:J19" ca="1">_xlfn._xlws.FILTER(まとめ!I12:I27, まとめ!C12:C27=0, "")</f>
        <v>0</v>
      </c>
      <c r="K8" s="50">
        <f ca="1">IF(J8&lt;&gt;"",VLOOKUP(J8,まとめ!I12:J27,2,FALSE),"")</f>
        <v>0</v>
      </c>
      <c r="L8" s="45">
        <f ca="1">IF(J8&lt;&gt;"",IF(J8&lt;&gt;0,
IFERROR(VALUE(INDEX(まとめ!$K$12:$K$27,MATCH(J8,まとめ!$I$12:$I$27,0))),""), 0),"")</f>
        <v>0</v>
      </c>
    </row>
    <row r="9" spans="1:12" ht="19.2" customHeight="1" x14ac:dyDescent="0.2">
      <c r="A9" s="46" t="str">
        <f t="shared" ref="A9:A23" ca="1" si="2">IF(AND(J9&lt;&gt;0,J9&lt;&gt;""),A8+1,"")</f>
        <v/>
      </c>
      <c r="B9" s="46">
        <f ca="1">IF(J9&lt;&gt;"",IF(J9&lt;&gt;0,
IF(COUNTIF(INDEX(まとめ!$B$12:$B$27, MATCH(J9,まとめ!$I$12:$I$27, 0)),"*正社員*"),"保育士（正社員）","保育士（パート）"), 0),"")</f>
        <v>0</v>
      </c>
      <c r="C9" s="31">
        <f t="shared" ca="1" si="0"/>
        <v>0</v>
      </c>
      <c r="D9" s="31">
        <f ca="1">IF(J9&lt;&gt;"",IF(J9&lt;&gt;0,
IFERROR(INDEX(まとめ!$D$12:$D$27,MATCH(J9,まとめ!$I$12:$I$27,0)),""), 0),"")</f>
        <v>0</v>
      </c>
      <c r="E9" s="28">
        <f ca="1">IF(J9&lt;&gt;"",
IFERROR(VALUE(INDEX(まとめ!$E$12:$E$27,MATCH(J9,まとめ!$I$12:$I$27,0)))-SUM(G9:H9),""),"")</f>
        <v>0</v>
      </c>
      <c r="F9" s="34">
        <f ca="1">IF(J9&lt;&gt;"",IF(J9&lt;&gt;0,
IF(IFERROR(INDEX(まとめ!$F$12:$F$27,MATCH(J9,まとめ!$I$12:$I$27,0)),"")&lt;&gt;"",まとめ!$E$9,""), 0),"")</f>
        <v>0</v>
      </c>
      <c r="G9" s="36">
        <f ca="1">IF(F9&lt;&gt;"",IFERROR(VALUE(INDEX(まとめ!$G$12:$G$27,MATCH(J9,まとめ!$I$12:$I$27,0))),0),"")</f>
        <v>0</v>
      </c>
      <c r="H9" s="38">
        <f ca="1">IF(J9&lt;&gt;"",IF(J9&lt;&gt;0,
IFERROR(VALUE(INDEX(まとめ!$H$12:$H$27,MATCH(J9,まとめ!$I$12:$I$27,0))),""), 0),"")</f>
        <v>0</v>
      </c>
      <c r="I9" s="28">
        <f t="shared" ca="1" si="1"/>
        <v>0</v>
      </c>
      <c r="J9" s="51">
        <f ca="1"/>
        <v>0</v>
      </c>
      <c r="K9" s="52">
        <f ca="1">IF(J9&lt;&gt;"",VLOOKUP(J9,まとめ!I13:J28,2,FALSE),"")</f>
        <v>0</v>
      </c>
      <c r="L9" s="46">
        <f ca="1">IF(J9&lt;&gt;"",IF(J9&lt;&gt;0,
IFERROR(VALUE(INDEX(まとめ!$K$12:$K$27,MATCH(J9,まとめ!$I$12:$I$27,0))),""), 0),"")</f>
        <v>0</v>
      </c>
    </row>
    <row r="10" spans="1:12" ht="19.2" customHeight="1" x14ac:dyDescent="0.2">
      <c r="A10" s="46" t="str">
        <f t="shared" ca="1" si="2"/>
        <v/>
      </c>
      <c r="B10" s="46">
        <f ca="1">IF(J10&lt;&gt;"",IF(J10&lt;&gt;0,
IF(COUNTIF(INDEX(まとめ!$B$12:$B$27, MATCH(J10,まとめ!$I$12:$I$27, 0)),"*正社員*"),"保育士（正社員）","保育士（パート）"), 0),"")</f>
        <v>0</v>
      </c>
      <c r="C10" s="31">
        <f t="shared" ca="1" si="0"/>
        <v>0</v>
      </c>
      <c r="D10" s="31">
        <f ca="1">IF(J10&lt;&gt;"",IF(J10&lt;&gt;0,
IFERROR(INDEX(まとめ!$D$12:$D$27,MATCH(J10,まとめ!$I$12:$I$27,0)),""), 0),"")</f>
        <v>0</v>
      </c>
      <c r="E10" s="28">
        <f ca="1">IF(J10&lt;&gt;"",
IFERROR(VALUE(INDEX(まとめ!$E$12:$E$27,MATCH(J10,まとめ!$I$12:$I$27,0)))-SUM(G10:H10),""),"")</f>
        <v>0</v>
      </c>
      <c r="F10" s="34">
        <f ca="1">IF(J10&lt;&gt;"",IF(J10&lt;&gt;0,
IF(IFERROR(INDEX(まとめ!$F$12:$F$27,MATCH(J10,まとめ!$I$12:$I$27,0)),"")&lt;&gt;"",まとめ!$E$9,""), 0),"")</f>
        <v>0</v>
      </c>
      <c r="G10" s="36">
        <f ca="1">IF(F10&lt;&gt;"",IFERROR(INDEX(まとめ!$G$12:$G$27,MATCH(J10,まとめ!$I$12:$I$27,0)),0),"")</f>
        <v>0</v>
      </c>
      <c r="H10" s="38">
        <f ca="1">IF(J10&lt;&gt;"",IF(J10&lt;&gt;0,
IFERROR(INDEX(まとめ!$H$12:$H$27,MATCH(J10,まとめ!$I$12:$I$27,0)),""), 0),"")</f>
        <v>0</v>
      </c>
      <c r="I10" s="28">
        <f t="shared" ca="1" si="1"/>
        <v>0</v>
      </c>
      <c r="J10" s="51">
        <f ca="1"/>
        <v>0</v>
      </c>
      <c r="K10" s="52">
        <f ca="1">IF(J10&lt;&gt;"",VLOOKUP(J10,まとめ!I14:J29,2,FALSE),"")</f>
        <v>0</v>
      </c>
      <c r="L10" s="46">
        <f ca="1">IF(J10&lt;&gt;"",IF(J10&lt;&gt;0,
IFERROR(VALUE(INDEX(まとめ!$K$12:$K$27,MATCH(J10,まとめ!$I$12:$I$27,0))),""), 0),"")</f>
        <v>0</v>
      </c>
    </row>
    <row r="11" spans="1:12" ht="19.2" customHeight="1" x14ac:dyDescent="0.2">
      <c r="A11" s="46" t="str">
        <f t="shared" ca="1" si="2"/>
        <v/>
      </c>
      <c r="B11" s="46">
        <f ca="1">IF(J11&lt;&gt;"",IF(J11&lt;&gt;0,
IF(COUNTIF(INDEX(まとめ!$B$12:$B$27, MATCH(J11,まとめ!$I$12:$I$27, 0)),"*正社員*"),"保育士（正社員）","保育士（パート）"), 0),"")</f>
        <v>0</v>
      </c>
      <c r="C11" s="31">
        <f t="shared" ca="1" si="0"/>
        <v>0</v>
      </c>
      <c r="D11" s="31">
        <f ca="1">IF(J11&lt;&gt;"",IF(J11&lt;&gt;0,
IFERROR(INDEX(まとめ!$D$12:$D$27,MATCH(J11,まとめ!$I$12:$I$27,0)),""), 0),"")</f>
        <v>0</v>
      </c>
      <c r="E11" s="28">
        <f ca="1">IF(J11&lt;&gt;"",
IFERROR(VALUE(INDEX(まとめ!$E$12:$E$27,MATCH(J11,まとめ!$I$12:$I$27,0)))-SUM(G11:H11),""),"")</f>
        <v>0</v>
      </c>
      <c r="F11" s="34">
        <f ca="1">IF(J11&lt;&gt;"",IF(J11&lt;&gt;0,
IF(IFERROR(INDEX(まとめ!$F$12:$F$27,MATCH(J11,まとめ!$I$12:$I$27,0)),"")&lt;&gt;"",まとめ!$E$9,""), 0),"")</f>
        <v>0</v>
      </c>
      <c r="G11" s="36">
        <f ca="1">IF(F11&lt;&gt;"",IFERROR(INDEX(まとめ!$G$12:$G$27,MATCH(J11,まとめ!$I$12:$I$27,0)),0),"")</f>
        <v>0</v>
      </c>
      <c r="H11" s="38">
        <f ca="1">IF(J11&lt;&gt;"",IF(J11&lt;&gt;0,
IFERROR(INDEX(まとめ!$H$12:$H$27,MATCH(J11,まとめ!$I$12:$I$27,0)),""), 0),"")</f>
        <v>0</v>
      </c>
      <c r="I11" s="28">
        <f t="shared" ca="1" si="1"/>
        <v>0</v>
      </c>
      <c r="J11" s="51">
        <f ca="1"/>
        <v>0</v>
      </c>
      <c r="K11" s="52">
        <f ca="1">IF(J11&lt;&gt;"",VLOOKUP(J11,まとめ!I15:J30,2,FALSE),"")</f>
        <v>0</v>
      </c>
      <c r="L11" s="46">
        <f ca="1">IF(J11&lt;&gt;"",IF(J11&lt;&gt;0,
IFERROR(VALUE(INDEX(まとめ!$K$12:$K$27,MATCH(J11,まとめ!$I$12:$I$27,0))),""), 0),"")</f>
        <v>0</v>
      </c>
    </row>
    <row r="12" spans="1:12" ht="19.2" customHeight="1" x14ac:dyDescent="0.2">
      <c r="A12" s="46" t="str">
        <f t="shared" ca="1" si="2"/>
        <v/>
      </c>
      <c r="B12" s="46">
        <f ca="1">IF(J12&lt;&gt;"",IF(J12&lt;&gt;0,
IF(COUNTIF(INDEX(まとめ!$B$12:$B$27, MATCH(J12,まとめ!$I$12:$I$27, 0)),"*正社員*"),"保育士（正社員）","保育士（パート）"), 0),"")</f>
        <v>0</v>
      </c>
      <c r="C12" s="31">
        <f t="shared" ca="1" si="0"/>
        <v>0</v>
      </c>
      <c r="D12" s="31">
        <f ca="1">IF(J12&lt;&gt;"",IF(J12&lt;&gt;0,
IFERROR(INDEX(まとめ!$D$12:$D$27,MATCH(J12,まとめ!$I$12:$I$27,0)),""), 0),"")</f>
        <v>0</v>
      </c>
      <c r="E12" s="28">
        <f ca="1">IF(J12&lt;&gt;"",
IFERROR(VALUE(INDEX(まとめ!$E$12:$E$27,MATCH(J12,まとめ!$I$12:$I$27,0)))-SUM(G12:H12),""),"")</f>
        <v>0</v>
      </c>
      <c r="F12" s="34">
        <f ca="1">IF(J12&lt;&gt;"",IF(J12&lt;&gt;0,
IF(IFERROR(INDEX(まとめ!$F$12:$F$27,MATCH(J12,まとめ!$I$12:$I$27,0)),"")&lt;&gt;"",まとめ!$E$9,""), 0),"")</f>
        <v>0</v>
      </c>
      <c r="G12" s="36">
        <f ca="1">IF(F12&lt;&gt;"",IFERROR(INDEX(まとめ!$G$12:$G$27,MATCH(J12,まとめ!$I$12:$I$27,0)),0),"")</f>
        <v>0</v>
      </c>
      <c r="H12" s="38">
        <f ca="1">IF(J12&lt;&gt;"",IF(J12&lt;&gt;0,
IFERROR(INDEX(まとめ!$H$12:$H$27,MATCH(J12,まとめ!$I$12:$I$27,0)),""), 0),"")</f>
        <v>0</v>
      </c>
      <c r="I12" s="28">
        <f t="shared" ca="1" si="1"/>
        <v>0</v>
      </c>
      <c r="J12" s="51">
        <f ca="1"/>
        <v>0</v>
      </c>
      <c r="K12" s="52">
        <f ca="1">IF(J12&lt;&gt;"",VLOOKUP(J12,まとめ!I16:J31,2,FALSE),"")</f>
        <v>0</v>
      </c>
      <c r="L12" s="46">
        <f ca="1">IF(J12&lt;&gt;"",IF(J12&lt;&gt;0,
IFERROR(VALUE(INDEX(まとめ!$K$12:$K$27,MATCH(J12,まとめ!$I$12:$I$27,0))),""), 0),"")</f>
        <v>0</v>
      </c>
    </row>
    <row r="13" spans="1:12" ht="19.2" customHeight="1" x14ac:dyDescent="0.2">
      <c r="A13" s="46" t="str">
        <f t="shared" ca="1" si="2"/>
        <v/>
      </c>
      <c r="B13" s="46">
        <f ca="1">IF(J13&lt;&gt;"",IF(J13&lt;&gt;0,
IF(COUNTIF(INDEX(まとめ!$B$12:$B$27, MATCH(J13,まとめ!$I$12:$I$27, 0)),"*正社員*"),"保育士（正社員）","保育士（パート）"), 0),"")</f>
        <v>0</v>
      </c>
      <c r="C13" s="31">
        <f t="shared" ca="1" si="0"/>
        <v>0</v>
      </c>
      <c r="D13" s="31">
        <f ca="1">IF(J13&lt;&gt;"",IF(J13&lt;&gt;0,
IFERROR(INDEX(まとめ!$D$12:$D$27,MATCH(J13,まとめ!$I$12:$I$27,0)),""), 0),"")</f>
        <v>0</v>
      </c>
      <c r="E13" s="28">
        <f ca="1">IF(J13&lt;&gt;"",
IFERROR(VALUE(INDEX(まとめ!$E$12:$E$27,MATCH(J13,まとめ!$I$12:$I$27,0)))-SUM(G13:H13),""),"")</f>
        <v>0</v>
      </c>
      <c r="F13" s="34">
        <f ca="1">IF(J13&lt;&gt;"",IF(J13&lt;&gt;0,
IF(IFERROR(INDEX(まとめ!$F$12:$F$27,MATCH(J13,まとめ!$I$12:$I$27,0)),"")&lt;&gt;"",まとめ!$E$9,""), 0),"")</f>
        <v>0</v>
      </c>
      <c r="G13" s="36">
        <f ca="1">IF(F13&lt;&gt;"",IFERROR(INDEX(まとめ!$G$12:$G$27,MATCH(J13,まとめ!$I$12:$I$27,0)),0),"")</f>
        <v>0</v>
      </c>
      <c r="H13" s="38">
        <f ca="1">IF(J13&lt;&gt;"",IF(J13&lt;&gt;0,
IFERROR(INDEX(まとめ!$H$12:$H$27,MATCH(J13,まとめ!$I$12:$I$27,0)),""), 0),"")</f>
        <v>0</v>
      </c>
      <c r="I13" s="28">
        <f t="shared" ca="1" si="1"/>
        <v>0</v>
      </c>
      <c r="J13" s="51">
        <f ca="1"/>
        <v>0</v>
      </c>
      <c r="K13" s="52">
        <f ca="1">IF(J13&lt;&gt;"",VLOOKUP(J13,まとめ!I17:J32,2,FALSE),"")</f>
        <v>0</v>
      </c>
      <c r="L13" s="46">
        <f ca="1">IF(J13&lt;&gt;"",IF(J13&lt;&gt;0,
IFERROR(VALUE(INDEX(まとめ!$K$12:$K$27,MATCH(J13,まとめ!$I$12:$I$27,0))),""), 0),"")</f>
        <v>0</v>
      </c>
    </row>
    <row r="14" spans="1:12" ht="19.2" customHeight="1" x14ac:dyDescent="0.2">
      <c r="A14" s="46" t="str">
        <f t="shared" ca="1" si="2"/>
        <v/>
      </c>
      <c r="B14" s="46">
        <f ca="1">IF(J14&lt;&gt;"",IF(J14&lt;&gt;0,
IF(COUNTIF(INDEX(まとめ!$B$12:$B$27, MATCH(J14,まとめ!$I$12:$I$27, 0)),"*正社員*"),"保育士（正社員）","保育士（パート）"), 0),"")</f>
        <v>0</v>
      </c>
      <c r="C14" s="31">
        <f t="shared" ca="1" si="0"/>
        <v>0</v>
      </c>
      <c r="D14" s="31">
        <f ca="1">IF(J14&lt;&gt;"",IF(J14&lt;&gt;0,
IFERROR(INDEX(まとめ!$D$12:$D$27,MATCH(J14,まとめ!$I$12:$I$27,0)),""), 0),"")</f>
        <v>0</v>
      </c>
      <c r="E14" s="28">
        <f ca="1">IF(J14&lt;&gt;"",
IFERROR(VALUE(INDEX(まとめ!$E$12:$E$27,MATCH(J14,まとめ!$I$12:$I$27,0)))-SUM(G14:H14),""),"")</f>
        <v>0</v>
      </c>
      <c r="F14" s="34">
        <f ca="1">IF(J14&lt;&gt;"",IF(J14&lt;&gt;0,
IF(IFERROR(INDEX(まとめ!$F$12:$F$27,MATCH(J14,まとめ!$I$12:$I$27,0)),"")&lt;&gt;"",まとめ!$E$9,""), 0),"")</f>
        <v>0</v>
      </c>
      <c r="G14" s="36">
        <f ca="1">IF(F14&lt;&gt;"",IFERROR(INDEX(まとめ!$G$12:$G$27,MATCH(J14,まとめ!$I$12:$I$27,0)),0),"")</f>
        <v>0</v>
      </c>
      <c r="H14" s="38">
        <f ca="1">IF(J14&lt;&gt;"",IF(J14&lt;&gt;0,
IFERROR(INDEX(まとめ!$H$12:$H$27,MATCH(J14,まとめ!$I$12:$I$27,0)),""), 0),"")</f>
        <v>0</v>
      </c>
      <c r="I14" s="28">
        <f t="shared" ca="1" si="1"/>
        <v>0</v>
      </c>
      <c r="J14" s="51">
        <f ca="1"/>
        <v>0</v>
      </c>
      <c r="K14" s="52">
        <f ca="1">IF(J14&lt;&gt;"",VLOOKUP(J14,まとめ!I18:J33,2,FALSE),"")</f>
        <v>0</v>
      </c>
      <c r="L14" s="46">
        <f ca="1">IF(J14&lt;&gt;"",IF(J14&lt;&gt;0,
IFERROR(VALUE(INDEX(まとめ!$K$12:$K$27,MATCH(J14,まとめ!$I$12:$I$27,0))),""), 0),"")</f>
        <v>0</v>
      </c>
    </row>
    <row r="15" spans="1:12" ht="19.2" customHeight="1" x14ac:dyDescent="0.2">
      <c r="A15" s="46" t="str">
        <f t="shared" ca="1" si="2"/>
        <v/>
      </c>
      <c r="B15" s="46">
        <f ca="1">IF(J15&lt;&gt;"",IF(J15&lt;&gt;0,
IF(COUNTIF(INDEX(まとめ!$B$12:$B$27, MATCH(J15,まとめ!$I$12:$I$27, 0)),"*正社員*"),"保育士（正社員）","保育士（パート）"), 0),"")</f>
        <v>0</v>
      </c>
      <c r="C15" s="31">
        <f t="shared" ca="1" si="0"/>
        <v>0</v>
      </c>
      <c r="D15" s="31">
        <f ca="1">IF(J15&lt;&gt;"",IF(J15&lt;&gt;0,
IFERROR(INDEX(まとめ!$D$12:$D$27,MATCH(J15,まとめ!$I$12:$I$27,0)),""), 0),"")</f>
        <v>0</v>
      </c>
      <c r="E15" s="28">
        <f ca="1">IF(J15&lt;&gt;"",
IFERROR(VALUE(INDEX(まとめ!$E$12:$E$27,MATCH(J15,まとめ!$I$12:$I$27,0)))-SUM(G15:H15),""),"")</f>
        <v>0</v>
      </c>
      <c r="F15" s="34">
        <f ca="1">IF(J15&lt;&gt;"",IF(J15&lt;&gt;0,
IF(IFERROR(INDEX(まとめ!$F$12:$F$27,MATCH(J15,まとめ!$I$12:$I$27,0)),"")&lt;&gt;"",まとめ!$E$9,""), 0),"")</f>
        <v>0</v>
      </c>
      <c r="G15" s="36">
        <f ca="1">IF(F15&lt;&gt;"",IFERROR(INDEX(まとめ!$G$12:$G$27,MATCH(J15,まとめ!$I$12:$I$27,0)),0),"")</f>
        <v>0</v>
      </c>
      <c r="H15" s="38">
        <f ca="1">IF(J15&lt;&gt;"",IF(J15&lt;&gt;0,
IFERROR(INDEX(まとめ!$H$12:$H$27,MATCH(J15,まとめ!$I$12:$I$27,0)),""), 0),"")</f>
        <v>0</v>
      </c>
      <c r="I15" s="28">
        <f t="shared" ca="1" si="1"/>
        <v>0</v>
      </c>
      <c r="J15" s="51">
        <f ca="1"/>
        <v>0</v>
      </c>
      <c r="K15" s="52">
        <f ca="1">IF(J15&lt;&gt;"",VLOOKUP(J15,まとめ!I19:J34,2,FALSE),"")</f>
        <v>0</v>
      </c>
      <c r="L15" s="46">
        <f ca="1">IF(J15&lt;&gt;"",IF(J15&lt;&gt;0,
IFERROR(VALUE(INDEX(まとめ!$K$12:$K$27,MATCH(J15,まとめ!$I$12:$I$27,0))),""), 0),"")</f>
        <v>0</v>
      </c>
    </row>
    <row r="16" spans="1:12" ht="19.2" customHeight="1" x14ac:dyDescent="0.2">
      <c r="A16" s="46" t="str">
        <f t="shared" ca="1" si="2"/>
        <v/>
      </c>
      <c r="B16" s="46">
        <f ca="1">IF(J16&lt;&gt;"",IF(J16&lt;&gt;0,
IF(COUNTIF(INDEX(まとめ!$B$12:$B$27, MATCH(J16,まとめ!$I$12:$I$27, 0)),"*正社員*"),"保育士（正社員）","保育士（パート）"), 0),"")</f>
        <v>0</v>
      </c>
      <c r="C16" s="31">
        <f t="shared" ca="1" si="0"/>
        <v>0</v>
      </c>
      <c r="D16" s="31">
        <f ca="1">IF(J16&lt;&gt;"",IF(J16&lt;&gt;0,
IFERROR(INDEX(まとめ!$D$12:$D$27,MATCH(J16,まとめ!$I$12:$I$27,0)),""), 0),"")</f>
        <v>0</v>
      </c>
      <c r="E16" s="28">
        <f ca="1">IF(J16&lt;&gt;"",
IFERROR(VALUE(INDEX(まとめ!$E$12:$E$27,MATCH(J16,まとめ!$I$12:$I$27,0)))-SUM(G16:H16),""),"")</f>
        <v>0</v>
      </c>
      <c r="F16" s="34">
        <f ca="1">IF(J16&lt;&gt;"",IF(J16&lt;&gt;0,
IF(IFERROR(INDEX(まとめ!$F$12:$F$27,MATCH(J16,まとめ!$I$12:$I$27,0)),"")&lt;&gt;"",まとめ!$E$9,""), 0),"")</f>
        <v>0</v>
      </c>
      <c r="G16" s="36">
        <f ca="1">IF(F16&lt;&gt;"",IFERROR(INDEX(まとめ!$G$12:$G$27,MATCH(J16,まとめ!$I$12:$I$27,0)),0),"")</f>
        <v>0</v>
      </c>
      <c r="H16" s="38">
        <f ca="1">IF(J16&lt;&gt;"",IF(J16&lt;&gt;0,
IFERROR(INDEX(まとめ!$H$12:$H$27,MATCH(J16,まとめ!$I$12:$I$27,0)),""), 0),"")</f>
        <v>0</v>
      </c>
      <c r="I16" s="28">
        <f t="shared" ca="1" si="1"/>
        <v>0</v>
      </c>
      <c r="J16" s="51">
        <f ca="1"/>
        <v>0</v>
      </c>
      <c r="K16" s="52">
        <f ca="1">IF(J16&lt;&gt;"",VLOOKUP(J16,まとめ!I20:J35,2,FALSE),"")</f>
        <v>0</v>
      </c>
      <c r="L16" s="46">
        <f ca="1">IF(J16&lt;&gt;"",IF(J16&lt;&gt;0,
IFERROR(VALUE(INDEX(まとめ!$K$12:$K$27,MATCH(J16,まとめ!$I$12:$I$27,0))),""), 0),"")</f>
        <v>0</v>
      </c>
    </row>
    <row r="17" spans="1:12" ht="19.2" customHeight="1" x14ac:dyDescent="0.2">
      <c r="A17" s="46" t="str">
        <f t="shared" ca="1" si="2"/>
        <v/>
      </c>
      <c r="B17" s="46">
        <f ca="1">IF(J17&lt;&gt;"",IF(J17&lt;&gt;0,
IF(COUNTIF(INDEX(まとめ!$B$12:$B$27, MATCH(J17,まとめ!$I$12:$I$27, 0)),"*正社員*"),"保育士（正社員）","保育士（パート）"), 0),"")</f>
        <v>0</v>
      </c>
      <c r="C17" s="31">
        <f t="shared" ca="1" si="0"/>
        <v>0</v>
      </c>
      <c r="D17" s="31">
        <f ca="1">IF(J17&lt;&gt;"",IF(J17&lt;&gt;0,
IFERROR(INDEX(まとめ!$D$12:$D$27,MATCH(J17,まとめ!$I$12:$I$27,0)),""), 0),"")</f>
        <v>0</v>
      </c>
      <c r="E17" s="28">
        <f ca="1">IF(J17&lt;&gt;"",
IFERROR(VALUE(INDEX(まとめ!$E$12:$E$27,MATCH(J17,まとめ!$I$12:$I$27,0)))-SUM(G17:H17),""),"")</f>
        <v>0</v>
      </c>
      <c r="F17" s="34">
        <f ca="1">IF(J17&lt;&gt;"",IF(J17&lt;&gt;0,
IF(IFERROR(INDEX(まとめ!$F$12:$F$27,MATCH(J17,まとめ!$I$12:$I$27,0)),"")&lt;&gt;"",まとめ!$E$9,""), 0),"")</f>
        <v>0</v>
      </c>
      <c r="G17" s="36">
        <f ca="1">IF(F17&lt;&gt;"",IFERROR(INDEX(まとめ!$G$12:$G$27,MATCH(J17,まとめ!$I$12:$I$27,0)),0),"")</f>
        <v>0</v>
      </c>
      <c r="H17" s="38">
        <f ca="1">IF(J17&lt;&gt;"",IF(J17&lt;&gt;0,
IFERROR(INDEX(まとめ!$H$12:$H$27,MATCH(J17,まとめ!$I$12:$I$27,0)),""), 0),"")</f>
        <v>0</v>
      </c>
      <c r="I17" s="28">
        <f t="shared" ca="1" si="1"/>
        <v>0</v>
      </c>
      <c r="J17" s="51">
        <f ca="1"/>
        <v>0</v>
      </c>
      <c r="K17" s="52">
        <f ca="1">IF(J17&lt;&gt;"",VLOOKUP(J17,まとめ!I21:J36,2,FALSE),"")</f>
        <v>0</v>
      </c>
      <c r="L17" s="46">
        <f ca="1">IF(J17&lt;&gt;"",IF(J17&lt;&gt;0,
IFERROR(VALUE(INDEX(まとめ!$K$12:$K$27,MATCH(J17,まとめ!$I$12:$I$27,0))),""), 0),"")</f>
        <v>0</v>
      </c>
    </row>
    <row r="18" spans="1:12" ht="19.2" customHeight="1" x14ac:dyDescent="0.2">
      <c r="A18" s="46" t="str">
        <f t="shared" ca="1" si="2"/>
        <v/>
      </c>
      <c r="B18" s="46">
        <f ca="1">IF(J18&lt;&gt;"",IF(J18&lt;&gt;0,
IF(COUNTIF(INDEX(まとめ!$B$12:$B$27, MATCH(J18,まとめ!$I$12:$I$27, 0)),"*正社員*"),"保育士（正社員）","保育士（パート）"), 0),"")</f>
        <v>0</v>
      </c>
      <c r="C18" s="31">
        <f t="shared" ca="1" si="0"/>
        <v>0</v>
      </c>
      <c r="D18" s="31">
        <f ca="1">IF(J18&lt;&gt;"",IF(J18&lt;&gt;0,
IFERROR(INDEX(まとめ!$D$12:$D$27,MATCH(J18,まとめ!$I$12:$I$27,0)),""), 0),"")</f>
        <v>0</v>
      </c>
      <c r="E18" s="28">
        <f ca="1">IF(J18&lt;&gt;"",
IFERROR(VALUE(INDEX(まとめ!$E$12:$E$27,MATCH(J18,まとめ!$I$12:$I$27,0)))-SUM(G18:H18),""),"")</f>
        <v>0</v>
      </c>
      <c r="F18" s="34">
        <f ca="1">IF(J18&lt;&gt;"",IF(J18&lt;&gt;0,
IF(IFERROR(INDEX(まとめ!$F$12:$F$27,MATCH(J18,まとめ!$I$12:$I$27,0)),"")&lt;&gt;"",まとめ!$E$9,""), 0),"")</f>
        <v>0</v>
      </c>
      <c r="G18" s="36">
        <f ca="1">IF(F18&lt;&gt;"",IFERROR(INDEX(まとめ!$G$12:$G$27,MATCH(J18,まとめ!$I$12:$I$27,0)),0),"")</f>
        <v>0</v>
      </c>
      <c r="H18" s="38">
        <f ca="1">IF(J18&lt;&gt;"",IF(J18&lt;&gt;0,
IFERROR(INDEX(まとめ!$H$12:$H$27,MATCH(J18,まとめ!$I$12:$I$27,0)),""), 0),"")</f>
        <v>0</v>
      </c>
      <c r="I18" s="28">
        <f t="shared" ca="1" si="1"/>
        <v>0</v>
      </c>
      <c r="J18" s="51">
        <f ca="1"/>
        <v>0</v>
      </c>
      <c r="K18" s="52">
        <f ca="1">IF(J18&lt;&gt;"",VLOOKUP(J18,まとめ!I22:J37,2,FALSE),"")</f>
        <v>0</v>
      </c>
      <c r="L18" s="46">
        <f ca="1">IF(J18&lt;&gt;"",IF(J18&lt;&gt;0,
IFERROR(VALUE(INDEX(まとめ!$K$12:$K$27,MATCH(J18,まとめ!$I$12:$I$27,0))),""), 0),"")</f>
        <v>0</v>
      </c>
    </row>
    <row r="19" spans="1:12" ht="19.2" customHeight="1" x14ac:dyDescent="0.2">
      <c r="A19" s="46" t="str">
        <f t="shared" ca="1" si="2"/>
        <v/>
      </c>
      <c r="B19" s="46">
        <f ca="1">IF(J19&lt;&gt;"",IF(J19&lt;&gt;0,
IF(COUNTIF(INDEX(まとめ!$B$12:$B$27, MATCH(J19,まとめ!$I$12:$I$27, 0)),"*正社員*"),"保育士（正社員）","保育士（パート）"), 0),"")</f>
        <v>0</v>
      </c>
      <c r="C19" s="31">
        <f t="shared" ca="1" si="0"/>
        <v>0</v>
      </c>
      <c r="D19" s="31">
        <f ca="1">IF(J19&lt;&gt;"",IF(J19&lt;&gt;0,
IFERROR(INDEX(まとめ!$D$12:$D$27,MATCH(J19,まとめ!$I$12:$I$27,0)),""), 0),"")</f>
        <v>0</v>
      </c>
      <c r="E19" s="28">
        <f ca="1">IF(J19&lt;&gt;"",
IFERROR(VALUE(INDEX(まとめ!$E$12:$E$27,MATCH(J19,まとめ!$I$12:$I$27,0)))-SUM(G19:H19),""),"")</f>
        <v>0</v>
      </c>
      <c r="F19" s="34">
        <f ca="1">IF(J19&lt;&gt;"",IF(J19&lt;&gt;0,
IF(IFERROR(INDEX(まとめ!$F$12:$F$27,MATCH(J19,まとめ!$I$12:$I$27,0)),"")&lt;&gt;"",まとめ!$E$9,""), 0),"")</f>
        <v>0</v>
      </c>
      <c r="G19" s="36">
        <f ca="1">IF(F19&lt;&gt;"",IFERROR(INDEX(まとめ!$G$12:$G$27,MATCH(J19,まとめ!$I$12:$I$27,0)),0),"")</f>
        <v>0</v>
      </c>
      <c r="H19" s="38">
        <f ca="1">IF(J19&lt;&gt;"",IF(J19&lt;&gt;0,
IFERROR(INDEX(まとめ!$H$12:$H$27,MATCH(J19,まとめ!$I$12:$I$27,0)),""), 0),"")</f>
        <v>0</v>
      </c>
      <c r="I19" s="28">
        <f t="shared" ca="1" si="1"/>
        <v>0</v>
      </c>
      <c r="J19" s="51">
        <f ca="1"/>
        <v>0</v>
      </c>
      <c r="K19" s="52">
        <f ca="1">IF(J19&lt;&gt;"",VLOOKUP(J19,まとめ!I23:J38,2,FALSE),"")</f>
        <v>0</v>
      </c>
      <c r="L19" s="46">
        <f ca="1">IF(J19&lt;&gt;"",IF(J19&lt;&gt;0,
IFERROR(VALUE(INDEX(まとめ!$K$12:$K$27,MATCH(J19,まとめ!$I$12:$I$27,0))),""), 0),"")</f>
        <v>0</v>
      </c>
    </row>
    <row r="20" spans="1:12" ht="19.2" customHeight="1" x14ac:dyDescent="0.2">
      <c r="A20" s="46" t="str">
        <f t="shared" si="2"/>
        <v/>
      </c>
      <c r="B20" s="46" t="str">
        <f>IF(J20&lt;&gt;"",IF(J20&lt;&gt;0,
IF(COUNTIF(INDEX(まとめ!$B$12:$B$27, MATCH(J20,まとめ!$I$12:$I$27, 0)),"*正社員*"),"保育士（正社員）","保育士（パート）"), 0),"")</f>
        <v/>
      </c>
      <c r="C20" s="31" t="str">
        <f t="shared" si="0"/>
        <v/>
      </c>
      <c r="D20" s="31" t="str">
        <f>IF(J20&lt;&gt;"",IF(J20&lt;&gt;0,
IFERROR(INDEX(まとめ!$D$12:$D$27,MATCH(J20,まとめ!$I$12:$I$27,0)),""), 0),"")</f>
        <v/>
      </c>
      <c r="E20" s="28" t="str">
        <f>IF(J20&lt;&gt;"",
IFERROR(VALUE(INDEX(まとめ!$E$12:$E$27,MATCH(J20,まとめ!$I$12:$I$27,0)))-SUM(G20:H20),""),"")</f>
        <v/>
      </c>
      <c r="F20" s="34" t="str">
        <f>IF(J20&lt;&gt;"",IF(J20&lt;&gt;0,
IF(IFERROR(INDEX(まとめ!$F$12:$F$27,MATCH(J20,まとめ!$I$12:$I$27,0)),"")&lt;&gt;"",まとめ!$E$9,""), 0),"")</f>
        <v/>
      </c>
      <c r="G20" s="36" t="str">
        <f>IF(F20&lt;&gt;"",IFERROR(INDEX(まとめ!$G$12:$G$27,MATCH(J20,まとめ!$I$12:$I$27,0)),0),"")</f>
        <v/>
      </c>
      <c r="H20" s="38" t="str">
        <f>IF(J20&lt;&gt;"",IF(J20&lt;&gt;0,
IFERROR(INDEX(まとめ!$H$12:$H$27,MATCH(J20,まとめ!$I$12:$I$27,0)),""), 0),"")</f>
        <v/>
      </c>
      <c r="I20" s="28" t="str">
        <f t="shared" si="1"/>
        <v/>
      </c>
      <c r="J20" s="51"/>
      <c r="K20" s="52" t="str">
        <f>IF(J20&lt;&gt;"",VLOOKUP(J20,まとめ!I24:J39,2,FALSE),"")</f>
        <v/>
      </c>
      <c r="L20" s="46" t="str">
        <f>IF(J20&lt;&gt;"",IF(J20&lt;&gt;0,
IFERROR(VALUE(INDEX(まとめ!$K$12:$K$27,MATCH(J20,まとめ!$I$12:$I$27,0))),""), 0),"")</f>
        <v/>
      </c>
    </row>
    <row r="21" spans="1:12" ht="19.2" customHeight="1" x14ac:dyDescent="0.2">
      <c r="A21" s="46" t="str">
        <f t="shared" si="2"/>
        <v/>
      </c>
      <c r="B21" s="46" t="str">
        <f>IF(J21&lt;&gt;"",IF(J21&lt;&gt;0,
IF(COUNTIF(INDEX(まとめ!$B$12:$B$27, MATCH(J21,まとめ!$I$12:$I$27, 0)),"*正社員*"),"保育士（正社員）","保育士（パート）"), 0),"")</f>
        <v/>
      </c>
      <c r="C21" s="31" t="str">
        <f t="shared" si="0"/>
        <v/>
      </c>
      <c r="D21" s="31" t="str">
        <f>IF(J21&lt;&gt;"",IF(J21&lt;&gt;0,
IFERROR(INDEX(まとめ!$D$12:$D$27,MATCH(J21,まとめ!$I$12:$I$27,0)),""), 0),"")</f>
        <v/>
      </c>
      <c r="E21" s="28" t="str">
        <f>IF(J21&lt;&gt;"",
IFERROR(VALUE(INDEX(まとめ!$E$12:$E$27,MATCH(J21,まとめ!$I$12:$I$27,0)))-SUM(G21:H21),""),"")</f>
        <v/>
      </c>
      <c r="F21" s="34" t="str">
        <f>IF(J21&lt;&gt;"",IF(J21&lt;&gt;0,
IF(IFERROR(INDEX(まとめ!$F$12:$F$27,MATCH(J21,まとめ!$I$12:$I$27,0)),"")&lt;&gt;"",まとめ!$E$9,""), 0),"")</f>
        <v/>
      </c>
      <c r="G21" s="36" t="str">
        <f>IF(F21&lt;&gt;"",IFERROR(INDEX(まとめ!$G$12:$G$27,MATCH(J21,まとめ!$I$12:$I$27,0)),0),"")</f>
        <v/>
      </c>
      <c r="H21" s="38" t="str">
        <f>IF(J21&lt;&gt;"",IF(J21&lt;&gt;0,
IFERROR(INDEX(まとめ!$H$12:$H$27,MATCH(J21,まとめ!$I$12:$I$27,0)),""), 0),"")</f>
        <v/>
      </c>
      <c r="I21" s="28" t="str">
        <f t="shared" si="1"/>
        <v/>
      </c>
      <c r="J21" s="51"/>
      <c r="K21" s="52" t="str">
        <f>IF(J21&lt;&gt;"",VLOOKUP(J21,まとめ!I25:J40,2,FALSE),"")</f>
        <v/>
      </c>
      <c r="L21" s="46" t="str">
        <f>IF(J21&lt;&gt;"",IF(J21&lt;&gt;0,
IFERROR(VALUE(INDEX(まとめ!$K$12:$K$27,MATCH(J21,まとめ!$I$12:$I$27,0))),""), 0),"")</f>
        <v/>
      </c>
    </row>
    <row r="22" spans="1:12" ht="19.2" customHeight="1" x14ac:dyDescent="0.2">
      <c r="A22" s="46" t="str">
        <f t="shared" si="2"/>
        <v/>
      </c>
      <c r="B22" s="46" t="str">
        <f>IF(J22&lt;&gt;"",IF(J22&lt;&gt;0,
IF(COUNTIF(INDEX(まとめ!$B$12:$B$27, MATCH(J22,まとめ!$I$12:$I$27, 0)),"*正社員*"),"保育士（正社員）","保育士（パート）"), 0),"")</f>
        <v/>
      </c>
      <c r="C22" s="31" t="str">
        <f t="shared" si="0"/>
        <v/>
      </c>
      <c r="D22" s="31" t="str">
        <f>IF(J22&lt;&gt;"",IF(J22&lt;&gt;0,
IFERROR(INDEX(まとめ!$D$12:$D$27,MATCH(J22,まとめ!$I$12:$I$27,0)),""), 0),"")</f>
        <v/>
      </c>
      <c r="E22" s="28" t="str">
        <f>IF(J22&lt;&gt;"",
IFERROR(VALUE(INDEX(まとめ!$E$12:$E$27,MATCH(J22,まとめ!$I$12:$I$27,0)))-SUM(G22:H22),""),"")</f>
        <v/>
      </c>
      <c r="F22" s="34" t="str">
        <f>IF(J22&lt;&gt;"",IF(J22&lt;&gt;0,
IF(IFERROR(INDEX(まとめ!$F$12:$F$27,MATCH(J22,まとめ!$I$12:$I$27,0)),"")&lt;&gt;"",まとめ!$E$9,""), 0),"")</f>
        <v/>
      </c>
      <c r="G22" s="36" t="str">
        <f>IF(F22&lt;&gt;"",IFERROR(INDEX(まとめ!$G$12:$G$27,MATCH(J22,まとめ!$I$12:$I$27,0)),0),"")</f>
        <v/>
      </c>
      <c r="H22" s="38" t="str">
        <f>IF(J22&lt;&gt;"",IF(J22&lt;&gt;0,
IFERROR(INDEX(まとめ!$H$12:$H$27,MATCH(J22,まとめ!$I$12:$I$27,0)),""), 0),"")</f>
        <v/>
      </c>
      <c r="I22" s="28" t="str">
        <f t="shared" si="1"/>
        <v/>
      </c>
      <c r="J22" s="51"/>
      <c r="K22" s="52" t="str">
        <f>IF(J22&lt;&gt;"",VLOOKUP(J22,まとめ!I26:J41,2,FALSE),"")</f>
        <v/>
      </c>
      <c r="L22" s="46" t="str">
        <f>IF(J22&lt;&gt;"",IF(J22&lt;&gt;0,
IFERROR(VALUE(INDEX(まとめ!$K$12:$K$27,MATCH(J22,まとめ!$I$12:$I$27,0))),""), 0),"")</f>
        <v/>
      </c>
    </row>
    <row r="23" spans="1:12" ht="19.2" customHeight="1" x14ac:dyDescent="0.2">
      <c r="A23" s="47" t="str">
        <f t="shared" si="2"/>
        <v/>
      </c>
      <c r="B23" s="47" t="str">
        <f>IF(J23&lt;&gt;"",IF(J23&lt;&gt;0,
IF(COUNTIF(INDEX(まとめ!$B$12:$B$27, MATCH(J23,まとめ!$I$12:$I$27, 0)),"*正社員*"),"保育士（正社員）","保育士（パート）"), 0),"")</f>
        <v/>
      </c>
      <c r="C23" s="32" t="str">
        <f t="shared" si="0"/>
        <v/>
      </c>
      <c r="D23" s="32" t="str">
        <f>IF(J23&lt;&gt;"",IF(J23&lt;&gt;0,
IFERROR(INDEX(まとめ!$D$12:$D$27,MATCH(J23,まとめ!$I$12:$I$27,0)),""), 0),"")</f>
        <v/>
      </c>
      <c r="E23" s="29" t="str">
        <f>IF(J23&lt;&gt;"",
IFERROR(VALUE(INDEX(まとめ!$E$12:$E$27,MATCH(J23,まとめ!$I$12:$I$27,0)))-SUM(G23:H23),""),"")</f>
        <v/>
      </c>
      <c r="F23" s="35" t="str">
        <f>IF(J23&lt;&gt;"",IF(J23&lt;&gt;0,
IF(IFERROR(INDEX(まとめ!$F$12:$F$27,MATCH(J23,まとめ!$I$12:$I$27,0)),"")&lt;&gt;"",まとめ!$E$9,""), 0),"")</f>
        <v/>
      </c>
      <c r="G23" s="39" t="str">
        <f>IF(F23&lt;&gt;"",IFERROR(INDEX(まとめ!$G$12:$G$27,MATCH(J23,まとめ!$I$12:$I$27,0)),0),"")</f>
        <v/>
      </c>
      <c r="H23" s="40" t="str">
        <f>IF(J23&lt;&gt;"",IF(J23&lt;&gt;0,
IFERROR(INDEX(まとめ!$H$12:$H$27,MATCH(J23,まとめ!$I$12:$I$27,0)),""), 0),"")</f>
        <v/>
      </c>
      <c r="I23" s="29" t="str">
        <f t="shared" si="1"/>
        <v/>
      </c>
      <c r="J23" s="53"/>
      <c r="K23" s="54" t="str">
        <f>IF(J23&lt;&gt;"",VLOOKUP(J23,まとめ!I27:J42,2,FALSE),"")</f>
        <v/>
      </c>
      <c r="L23" s="47" t="str">
        <f>IF(J23&lt;&gt;"",IF(J23&lt;&gt;0,
IFERROR(VALUE(INDEX(まとめ!$K$12:$K$27,MATCH(J23,まとめ!$I$12:$I$27,0))),""), 0),"")</f>
        <v/>
      </c>
    </row>
  </sheetData>
  <mergeCells count="4">
    <mergeCell ref="E3:G4"/>
    <mergeCell ref="E5:G5"/>
    <mergeCell ref="J7:K7"/>
    <mergeCell ref="F7:G7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3"/>
  <sheetViews>
    <sheetView workbookViewId="0">
      <selection activeCell="H8" sqref="H8"/>
    </sheetView>
  </sheetViews>
  <sheetFormatPr defaultRowHeight="13.2" x14ac:dyDescent="0.2"/>
  <cols>
    <col min="1" max="1" width="3.6640625" customWidth="1"/>
    <col min="2" max="2" width="18.44140625" customWidth="1"/>
    <col min="3" max="3" width="15.109375" customWidth="1"/>
    <col min="4" max="4" width="10.21875" customWidth="1"/>
    <col min="5" max="6" width="8.109375" customWidth="1"/>
    <col min="7" max="7" width="9.5546875" bestFit="1" customWidth="1"/>
    <col min="8" max="9" width="7.88671875" customWidth="1"/>
    <col min="10" max="10" width="37" customWidth="1"/>
  </cols>
  <sheetData>
    <row r="1" spans="1:10" ht="27.6" customHeight="1" x14ac:dyDescent="0.25">
      <c r="B1" s="23" t="s">
        <v>17</v>
      </c>
    </row>
    <row r="2" spans="1:10" ht="14.4" customHeight="1" thickBot="1" x14ac:dyDescent="0.25">
      <c r="B2" t="str">
        <f>"・"&amp;まとめ!B1</f>
        <v>・0</v>
      </c>
    </row>
    <row r="3" spans="1:10" ht="10.199999999999999" customHeight="1" x14ac:dyDescent="0.2">
      <c r="F3" s="109" t="s">
        <v>18</v>
      </c>
      <c r="G3" s="101"/>
      <c r="H3" s="110"/>
    </row>
    <row r="4" spans="1:10" ht="18.600000000000001" customHeight="1" thickBot="1" x14ac:dyDescent="0.25">
      <c r="A4" s="1"/>
      <c r="B4" s="26" t="s">
        <v>8</v>
      </c>
      <c r="C4" s="19" t="s">
        <v>9</v>
      </c>
      <c r="D4" s="3" t="str">
        <f>まとめ!E8</f>
        <v>病児・一時</v>
      </c>
      <c r="F4" s="103"/>
      <c r="G4" s="104"/>
      <c r="H4" s="111"/>
      <c r="I4" s="1"/>
    </row>
    <row r="5" spans="1:10" ht="28.2" customHeight="1" thickBot="1" x14ac:dyDescent="0.25">
      <c r="A5" s="1"/>
      <c r="B5" s="24">
        <f>まとめ!C9</f>
        <v>1.9</v>
      </c>
      <c r="C5" s="25">
        <f>まとめ!D9</f>
        <v>168</v>
      </c>
      <c r="D5" s="25" t="str">
        <f>まとめ!E9</f>
        <v>一時</v>
      </c>
      <c r="F5" s="106">
        <f ca="1">SUM(G8:G23)</f>
        <v>0</v>
      </c>
      <c r="G5" s="107"/>
      <c r="H5" s="108"/>
      <c r="I5" s="1"/>
    </row>
    <row r="6" spans="1:10" ht="15" customHeight="1" x14ac:dyDescent="0.2">
      <c r="A6" s="1"/>
      <c r="B6" s="3"/>
      <c r="C6" s="3"/>
      <c r="D6" s="3"/>
      <c r="E6" s="3"/>
      <c r="F6" s="3"/>
      <c r="G6" s="10"/>
      <c r="H6" s="1"/>
      <c r="I6" s="1"/>
    </row>
    <row r="7" spans="1:10" ht="15" customHeight="1" x14ac:dyDescent="0.2">
      <c r="A7" s="15"/>
      <c r="B7" s="17" t="s">
        <v>0</v>
      </c>
      <c r="C7" s="16" t="s">
        <v>19</v>
      </c>
      <c r="D7" s="16" t="s">
        <v>12</v>
      </c>
      <c r="E7" s="96" t="s">
        <v>20</v>
      </c>
      <c r="F7" s="97"/>
      <c r="G7" s="18" t="s">
        <v>21</v>
      </c>
      <c r="H7" s="96" t="s">
        <v>15</v>
      </c>
      <c r="I7" s="97"/>
      <c r="J7" s="16" t="s">
        <v>16</v>
      </c>
    </row>
    <row r="8" spans="1:10" ht="19.2" customHeight="1" x14ac:dyDescent="0.2">
      <c r="A8" s="45" t="str">
        <f ca="1">IF(AND(H8&lt;&gt;0,H8&lt;&gt;""),1,"")</f>
        <v/>
      </c>
      <c r="B8" s="45" t="str">
        <f ca="1">IF(H8&lt;&gt;"",IF(H8&lt;&gt;0,
IF(COUNTIF(INDEX(まとめ!$B$12:$B$27, MATCH(H8,まとめ!$I$12:$I$27, 0)),"*正社員*"),"保育士（正社員）","保育士（パート）"), 0),"")</f>
        <v/>
      </c>
      <c r="C8" s="30" t="str">
        <f t="shared" ref="C8:C23" ca="1" si="0">IF(H8="","",IF(H8=0,0,IF(G8&gt;=1,"常勤","非常勤")))</f>
        <v/>
      </c>
      <c r="D8" s="30" t="str">
        <f ca="1">IF(H8&lt;&gt;"",IF(H8&lt;&gt;0,
IFERROR(INDEX(まとめ!$D$12:$D$27,MATCH(H8,まとめ!$I$12:$I$27,0)),""), 0),"")</f>
        <v/>
      </c>
      <c r="E8" s="33" t="str">
        <f ca="1">IF(H8&lt;&gt;"",IF(H8&lt;&gt;0,
IF(IFERROR(INDEX(まとめ!$F$12:$F$27,MATCH(H8,まとめ!$I$12:$I$27,0)),"")&lt;&gt;"",まとめ!$E$9,""), 0),"")</f>
        <v/>
      </c>
      <c r="F8" s="48" t="str">
        <f ca="1">IF(E8&lt;&gt;"",IFERROR(VALUE(INDEX(まとめ!$G$12:$G$27,MATCH(H8,まとめ!$I$12:$I$27,0))),0),"")</f>
        <v/>
      </c>
      <c r="G8" s="27" t="str">
        <f t="shared" ref="G8:G23" ca="1" si="1">IF(H8&lt;&gt;"",IF(F8&gt;$C$5,1,ROUND(F8/$C$5,1)),"")</f>
        <v/>
      </c>
      <c r="H8" s="49" t="str">
        <f t="array" aca="1" ref="H8:H16" ca="1">_xlfn._xlws.FILTER(まとめ!M12:M41,まとめ!M12:M41&lt;&gt;"", "")</f>
        <v/>
      </c>
      <c r="I8" s="50" t="str">
        <f ca="1">IF(H8&lt;&gt;"",VLOOKUP(H8,まとめ!I12:J27,2,FALSE),"")</f>
        <v/>
      </c>
      <c r="J8" s="55" t="str">
        <f ca="1">IF(H8&lt;&gt;"",IF(H8&lt;&gt;0,
IFERROR(VALUE(INDEX(まとめ!$K$12:$K$27,MATCH(H8,まとめ!$I$12:$I$27,0))),""), 0),"")
&amp;IF(AND(F8&lt;&gt;0,G8=0),"0.01と備考欄にご記載ください","")</f>
        <v/>
      </c>
    </row>
    <row r="9" spans="1:10" ht="19.2" customHeight="1" x14ac:dyDescent="0.2">
      <c r="A9" s="46" t="str">
        <f t="shared" ref="A9:A23" ca="1" si="2">IF(AND(H9&lt;&gt;0,H9&lt;&gt;""),A8+1,"")</f>
        <v/>
      </c>
      <c r="B9" s="46" t="str">
        <f ca="1">IF(H9&lt;&gt;"",IF(H9&lt;&gt;0,
IF(COUNTIF(INDEX(まとめ!$B$12:$B$27, MATCH(H9,まとめ!$I$12:$I$27, 0)),"*正社員*"),"保育士（正社員）","保育士（パート）"), 0),"")</f>
        <v/>
      </c>
      <c r="C9" s="31" t="str">
        <f t="shared" ca="1" si="0"/>
        <v/>
      </c>
      <c r="D9" s="31" t="str">
        <f ca="1">IF(H9&lt;&gt;"",IF(H9&lt;&gt;0,
IFERROR(INDEX(まとめ!$D$12:$D$27,MATCH(H9,まとめ!$I$12:$I$27,0)),""), 0),"")</f>
        <v/>
      </c>
      <c r="E9" s="34" t="str">
        <f ca="1">IF(H9&lt;&gt;"",IF(H9&lt;&gt;0,
IF(IFERROR(INDEX(まとめ!$F$12:$F$27,MATCH(H9,まとめ!$I$12:$I$27,0)),"")&lt;&gt;"",まとめ!$E$9,""), 0),"")</f>
        <v/>
      </c>
      <c r="F9" s="36" t="str">
        <f ca="1">IF(E9&lt;&gt;"",IFERROR(VALUE(INDEX(まとめ!$G$12:$G$27,MATCH(H9,まとめ!$I$12:$I$27,0))),0),"")</f>
        <v/>
      </c>
      <c r="G9" s="28" t="str">
        <f t="shared" ca="1" si="1"/>
        <v/>
      </c>
      <c r="H9" s="51" t="str">
        <f ca="1"/>
        <v/>
      </c>
      <c r="I9" s="52" t="str">
        <f ca="1">IF(H9&lt;&gt;"",VLOOKUP(H9,まとめ!I13:J28,2,FALSE),"")</f>
        <v/>
      </c>
      <c r="J9" s="56" t="str">
        <f ca="1">IF(H9&lt;&gt;"",IF(H9&lt;&gt;0,
IFERROR(VALUE(INDEX(まとめ!$K$12:$K$27,MATCH(H9,まとめ!$I$12:$I$27,0))),""), 0),"")
&amp;IF(AND(F9&lt;&gt;0,G9=0),"0.01と備考欄にご記載ください","")</f>
        <v/>
      </c>
    </row>
    <row r="10" spans="1:10" ht="19.2" customHeight="1" x14ac:dyDescent="0.2">
      <c r="A10" s="46" t="str">
        <f t="shared" ca="1" si="2"/>
        <v/>
      </c>
      <c r="B10" s="46" t="str">
        <f ca="1">IF(H10&lt;&gt;"",IF(H10&lt;&gt;0,
IF(COUNTIF(INDEX(まとめ!$B$12:$B$27, MATCH(H10,まとめ!$I$12:$I$27, 0)),"*正社員*"),"保育士（正社員）","保育士（パート）"), 0),"")</f>
        <v/>
      </c>
      <c r="C10" s="31" t="str">
        <f t="shared" ca="1" si="0"/>
        <v/>
      </c>
      <c r="D10" s="31" t="str">
        <f ca="1">IF(H10&lt;&gt;"",IF(H10&lt;&gt;0,
IFERROR(INDEX(まとめ!$D$12:$D$27,MATCH(H10,まとめ!$I$12:$I$27,0)),""), 0),"")</f>
        <v/>
      </c>
      <c r="E10" s="34" t="str">
        <f ca="1">IF(H10&lt;&gt;"",IF(H10&lt;&gt;0,
IF(IFERROR(INDEX(まとめ!$F$12:$F$27,MATCH(H10,まとめ!$I$12:$I$27,0)),"")&lt;&gt;"",まとめ!$E$9,""), 0),"")</f>
        <v/>
      </c>
      <c r="F10" s="36" t="str">
        <f ca="1">IF(E10&lt;&gt;"",IFERROR(INDEX(まとめ!$G$12:$G$27,MATCH(H10,まとめ!$I$12:$I$27,0)),0),"")</f>
        <v/>
      </c>
      <c r="G10" s="28" t="str">
        <f t="shared" ca="1" si="1"/>
        <v/>
      </c>
      <c r="H10" s="51" t="str">
        <f ca="1"/>
        <v/>
      </c>
      <c r="I10" s="52" t="str">
        <f ca="1">IF(H10&lt;&gt;"",VLOOKUP(H10,まとめ!I14:J29,2,FALSE),"")</f>
        <v/>
      </c>
      <c r="J10" s="56" t="str">
        <f ca="1">IF(H10&lt;&gt;"",IF(H10&lt;&gt;0,
IFERROR(VALUE(INDEX(まとめ!$K$12:$K$27,MATCH(H10,まとめ!$I$12:$I$27,0))),""), 0),"")
&amp;IF(AND(F10&lt;&gt;0,G10=0),"0.01と備考欄にご記載ください","")</f>
        <v/>
      </c>
    </row>
    <row r="11" spans="1:10" ht="19.2" customHeight="1" x14ac:dyDescent="0.2">
      <c r="A11" s="46" t="str">
        <f t="shared" ca="1" si="2"/>
        <v/>
      </c>
      <c r="B11" s="46" t="str">
        <f ca="1">IF(H11&lt;&gt;"",IF(H11&lt;&gt;0,
IF(COUNTIF(INDEX(まとめ!$B$12:$B$27, MATCH(H11,まとめ!$I$12:$I$27, 0)),"*正社員*"),"保育士（正社員）","保育士（パート）"), 0),"")</f>
        <v/>
      </c>
      <c r="C11" s="31" t="str">
        <f t="shared" ca="1" si="0"/>
        <v/>
      </c>
      <c r="D11" s="31" t="str">
        <f ca="1">IF(H11&lt;&gt;"",IF(H11&lt;&gt;0,
IFERROR(INDEX(まとめ!$D$12:$D$27,MATCH(H11,まとめ!$I$12:$I$27,0)),""), 0),"")</f>
        <v/>
      </c>
      <c r="E11" s="34" t="str">
        <f ca="1">IF(H11&lt;&gt;"",IF(H11&lt;&gt;0,
IF(IFERROR(INDEX(まとめ!$F$12:$F$27,MATCH(H11,まとめ!$I$12:$I$27,0)),"")&lt;&gt;"",まとめ!$E$9,""), 0),"")</f>
        <v/>
      </c>
      <c r="F11" s="36" t="str">
        <f ca="1">IF(E11&lt;&gt;"",IFERROR(INDEX(まとめ!$G$12:$G$27,MATCH(H11,まとめ!$I$12:$I$27,0)),0),"")</f>
        <v/>
      </c>
      <c r="G11" s="28" t="str">
        <f t="shared" ca="1" si="1"/>
        <v/>
      </c>
      <c r="H11" s="51" t="str">
        <f ca="1"/>
        <v/>
      </c>
      <c r="I11" s="52" t="str">
        <f ca="1">IF(H11&lt;&gt;"",VLOOKUP(H11,まとめ!I15:J30,2,FALSE),"")</f>
        <v/>
      </c>
      <c r="J11" s="56" t="str">
        <f ca="1">IF(H11&lt;&gt;"",IF(H11&lt;&gt;0,
IFERROR(VALUE(INDEX(まとめ!$K$12:$K$27,MATCH(H11,まとめ!$I$12:$I$27,0))),""), 0),"")
&amp;IF(AND(F11&lt;&gt;0,G11=0),"0.01と備考欄にご記載ください","")</f>
        <v/>
      </c>
    </row>
    <row r="12" spans="1:10" ht="19.2" customHeight="1" x14ac:dyDescent="0.2">
      <c r="A12" s="46" t="str">
        <f t="shared" ca="1" si="2"/>
        <v/>
      </c>
      <c r="B12" s="46" t="str">
        <f ca="1">IF(H12&lt;&gt;"",IF(H12&lt;&gt;0,
IF(COUNTIF(INDEX(まとめ!$B$12:$B$27, MATCH(H12,まとめ!$I$12:$I$27, 0)),"*正社員*"),"保育士（正社員）","保育士（パート）"), 0),"")</f>
        <v/>
      </c>
      <c r="C12" s="31" t="str">
        <f t="shared" ca="1" si="0"/>
        <v/>
      </c>
      <c r="D12" s="31" t="str">
        <f ca="1">IF(H12&lt;&gt;"",IF(H12&lt;&gt;0,
IFERROR(INDEX(まとめ!$D$12:$D$27,MATCH(H12,まとめ!$I$12:$I$27,0)),""), 0),"")</f>
        <v/>
      </c>
      <c r="E12" s="34" t="str">
        <f ca="1">IF(H12&lt;&gt;"",IF(H12&lt;&gt;0,
IF(IFERROR(INDEX(まとめ!$F$12:$F$27,MATCH(H12,まとめ!$I$12:$I$27,0)),"")&lt;&gt;"",まとめ!$E$9,""), 0),"")</f>
        <v/>
      </c>
      <c r="F12" s="36" t="str">
        <f ca="1">IF(E12&lt;&gt;"",IFERROR(INDEX(まとめ!$G$12:$G$27,MATCH(H12,まとめ!$I$12:$I$27,0)),0),"")</f>
        <v/>
      </c>
      <c r="G12" s="28" t="str">
        <f t="shared" ca="1" si="1"/>
        <v/>
      </c>
      <c r="H12" s="51" t="str">
        <f ca="1"/>
        <v/>
      </c>
      <c r="I12" s="52" t="str">
        <f ca="1">IF(H12&lt;&gt;"",VLOOKUP(H12,まとめ!I16:J31,2,FALSE),"")</f>
        <v/>
      </c>
      <c r="J12" s="56" t="str">
        <f ca="1">IF(H12&lt;&gt;"",IF(H12&lt;&gt;0,
IFERROR(VALUE(INDEX(まとめ!$K$12:$K$27,MATCH(H12,まとめ!$I$12:$I$27,0))),""), 0),"")
&amp;IF(AND(F12&lt;&gt;0,G12=0),"0.01と備考欄にご記載ください","")</f>
        <v/>
      </c>
    </row>
    <row r="13" spans="1:10" ht="19.2" customHeight="1" x14ac:dyDescent="0.2">
      <c r="A13" s="46" t="str">
        <f t="shared" ca="1" si="2"/>
        <v/>
      </c>
      <c r="B13" s="46" t="str">
        <f ca="1">IF(H13&lt;&gt;"",IF(H13&lt;&gt;0,
IF(COUNTIF(INDEX(まとめ!$B$12:$B$27, MATCH(H13,まとめ!$I$12:$I$27, 0)),"*正社員*"),"保育士（正社員）","保育士（パート）"), 0),"")</f>
        <v/>
      </c>
      <c r="C13" s="31" t="str">
        <f t="shared" ca="1" si="0"/>
        <v/>
      </c>
      <c r="D13" s="31" t="str">
        <f ca="1">IF(H13&lt;&gt;"",IF(H13&lt;&gt;0,
IFERROR(INDEX(まとめ!$D$12:$D$27,MATCH(H13,まとめ!$I$12:$I$27,0)),""), 0),"")</f>
        <v/>
      </c>
      <c r="E13" s="34" t="str">
        <f ca="1">IF(H13&lt;&gt;"",IF(H13&lt;&gt;0,
IF(IFERROR(INDEX(まとめ!$F$12:$F$27,MATCH(H13,まとめ!$I$12:$I$27,0)),"")&lt;&gt;"",まとめ!$E$9,""), 0),"")</f>
        <v/>
      </c>
      <c r="F13" s="36" t="str">
        <f ca="1">IF(E13&lt;&gt;"",IFERROR(INDEX(まとめ!$G$12:$G$27,MATCH(H13,まとめ!$I$12:$I$27,0)),0),"")</f>
        <v/>
      </c>
      <c r="G13" s="28" t="str">
        <f t="shared" ca="1" si="1"/>
        <v/>
      </c>
      <c r="H13" s="51" t="str">
        <f ca="1"/>
        <v/>
      </c>
      <c r="I13" s="52" t="str">
        <f ca="1">IF(H13&lt;&gt;"",VLOOKUP(H13,まとめ!I17:J32,2,FALSE),"")</f>
        <v/>
      </c>
      <c r="J13" s="56" t="str">
        <f ca="1">IF(H13&lt;&gt;"",IF(H13&lt;&gt;0,
IFERROR(VALUE(INDEX(まとめ!$K$12:$K$27,MATCH(H13,まとめ!$I$12:$I$27,0))),""), 0),"")
&amp;IF(AND(F13&lt;&gt;0,G13=0),"0.01と備考欄にご記載ください","")</f>
        <v/>
      </c>
    </row>
    <row r="14" spans="1:10" ht="19.2" customHeight="1" x14ac:dyDescent="0.2">
      <c r="A14" s="46" t="str">
        <f t="shared" ca="1" si="2"/>
        <v/>
      </c>
      <c r="B14" s="46" t="str">
        <f ca="1">IF(H14&lt;&gt;"",IF(H14&lt;&gt;0,
IF(COUNTIF(INDEX(まとめ!$B$12:$B$27, MATCH(H14,まとめ!$I$12:$I$27, 0)),"*正社員*"),"保育士（正社員）","保育士（パート）"), 0),"")</f>
        <v/>
      </c>
      <c r="C14" s="31" t="str">
        <f t="shared" ca="1" si="0"/>
        <v/>
      </c>
      <c r="D14" s="31" t="str">
        <f ca="1">IF(H14&lt;&gt;"",IF(H14&lt;&gt;0,
IFERROR(INDEX(まとめ!$D$12:$D$27,MATCH(H14,まとめ!$I$12:$I$27,0)),""), 0),"")</f>
        <v/>
      </c>
      <c r="E14" s="34" t="str">
        <f ca="1">IF(H14&lt;&gt;"",IF(H14&lt;&gt;0,
IF(IFERROR(INDEX(まとめ!$F$12:$F$27,MATCH(H14,まとめ!$I$12:$I$27,0)),"")&lt;&gt;"",まとめ!$E$9,""), 0),"")</f>
        <v/>
      </c>
      <c r="F14" s="36" t="str">
        <f ca="1">IF(E14&lt;&gt;"",IFERROR(INDEX(まとめ!$G$12:$G$27,MATCH(H14,まとめ!$I$12:$I$27,0)),0),"")</f>
        <v/>
      </c>
      <c r="G14" s="28" t="str">
        <f t="shared" ca="1" si="1"/>
        <v/>
      </c>
      <c r="H14" s="51" t="str">
        <f ca="1"/>
        <v/>
      </c>
      <c r="I14" s="52" t="str">
        <f ca="1">IF(H14&lt;&gt;"",VLOOKUP(H14,まとめ!I18:J33,2,FALSE),"")</f>
        <v/>
      </c>
      <c r="J14" s="56" t="str">
        <f ca="1">IF(H14&lt;&gt;"",IF(H14&lt;&gt;0,
IFERROR(VALUE(INDEX(まとめ!$K$12:$K$27,MATCH(H14,まとめ!$I$12:$I$27,0))),""), 0),"")
&amp;IF(AND(F14&lt;&gt;0,G14=0),"0.01と備考欄にご記載ください","")</f>
        <v/>
      </c>
    </row>
    <row r="15" spans="1:10" ht="19.2" customHeight="1" x14ac:dyDescent="0.2">
      <c r="A15" s="46" t="str">
        <f t="shared" ca="1" si="2"/>
        <v/>
      </c>
      <c r="B15" s="46" t="str">
        <f ca="1">IF(H15&lt;&gt;"",IF(H15&lt;&gt;0,
IF(COUNTIF(INDEX(まとめ!$B$12:$B$27, MATCH(H15,まとめ!$I$12:$I$27, 0)),"*正社員*"),"保育士（正社員）","保育士（パート）"), 0),"")</f>
        <v/>
      </c>
      <c r="C15" s="31" t="str">
        <f t="shared" ca="1" si="0"/>
        <v/>
      </c>
      <c r="D15" s="31" t="str">
        <f ca="1">IF(H15&lt;&gt;"",IF(H15&lt;&gt;0,
IFERROR(INDEX(まとめ!$D$12:$D$27,MATCH(H15,まとめ!$I$12:$I$27,0)),""), 0),"")</f>
        <v/>
      </c>
      <c r="E15" s="34" t="str">
        <f ca="1">IF(H15&lt;&gt;"",IF(H15&lt;&gt;0,
IF(IFERROR(INDEX(まとめ!$F$12:$F$27,MATCH(H15,まとめ!$I$12:$I$27,0)),"")&lt;&gt;"",まとめ!$E$9,""), 0),"")</f>
        <v/>
      </c>
      <c r="F15" s="36" t="str">
        <f ca="1">IF(E15&lt;&gt;"",IFERROR(INDEX(まとめ!$G$12:$G$27,MATCH(H15,まとめ!$I$12:$I$27,0)),0),"")</f>
        <v/>
      </c>
      <c r="G15" s="28" t="str">
        <f t="shared" ca="1" si="1"/>
        <v/>
      </c>
      <c r="H15" s="51" t="str">
        <f ca="1"/>
        <v/>
      </c>
      <c r="I15" s="52" t="str">
        <f ca="1">IF(H15&lt;&gt;"",VLOOKUP(H15,まとめ!I19:J34,2,FALSE),"")</f>
        <v/>
      </c>
      <c r="J15" s="56" t="str">
        <f ca="1">IF(H15&lt;&gt;"",IF(H15&lt;&gt;0,
IFERROR(VALUE(INDEX(まとめ!$K$12:$K$27,MATCH(H15,まとめ!$I$12:$I$27,0))),""), 0),"")
&amp;IF(AND(F15&lt;&gt;0,G15=0),"0.01と備考欄にご記載ください","")</f>
        <v/>
      </c>
    </row>
    <row r="16" spans="1:10" ht="19.2" customHeight="1" x14ac:dyDescent="0.2">
      <c r="A16" s="46" t="str">
        <f t="shared" ca="1" si="2"/>
        <v/>
      </c>
      <c r="B16" s="46" t="str">
        <f ca="1">IF(H16&lt;&gt;"",IF(H16&lt;&gt;0,
IF(COUNTIF(INDEX(まとめ!$B$12:$B$27, MATCH(H16,まとめ!$I$12:$I$27, 0)),"*正社員*"),"保育士（正社員）","保育士（パート）"), 0),"")</f>
        <v/>
      </c>
      <c r="C16" s="31" t="str">
        <f t="shared" ca="1" si="0"/>
        <v/>
      </c>
      <c r="D16" s="31" t="str">
        <f ca="1">IF(H16&lt;&gt;"",IF(H16&lt;&gt;0,
IFERROR(INDEX(まとめ!$D$12:$D$27,MATCH(H16,まとめ!$I$12:$I$27,0)),""), 0),"")</f>
        <v/>
      </c>
      <c r="E16" s="34" t="str">
        <f ca="1">IF(H16&lt;&gt;"",IF(H16&lt;&gt;0,
IF(IFERROR(INDEX(まとめ!$F$12:$F$27,MATCH(H16,まとめ!$I$12:$I$27,0)),"")&lt;&gt;"",まとめ!$E$9,""), 0),"")</f>
        <v/>
      </c>
      <c r="F16" s="36" t="str">
        <f ca="1">IF(E16&lt;&gt;"",IFERROR(INDEX(まとめ!$G$12:$G$27,MATCH(H16,まとめ!$I$12:$I$27,0)),0),"")</f>
        <v/>
      </c>
      <c r="G16" s="28" t="str">
        <f t="shared" ca="1" si="1"/>
        <v/>
      </c>
      <c r="H16" s="51" t="str">
        <f ca="1"/>
        <v/>
      </c>
      <c r="I16" s="52" t="str">
        <f ca="1">IF(H16&lt;&gt;"",VLOOKUP(H16,まとめ!I20:J35,2,FALSE),"")</f>
        <v/>
      </c>
      <c r="J16" s="56" t="str">
        <f ca="1">IF(H16&lt;&gt;"",IF(H16&lt;&gt;0,
IFERROR(VALUE(INDEX(まとめ!$K$12:$K$27,MATCH(H16,まとめ!$I$12:$I$27,0))),""), 0),"")
&amp;IF(AND(F16&lt;&gt;0,G16=0),"0.01と備考欄にご記載ください","")</f>
        <v/>
      </c>
    </row>
    <row r="17" spans="1:10" ht="19.2" customHeight="1" x14ac:dyDescent="0.2">
      <c r="A17" s="46" t="str">
        <f t="shared" si="2"/>
        <v/>
      </c>
      <c r="B17" s="46" t="str">
        <f>IF(H17&lt;&gt;"",IF(H17&lt;&gt;0,
IF(COUNTIF(INDEX(まとめ!$B$12:$B$27, MATCH(H17,まとめ!$I$12:$I$27, 0)),"*正社員*"),"保育士（正社員）","保育士（パート）"), 0),"")</f>
        <v/>
      </c>
      <c r="C17" s="31" t="str">
        <f t="shared" si="0"/>
        <v/>
      </c>
      <c r="D17" s="31" t="str">
        <f>IF(H17&lt;&gt;"",IF(H17&lt;&gt;0,
IFERROR(INDEX(まとめ!$D$12:$D$27,MATCH(H17,まとめ!$I$12:$I$27,0)),""), 0),"")</f>
        <v/>
      </c>
      <c r="E17" s="34" t="str">
        <f>IF(H17&lt;&gt;"",IF(H17&lt;&gt;0,
IF(IFERROR(INDEX(まとめ!$F$12:$F$27,MATCH(H17,まとめ!$I$12:$I$27,0)),"")&lt;&gt;"",まとめ!$E$9,""), 0),"")</f>
        <v/>
      </c>
      <c r="F17" s="36" t="str">
        <f>IF(E17&lt;&gt;"",IFERROR(INDEX(まとめ!$G$12:$G$27,MATCH(H17,まとめ!$I$12:$I$27,0)),0),"")</f>
        <v/>
      </c>
      <c r="G17" s="28" t="str">
        <f t="shared" si="1"/>
        <v/>
      </c>
      <c r="H17" s="51"/>
      <c r="I17" s="52" t="str">
        <f>IF(H17&lt;&gt;"",VLOOKUP(H17,まとめ!I21:J36,2,FALSE),"")</f>
        <v/>
      </c>
      <c r="J17" s="56" t="str">
        <f>IF(H17&lt;&gt;"",IF(H17&lt;&gt;0,
IFERROR(VALUE(INDEX(まとめ!$K$12:$K$27,MATCH(H17,まとめ!$I$12:$I$27,0))),""), 0),"")
&amp;IF(AND(F17&lt;&gt;0,G17=0),"0.01と備考欄にご記載ください","")</f>
        <v/>
      </c>
    </row>
    <row r="18" spans="1:10" ht="19.2" customHeight="1" x14ac:dyDescent="0.2">
      <c r="A18" s="46" t="str">
        <f t="shared" si="2"/>
        <v/>
      </c>
      <c r="B18" s="46" t="str">
        <f>IF(H18&lt;&gt;"",IF(H18&lt;&gt;0,
IF(COUNTIF(INDEX(まとめ!$B$12:$B$27, MATCH(H18,まとめ!$I$12:$I$27, 0)),"*正社員*"),"保育士（正社員）","保育士（パート）"), 0),"")</f>
        <v/>
      </c>
      <c r="C18" s="31" t="str">
        <f t="shared" si="0"/>
        <v/>
      </c>
      <c r="D18" s="31" t="str">
        <f>IF(H18&lt;&gt;"",IF(H18&lt;&gt;0,
IFERROR(INDEX(まとめ!$D$12:$D$27,MATCH(H18,まとめ!$I$12:$I$27,0)),""), 0),"")</f>
        <v/>
      </c>
      <c r="E18" s="34" t="str">
        <f>IF(H18&lt;&gt;"",IF(H18&lt;&gt;0,
IF(IFERROR(INDEX(まとめ!$F$12:$F$27,MATCH(H18,まとめ!$I$12:$I$27,0)),"")&lt;&gt;"",まとめ!$E$9,""), 0),"")</f>
        <v/>
      </c>
      <c r="F18" s="36" t="str">
        <f>IF(E18&lt;&gt;"",IFERROR(INDEX(まとめ!$G$12:$G$27,MATCH(H18,まとめ!$I$12:$I$27,0)),0),"")</f>
        <v/>
      </c>
      <c r="G18" s="28" t="str">
        <f t="shared" si="1"/>
        <v/>
      </c>
      <c r="H18" s="51"/>
      <c r="I18" s="52" t="str">
        <f>IF(H18&lt;&gt;"",VLOOKUP(H18,まとめ!I22:J37,2,FALSE),"")</f>
        <v/>
      </c>
      <c r="J18" s="56" t="str">
        <f>IF(H18&lt;&gt;"",IF(H18&lt;&gt;0,
IFERROR(VALUE(INDEX(まとめ!$K$12:$K$27,MATCH(H18,まとめ!$I$12:$I$27,0))),""), 0),"")
&amp;IF(AND(F18&lt;&gt;0,G18=0),"0.01と備考欄にご記載ください","")</f>
        <v/>
      </c>
    </row>
    <row r="19" spans="1:10" ht="19.2" customHeight="1" x14ac:dyDescent="0.2">
      <c r="A19" s="46" t="str">
        <f t="shared" si="2"/>
        <v/>
      </c>
      <c r="B19" s="46" t="str">
        <f>IF(H19&lt;&gt;"",IF(H19&lt;&gt;0,
IF(COUNTIF(INDEX(まとめ!$B$12:$B$27, MATCH(H19,まとめ!$I$12:$I$27, 0)),"*正社員*"),"保育士（正社員）","保育士（パート）"), 0),"")</f>
        <v/>
      </c>
      <c r="C19" s="31" t="str">
        <f t="shared" si="0"/>
        <v/>
      </c>
      <c r="D19" s="31" t="str">
        <f>IF(H19&lt;&gt;"",IF(H19&lt;&gt;0,
IFERROR(INDEX(まとめ!$D$12:$D$27,MATCH(H19,まとめ!$I$12:$I$27,0)),""), 0),"")</f>
        <v/>
      </c>
      <c r="E19" s="34" t="str">
        <f>IF(H19&lt;&gt;"",IF(H19&lt;&gt;0,
IF(IFERROR(INDEX(まとめ!$F$12:$F$27,MATCH(H19,まとめ!$I$12:$I$27,0)),"")&lt;&gt;"",まとめ!$E$9,""), 0),"")</f>
        <v/>
      </c>
      <c r="F19" s="36" t="str">
        <f>IF(E19&lt;&gt;"",IFERROR(INDEX(まとめ!$G$12:$G$27,MATCH(H19,まとめ!$I$12:$I$27,0)),0),"")</f>
        <v/>
      </c>
      <c r="G19" s="28" t="str">
        <f t="shared" si="1"/>
        <v/>
      </c>
      <c r="H19" s="51"/>
      <c r="I19" s="52" t="str">
        <f>IF(H19&lt;&gt;"",VLOOKUP(H19,まとめ!I23:J38,2,FALSE),"")</f>
        <v/>
      </c>
      <c r="J19" s="56" t="str">
        <f>IF(H19&lt;&gt;"",IF(H19&lt;&gt;0,
IFERROR(VALUE(INDEX(まとめ!$K$12:$K$27,MATCH(H19,まとめ!$I$12:$I$27,0))),""), 0),"")
&amp;IF(AND(F19&lt;&gt;0,G19=0),"0.01と備考欄にご記載ください","")</f>
        <v/>
      </c>
    </row>
    <row r="20" spans="1:10" ht="19.2" customHeight="1" x14ac:dyDescent="0.2">
      <c r="A20" s="46" t="str">
        <f t="shared" si="2"/>
        <v/>
      </c>
      <c r="B20" s="46" t="str">
        <f>IF(H20&lt;&gt;"",IF(H20&lt;&gt;0,
IF(COUNTIF(INDEX(まとめ!$B$12:$B$27, MATCH(H20,まとめ!$I$12:$I$27, 0)),"*正社員*"),"保育士（正社員）","保育士（パート）"), 0),"")</f>
        <v/>
      </c>
      <c r="C20" s="31" t="str">
        <f t="shared" si="0"/>
        <v/>
      </c>
      <c r="D20" s="31" t="str">
        <f>IF(H20&lt;&gt;"",IF(H20&lt;&gt;0,
IFERROR(INDEX(まとめ!$D$12:$D$27,MATCH(H20,まとめ!$I$12:$I$27,0)),""), 0),"")</f>
        <v/>
      </c>
      <c r="E20" s="34" t="str">
        <f>IF(H20&lt;&gt;"",IF(H20&lt;&gt;0,
IF(IFERROR(INDEX(まとめ!$F$12:$F$27,MATCH(H20,まとめ!$I$12:$I$27,0)),"")&lt;&gt;"",まとめ!$E$9,""), 0),"")</f>
        <v/>
      </c>
      <c r="F20" s="36" t="str">
        <f>IF(E20&lt;&gt;"",IFERROR(INDEX(まとめ!$G$12:$G$27,MATCH(H20,まとめ!$I$12:$I$27,0)),0),"")</f>
        <v/>
      </c>
      <c r="G20" s="28" t="str">
        <f t="shared" si="1"/>
        <v/>
      </c>
      <c r="H20" s="51"/>
      <c r="I20" s="52" t="str">
        <f>IF(H20&lt;&gt;"",VLOOKUP(H20,まとめ!I24:J39,2,FALSE),"")</f>
        <v/>
      </c>
      <c r="J20" s="56" t="str">
        <f>IF(H20&lt;&gt;"",IF(H20&lt;&gt;0,
IFERROR(VALUE(INDEX(まとめ!$K$12:$K$27,MATCH(H20,まとめ!$I$12:$I$27,0))),""), 0),"")
&amp;IF(AND(F20&lt;&gt;0,G20=0),"0.01と備考欄にご記載ください","")</f>
        <v/>
      </c>
    </row>
    <row r="21" spans="1:10" ht="19.2" customHeight="1" x14ac:dyDescent="0.2">
      <c r="A21" s="46" t="str">
        <f t="shared" si="2"/>
        <v/>
      </c>
      <c r="B21" s="46" t="str">
        <f>IF(H21&lt;&gt;"",IF(H21&lt;&gt;0,
IF(COUNTIF(INDEX(まとめ!$B$12:$B$27, MATCH(H21,まとめ!$I$12:$I$27, 0)),"*正社員*"),"保育士（正社員）","保育士（パート）"), 0),"")</f>
        <v/>
      </c>
      <c r="C21" s="31" t="str">
        <f t="shared" si="0"/>
        <v/>
      </c>
      <c r="D21" s="31" t="str">
        <f>IF(H21&lt;&gt;"",IF(H21&lt;&gt;0,
IFERROR(INDEX(まとめ!$D$12:$D$27,MATCH(H21,まとめ!$I$12:$I$27,0)),""), 0),"")</f>
        <v/>
      </c>
      <c r="E21" s="34" t="str">
        <f>IF(H21&lt;&gt;"",IF(H21&lt;&gt;0,
IF(IFERROR(INDEX(まとめ!$F$12:$F$27,MATCH(H21,まとめ!$I$12:$I$27,0)),"")&lt;&gt;"",まとめ!$E$9,""), 0),"")</f>
        <v/>
      </c>
      <c r="F21" s="36" t="str">
        <f>IF(E21&lt;&gt;"",IFERROR(INDEX(まとめ!$G$12:$G$27,MATCH(H21,まとめ!$I$12:$I$27,0)),0),"")</f>
        <v/>
      </c>
      <c r="G21" s="28" t="str">
        <f t="shared" si="1"/>
        <v/>
      </c>
      <c r="H21" s="51"/>
      <c r="I21" s="52" t="str">
        <f>IF(H21&lt;&gt;"",VLOOKUP(H21,まとめ!I25:J40,2,FALSE),"")</f>
        <v/>
      </c>
      <c r="J21" s="56" t="str">
        <f>IF(H21&lt;&gt;"",IF(H21&lt;&gt;0,
IFERROR(VALUE(INDEX(まとめ!$K$12:$K$27,MATCH(H21,まとめ!$I$12:$I$27,0))),""), 0),"")
&amp;IF(AND(F21&lt;&gt;0,G21=0),"0.01と備考欄にご記載ください","")</f>
        <v/>
      </c>
    </row>
    <row r="22" spans="1:10" ht="19.2" customHeight="1" x14ac:dyDescent="0.2">
      <c r="A22" s="46" t="str">
        <f t="shared" si="2"/>
        <v/>
      </c>
      <c r="B22" s="46" t="str">
        <f>IF(H22&lt;&gt;"",IF(H22&lt;&gt;0,
IF(COUNTIF(INDEX(まとめ!$B$12:$B$27, MATCH(H22,まとめ!$I$12:$I$27, 0)),"*正社員*"),"保育士（正社員）","保育士（パート）"), 0),"")</f>
        <v/>
      </c>
      <c r="C22" s="31" t="str">
        <f t="shared" si="0"/>
        <v/>
      </c>
      <c r="D22" s="31" t="str">
        <f>IF(H22&lt;&gt;"",IF(H22&lt;&gt;0,
IFERROR(INDEX(まとめ!$D$12:$D$27,MATCH(H22,まとめ!$I$12:$I$27,0)),""), 0),"")</f>
        <v/>
      </c>
      <c r="E22" s="34" t="str">
        <f>IF(H22&lt;&gt;"",IF(H22&lt;&gt;0,
IF(IFERROR(INDEX(まとめ!$F$12:$F$27,MATCH(H22,まとめ!$I$12:$I$27,0)),"")&lt;&gt;"",まとめ!$E$9,""), 0),"")</f>
        <v/>
      </c>
      <c r="F22" s="36" t="str">
        <f>IF(E22&lt;&gt;"",IFERROR(INDEX(まとめ!$G$12:$G$27,MATCH(H22,まとめ!$I$12:$I$27,0)),0),"")</f>
        <v/>
      </c>
      <c r="G22" s="28" t="str">
        <f t="shared" si="1"/>
        <v/>
      </c>
      <c r="H22" s="51"/>
      <c r="I22" s="52" t="str">
        <f>IF(H22&lt;&gt;"",VLOOKUP(H22,まとめ!I26:J41,2,FALSE),"")</f>
        <v/>
      </c>
      <c r="J22" s="56" t="str">
        <f>IF(H22&lt;&gt;"",IF(H22&lt;&gt;0,
IFERROR(VALUE(INDEX(まとめ!$K$12:$K$27,MATCH(H22,まとめ!$I$12:$I$27,0))),""), 0),"")
&amp;IF(AND(F22&lt;&gt;0,G22=0),"0.01と備考欄にご記載ください","")</f>
        <v/>
      </c>
    </row>
    <row r="23" spans="1:10" ht="19.2" customHeight="1" x14ac:dyDescent="0.2">
      <c r="A23" s="47" t="str">
        <f t="shared" si="2"/>
        <v/>
      </c>
      <c r="B23" s="47" t="str">
        <f>IF(H23&lt;&gt;"",IF(H23&lt;&gt;0,
IF(COUNTIF(INDEX(まとめ!$B$12:$B$27, MATCH(H23,まとめ!$I$12:$I$27, 0)),"*正社員*"),"保育士（正社員）","保育士（パート）"), 0),"")</f>
        <v/>
      </c>
      <c r="C23" s="32" t="str">
        <f t="shared" si="0"/>
        <v/>
      </c>
      <c r="D23" s="32" t="str">
        <f>IF(H23&lt;&gt;"",IF(H23&lt;&gt;0,
IFERROR(INDEX(まとめ!$D$12:$D$27,MATCH(H23,まとめ!$I$12:$I$27,0)),""), 0),"")</f>
        <v/>
      </c>
      <c r="E23" s="35" t="str">
        <f>IF(H23&lt;&gt;"",IF(H23&lt;&gt;0,
IF(IFERROR(INDEX(まとめ!$F$12:$F$27,MATCH(H23,まとめ!$I$12:$I$27,0)),"")&lt;&gt;"",まとめ!$E$9,""), 0),"")</f>
        <v/>
      </c>
      <c r="F23" s="39" t="str">
        <f>IF(E23&lt;&gt;"",IFERROR(INDEX(まとめ!$G$12:$G$27,MATCH(H23,まとめ!$I$12:$I$27,0)),0),"")</f>
        <v/>
      </c>
      <c r="G23" s="29" t="str">
        <f t="shared" si="1"/>
        <v/>
      </c>
      <c r="H23" s="53"/>
      <c r="I23" s="54" t="str">
        <f>IF(H23&lt;&gt;"",VLOOKUP(H23,まとめ!I27:J42,2,FALSE),"")</f>
        <v/>
      </c>
      <c r="J23" s="57" t="str">
        <f>IF(H23&lt;&gt;"",IF(H23&lt;&gt;0,
IFERROR(VALUE(INDEX(まとめ!$K$12:$K$27,MATCH(H23,まとめ!$I$12:$I$27,0))),""), 0),"")
&amp;IF(AND(F23&lt;&gt;0,G23=0),"0.01と備考欄にご記載ください","")</f>
        <v/>
      </c>
    </row>
  </sheetData>
  <mergeCells count="4">
    <mergeCell ref="E7:F7"/>
    <mergeCell ref="H7:I7"/>
    <mergeCell ref="F3:H4"/>
    <mergeCell ref="F5:H5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シフト一覧（転載）</vt:lpstr>
      <vt:lpstr>提出用</vt:lpstr>
      <vt:lpstr>まとめ</vt:lpstr>
      <vt:lpstr>通常保育</vt:lpstr>
      <vt:lpstr>病児・一時</vt:lpstr>
      <vt:lpstr>提出用!Print_Area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2025-04-24T06:10:31Z</cp:lastPrinted>
  <dcterms:created xsi:type="dcterms:W3CDTF">2025-02-17T02:33:15Z</dcterms:created>
  <dcterms:modified xsi:type="dcterms:W3CDTF">2025-04-24T06:11:37Z</dcterms:modified>
</cp:coreProperties>
</file>