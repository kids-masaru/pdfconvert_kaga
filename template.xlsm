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python\pdfconvert_kaga\"/>
    </mc:Choice>
  </mc:AlternateContent>
  <xr:revisionPtr revIDLastSave="0" documentId="13_ncr:1_{93E1C221-5474-41AF-99BA-AA7FF9271E8B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3" l="1" a="1"/>
  <c r="B12" i="3" s="1"/>
  <c r="I30" i="3"/>
  <c r="I31" i="3"/>
  <c r="I32" i="3"/>
  <c r="I33" i="3"/>
  <c r="I34" i="3"/>
  <c r="I35" i="3"/>
  <c r="I36" i="3"/>
  <c r="I37" i="3"/>
  <c r="I38" i="3"/>
  <c r="I39" i="3"/>
  <c r="I40" i="3"/>
  <c r="I41" i="3"/>
  <c r="G30" i="3"/>
  <c r="G31" i="3"/>
  <c r="G32" i="3"/>
  <c r="G33" i="3"/>
  <c r="G34" i="3"/>
  <c r="G35" i="3"/>
  <c r="G36" i="3"/>
  <c r="G37" i="3"/>
  <c r="G38" i="3"/>
  <c r="G39" i="3"/>
  <c r="G40" i="3"/>
  <c r="G41" i="3"/>
  <c r="J30" i="3" a="1"/>
  <c r="J30" i="3" s="1"/>
  <c r="J31" i="3" a="1"/>
  <c r="J31" i="3" s="1"/>
  <c r="J32" i="3" a="1"/>
  <c r="J32" i="3" s="1"/>
  <c r="J33" i="3" a="1"/>
  <c r="J33" i="3" s="1"/>
  <c r="J34" i="3" a="1"/>
  <c r="J34" i="3" s="1"/>
  <c r="J35" i="3" a="1"/>
  <c r="J35" i="3" s="1"/>
  <c r="J36" i="3" a="1"/>
  <c r="J36" i="3" s="1"/>
  <c r="J37" i="3" a="1"/>
  <c r="J37" i="3" s="1"/>
  <c r="J38" i="3" a="1"/>
  <c r="J38" i="3" s="1"/>
  <c r="J39" i="3" a="1"/>
  <c r="J39" i="3" s="1"/>
  <c r="J40" i="3" a="1"/>
  <c r="J40" i="3" s="1"/>
  <c r="J41" i="3" a="1"/>
  <c r="J41" i="3" s="1"/>
  <c r="H41" i="3" a="1"/>
  <c r="H41" i="3" s="1"/>
  <c r="E41" i="3" a="1"/>
  <c r="E41" i="3" s="1"/>
  <c r="F41" i="3" s="1"/>
  <c r="D41" i="3" a="1"/>
  <c r="D41" i="3" s="1"/>
  <c r="C41" i="3" a="1"/>
  <c r="C41" i="3" s="1"/>
  <c r="A41" i="3"/>
  <c r="H40" i="3" a="1"/>
  <c r="H40" i="3" s="1"/>
  <c r="E40" i="3" a="1"/>
  <c r="E40" i="3" s="1"/>
  <c r="F40" i="3" s="1"/>
  <c r="D40" i="3" a="1"/>
  <c r="D40" i="3" s="1"/>
  <c r="C40" i="3" a="1"/>
  <c r="C40" i="3" s="1"/>
  <c r="A40" i="3"/>
  <c r="H39" i="3" a="1"/>
  <c r="H39" i="3" s="1"/>
  <c r="E39" i="3" a="1"/>
  <c r="E39" i="3" s="1"/>
  <c r="F39" i="3" s="1"/>
  <c r="D39" i="3" a="1"/>
  <c r="D39" i="3" s="1"/>
  <c r="C39" i="3" a="1"/>
  <c r="C39" i="3" s="1"/>
  <c r="A39" i="3"/>
  <c r="H38" i="3" a="1"/>
  <c r="H38" i="3" s="1"/>
  <c r="E38" i="3" a="1"/>
  <c r="E38" i="3" s="1"/>
  <c r="F38" i="3" s="1"/>
  <c r="D38" i="3" a="1"/>
  <c r="D38" i="3" s="1"/>
  <c r="C38" i="3" a="1"/>
  <c r="C38" i="3" s="1"/>
  <c r="A38" i="3"/>
  <c r="H37" i="3" a="1"/>
  <c r="H37" i="3" s="1"/>
  <c r="E37" i="3" a="1"/>
  <c r="E37" i="3" s="1"/>
  <c r="F37" i="3" s="1"/>
  <c r="D37" i="3" a="1"/>
  <c r="D37" i="3" s="1"/>
  <c r="C37" i="3" a="1"/>
  <c r="C37" i="3" s="1"/>
  <c r="A37" i="3"/>
  <c r="H36" i="3" a="1"/>
  <c r="H36" i="3" s="1"/>
  <c r="E36" i="3" a="1"/>
  <c r="E36" i="3" s="1"/>
  <c r="F36" i="3" s="1"/>
  <c r="D36" i="3" a="1"/>
  <c r="D36" i="3" s="1"/>
  <c r="C36" i="3" a="1"/>
  <c r="C36" i="3" s="1"/>
  <c r="A36" i="3"/>
  <c r="H35" i="3" a="1"/>
  <c r="H35" i="3" s="1"/>
  <c r="E35" i="3" a="1"/>
  <c r="E35" i="3" s="1"/>
  <c r="F35" i="3" s="1"/>
  <c r="D35" i="3" a="1"/>
  <c r="D35" i="3" s="1"/>
  <c r="C35" i="3" a="1"/>
  <c r="C35" i="3" s="1"/>
  <c r="A35" i="3"/>
  <c r="H34" i="3" a="1"/>
  <c r="H34" i="3" s="1"/>
  <c r="E34" i="3" a="1"/>
  <c r="E34" i="3" s="1"/>
  <c r="F34" i="3" s="1"/>
  <c r="D34" i="3" a="1"/>
  <c r="D34" i="3" s="1"/>
  <c r="C34" i="3" a="1"/>
  <c r="C34" i="3" s="1"/>
  <c r="A34" i="3"/>
  <c r="H33" i="3" a="1"/>
  <c r="H33" i="3" s="1"/>
  <c r="E33" i="3" a="1"/>
  <c r="E33" i="3" s="1"/>
  <c r="F33" i="3" s="1"/>
  <c r="D33" i="3" a="1"/>
  <c r="D33" i="3" s="1"/>
  <c r="C33" i="3" a="1"/>
  <c r="C33" i="3" s="1"/>
  <c r="A33" i="3"/>
  <c r="H32" i="3" a="1"/>
  <c r="H32" i="3" s="1"/>
  <c r="E32" i="3" a="1"/>
  <c r="E32" i="3" s="1"/>
  <c r="F32" i="3" s="1"/>
  <c r="D32" i="3" a="1"/>
  <c r="D32" i="3" s="1"/>
  <c r="C32" i="3" a="1"/>
  <c r="C32" i="3" s="1"/>
  <c r="A32" i="3"/>
  <c r="H31" i="3" a="1"/>
  <c r="H31" i="3" s="1"/>
  <c r="E31" i="3" a="1"/>
  <c r="E31" i="3" s="1"/>
  <c r="F31" i="3" s="1"/>
  <c r="D31" i="3" a="1"/>
  <c r="D31" i="3" s="1"/>
  <c r="C31" i="3" a="1"/>
  <c r="C31" i="3" s="1"/>
  <c r="A31" i="3"/>
  <c r="H30" i="3" a="1"/>
  <c r="H30" i="3" s="1"/>
  <c r="E30" i="3" a="1"/>
  <c r="E30" i="3" s="1"/>
  <c r="F30" i="3" s="1"/>
  <c r="D30" i="3" a="1"/>
  <c r="D30" i="3" s="1"/>
  <c r="C30" i="3" a="1"/>
  <c r="C30" i="3" s="1"/>
  <c r="A30" i="3"/>
  <c r="M9" i="3"/>
  <c r="F5" i="3"/>
  <c r="D5" i="3"/>
  <c r="B5" i="3"/>
  <c r="C1" i="3"/>
  <c r="B1" i="3"/>
  <c r="C40" i="2"/>
  <c r="D40" i="2" s="1" a="1"/>
  <c r="D40" i="2" s="1"/>
  <c r="C39" i="2"/>
  <c r="F39" i="2" s="1" a="1"/>
  <c r="F39" i="2" s="1"/>
  <c r="C38" i="2"/>
  <c r="E38" i="2" s="1" a="1"/>
  <c r="E38" i="2" s="1"/>
  <c r="C37" i="2"/>
  <c r="F37" i="2" s="1" a="1"/>
  <c r="F37" i="2" s="1"/>
  <c r="C36" i="2"/>
  <c r="F36" i="2" s="1" a="1"/>
  <c r="F36" i="2" s="1"/>
  <c r="H1" i="2"/>
  <c r="J29" i="3" a="1"/>
  <c r="J28" i="3" a="1"/>
  <c r="J27" i="3" a="1"/>
  <c r="J26" i="3" a="1"/>
  <c r="J25" i="3" a="1"/>
  <c r="J24" i="3" a="1"/>
  <c r="J23" i="3" a="1"/>
  <c r="J22" i="3" a="1"/>
  <c r="J21" i="3" a="1"/>
  <c r="J20" i="3" a="1"/>
  <c r="J19" i="3" a="1"/>
  <c r="J18" i="3" a="1"/>
  <c r="J17" i="3" a="1"/>
  <c r="J16" i="3" a="1"/>
  <c r="J15" i="3" a="1"/>
  <c r="J14" i="3" a="1"/>
  <c r="J13" i="3" a="1"/>
  <c r="E29" i="3" a="1"/>
  <c r="C24" i="3" a="1"/>
  <c r="D20" i="3" a="1"/>
  <c r="E16" i="3" a="1"/>
  <c r="C15" i="3" a="1"/>
  <c r="D22" i="3" a="1"/>
  <c r="D13" i="3" a="1"/>
  <c r="D23" i="3" a="1"/>
  <c r="D14" i="3" a="1"/>
  <c r="E15" i="3" a="1"/>
  <c r="D24" i="3" a="1"/>
  <c r="C14" i="3" a="1"/>
  <c r="D29" i="3" a="1"/>
  <c r="E26" i="3" a="1"/>
  <c r="D25" i="3" a="1"/>
  <c r="E21" i="3" a="1"/>
  <c r="C20" i="3" a="1"/>
  <c r="D16" i="3" a="1"/>
  <c r="D18" i="3" a="1"/>
  <c r="C22" i="3" a="1"/>
  <c r="E24" i="3" a="1"/>
  <c r="C28" i="3" a="1"/>
  <c r="C19" i="3" a="1"/>
  <c r="C29" i="3" a="1"/>
  <c r="D26" i="3" a="1"/>
  <c r="C25" i="3" a="1"/>
  <c r="E22" i="3" a="1"/>
  <c r="D21" i="3" a="1"/>
  <c r="E17" i="3" a="1"/>
  <c r="C16" i="3" a="1"/>
  <c r="E23" i="3" a="1"/>
  <c r="C27" i="3" a="1"/>
  <c r="C13" i="3" a="1"/>
  <c r="D28" i="3" a="1"/>
  <c r="D15" i="3" a="1"/>
  <c r="E27" i="3" a="1"/>
  <c r="C26" i="3" a="1"/>
  <c r="C21" i="3" a="1"/>
  <c r="E18" i="3" a="1"/>
  <c r="D17" i="3" a="1"/>
  <c r="E13" i="3" a="1"/>
  <c r="D27" i="3" a="1"/>
  <c r="C17" i="3" a="1"/>
  <c r="E28" i="3" a="1"/>
  <c r="E19" i="3" a="1"/>
  <c r="D19" i="3" a="1"/>
  <c r="E20" i="3" a="1"/>
  <c r="E14" i="3" a="1"/>
  <c r="C18" i="3" a="1"/>
  <c r="C23" i="3" a="1"/>
  <c r="E25" i="3" a="1"/>
  <c r="D39" i="2" l="1" a="1"/>
  <c r="D39" i="2" s="1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I18" i="3"/>
  <c r="I25" i="3"/>
  <c r="I27" i="3"/>
  <c r="I29" i="3"/>
  <c r="H23" i="3" a="1"/>
  <c r="H23" i="3" s="1"/>
  <c r="H19" i="3" a="1"/>
  <c r="H19" i="3" s="1"/>
  <c r="H15" i="3" a="1"/>
  <c r="H15" i="3" s="1"/>
  <c r="C29" i="2"/>
  <c r="F29" i="2" s="1" a="1"/>
  <c r="F29" i="2" s="1"/>
  <c r="C22" i="2"/>
  <c r="A23" i="3"/>
  <c r="A24" i="3" s="1"/>
  <c r="A19" i="3"/>
  <c r="A15" i="3"/>
  <c r="C28" i="2"/>
  <c r="F28" i="2" s="1" a="1"/>
  <c r="F28" i="2" s="1"/>
  <c r="C21" i="2"/>
  <c r="F21" i="2" s="1" a="1"/>
  <c r="F21" i="2" s="1"/>
  <c r="A21" i="3"/>
  <c r="C32" i="2"/>
  <c r="A16" i="3"/>
  <c r="C23" i="2"/>
  <c r="F23" i="2" s="1" a="1"/>
  <c r="F23" i="2" s="1"/>
  <c r="H29" i="3" a="1"/>
  <c r="H29" i="3" s="1"/>
  <c r="H22" i="3" a="1"/>
  <c r="H22" i="3" s="1"/>
  <c r="H18" i="3" a="1"/>
  <c r="H18" i="3" s="1"/>
  <c r="H14" i="3" a="1"/>
  <c r="H14" i="3" s="1"/>
  <c r="C35" i="2"/>
  <c r="C33" i="2"/>
  <c r="F33" i="2" s="1" a="1"/>
  <c r="F33" i="2" s="1"/>
  <c r="A13" i="3"/>
  <c r="H24" i="3" a="1"/>
  <c r="H24" i="3" s="1"/>
  <c r="C30" i="2"/>
  <c r="F30" i="2" s="1" a="1"/>
  <c r="F30" i="2" s="1"/>
  <c r="H28" i="3" a="1"/>
  <c r="H28" i="3" s="1"/>
  <c r="A22" i="3"/>
  <c r="A18" i="3"/>
  <c r="A14" i="3"/>
  <c r="C34" i="2"/>
  <c r="C27" i="2"/>
  <c r="F27" i="2" s="1" a="1"/>
  <c r="F27" i="2" s="1"/>
  <c r="C20" i="2"/>
  <c r="F20" i="2" s="1" a="1"/>
  <c r="F20" i="2" s="1"/>
  <c r="C26" i="2"/>
  <c r="F26" i="2" s="1" a="1"/>
  <c r="F26" i="2" s="1"/>
  <c r="H26" i="3" a="1"/>
  <c r="H26" i="3" s="1"/>
  <c r="A17" i="3"/>
  <c r="C25" i="2"/>
  <c r="F25" i="2" s="1" a="1"/>
  <c r="F25" i="2" s="1"/>
  <c r="H27" i="3" a="1"/>
  <c r="H27" i="3" s="1"/>
  <c r="H21" i="3" a="1"/>
  <c r="H21" i="3" s="1"/>
  <c r="H17" i="3" a="1"/>
  <c r="H17" i="3" s="1"/>
  <c r="H13" i="3" a="1"/>
  <c r="H13" i="3" s="1"/>
  <c r="C19" i="2"/>
  <c r="A20" i="3"/>
  <c r="C24" i="2"/>
  <c r="C31" i="2"/>
  <c r="F31" i="2" s="1" a="1"/>
  <c r="F31" i="2" s="1"/>
  <c r="H16" i="3" a="1"/>
  <c r="H16" i="3" s="1"/>
  <c r="H20" i="3" a="1"/>
  <c r="H20" i="3" s="1"/>
  <c r="H25" i="3" a="1"/>
  <c r="H25" i="3" s="1"/>
  <c r="E25" i="3"/>
  <c r="F25" i="3" s="1"/>
  <c r="G25" i="3" s="1"/>
  <c r="C23" i="3"/>
  <c r="C18" i="3"/>
  <c r="E14" i="3"/>
  <c r="F14" i="3" s="1"/>
  <c r="E20" i="3"/>
  <c r="F20" i="3" s="1"/>
  <c r="D19" i="3"/>
  <c r="E19" i="3"/>
  <c r="F19" i="3" s="1"/>
  <c r="E28" i="3"/>
  <c r="F28" i="3" s="1"/>
  <c r="C17" i="3"/>
  <c r="D27" i="3"/>
  <c r="E13" i="3"/>
  <c r="F13" i="3" s="1"/>
  <c r="D17" i="3"/>
  <c r="E18" i="3"/>
  <c r="F18" i="3" s="1"/>
  <c r="G18" i="3" s="1"/>
  <c r="C21" i="3"/>
  <c r="C26" i="3"/>
  <c r="E27" i="3"/>
  <c r="F27" i="3" s="1"/>
  <c r="G27" i="3" s="1"/>
  <c r="D15" i="3"/>
  <c r="D28" i="3"/>
  <c r="C13" i="3"/>
  <c r="C27" i="3"/>
  <c r="E23" i="3"/>
  <c r="F23" i="3" s="1"/>
  <c r="C16" i="3"/>
  <c r="E17" i="3"/>
  <c r="F17" i="3" s="1"/>
  <c r="D21" i="3"/>
  <c r="E22" i="3"/>
  <c r="F22" i="3" s="1"/>
  <c r="C25" i="3"/>
  <c r="D26" i="3"/>
  <c r="C29" i="3"/>
  <c r="C19" i="3"/>
  <c r="C28" i="3"/>
  <c r="E24" i="3"/>
  <c r="F24" i="3" s="1"/>
  <c r="C22" i="3"/>
  <c r="D18" i="3"/>
  <c r="D16" i="3"/>
  <c r="C20" i="3"/>
  <c r="E21" i="3"/>
  <c r="F21" i="3" s="1"/>
  <c r="D25" i="3"/>
  <c r="E26" i="3"/>
  <c r="F26" i="3" s="1"/>
  <c r="D29" i="3"/>
  <c r="C14" i="3"/>
  <c r="D24" i="3"/>
  <c r="E15" i="3"/>
  <c r="F15" i="3" s="1"/>
  <c r="D14" i="3"/>
  <c r="D23" i="3"/>
  <c r="D13" i="3"/>
  <c r="D22" i="3"/>
  <c r="C15" i="3"/>
  <c r="E16" i="3"/>
  <c r="F16" i="3" s="1"/>
  <c r="D20" i="3"/>
  <c r="C24" i="3"/>
  <c r="E29" i="3"/>
  <c r="F29" i="3" s="1"/>
  <c r="G29" i="3" s="1"/>
  <c r="A25" i="3"/>
  <c r="E36" i="2" a="1"/>
  <c r="E36" i="2" s="1"/>
  <c r="J4" i="3"/>
  <c r="J6" i="3" s="1"/>
  <c r="B9" i="3" s="1"/>
  <c r="F22" i="2" a="1"/>
  <c r="F22" i="2" s="1"/>
  <c r="F38" i="2" a="1"/>
  <c r="F38" i="2" s="1"/>
  <c r="F19" i="2" a="1"/>
  <c r="F19" i="2" s="1"/>
  <c r="F35" i="2" a="1"/>
  <c r="F35" i="2" s="1"/>
  <c r="C18" i="2"/>
  <c r="H12" i="3" a="1"/>
  <c r="H12" i="3" s="1"/>
  <c r="F34" i="2" a="1"/>
  <c r="F34" i="2" s="1"/>
  <c r="D38" i="2" a="1"/>
  <c r="D38" i="2" s="1"/>
  <c r="E40" i="2" a="1"/>
  <c r="E40" i="2" s="1"/>
  <c r="D37" i="2" a="1"/>
  <c r="D37" i="2" s="1"/>
  <c r="E39" i="2" a="1"/>
  <c r="E39" i="2" s="1"/>
  <c r="F24" i="2" a="1"/>
  <c r="F24" i="2" s="1"/>
  <c r="F32" i="2" a="1"/>
  <c r="F32" i="2" s="1"/>
  <c r="D36" i="2" a="1"/>
  <c r="D36" i="2" s="1"/>
  <c r="F40" i="2" a="1"/>
  <c r="F40" i="2" s="1"/>
  <c r="E37" i="2" a="1"/>
  <c r="E37" i="2" s="1"/>
  <c r="J12" i="3" a="1"/>
  <c r="E12" i="3" a="1"/>
  <c r="D12" i="3" a="1"/>
  <c r="C12" i="3" a="1"/>
  <c r="J12" i="3" l="1"/>
  <c r="A26" i="3"/>
  <c r="C12" i="3"/>
  <c r="D12" i="3"/>
  <c r="E12" i="3"/>
  <c r="F12" i="3" s="1"/>
  <c r="M68" i="3" a="1"/>
  <c r="M68" i="3" s="1"/>
  <c r="M70" i="3" a="1"/>
  <c r="M70" i="3" s="1"/>
  <c r="M64" i="3" a="1"/>
  <c r="M64" i="3" s="1"/>
  <c r="M66" i="3" a="1"/>
  <c r="M66" i="3" s="1"/>
  <c r="M56" i="3" a="1"/>
  <c r="M56" i="3" s="1"/>
  <c r="M58" i="3" a="1"/>
  <c r="M58" i="3" s="1"/>
  <c r="M60" i="3" a="1"/>
  <c r="M60" i="3" s="1"/>
  <c r="M62" i="3" a="1"/>
  <c r="M62" i="3" s="1"/>
  <c r="M50" i="3" a="1"/>
  <c r="M50" i="3" s="1"/>
  <c r="M54" i="3" a="1"/>
  <c r="M54" i="3" s="1"/>
  <c r="M52" i="3" a="1"/>
  <c r="M52" i="3" s="1"/>
  <c r="M48" i="3" a="1"/>
  <c r="M48" i="3" s="1"/>
  <c r="M44" i="3" a="1"/>
  <c r="M44" i="3" s="1"/>
  <c r="M46" i="3" a="1"/>
  <c r="M46" i="3" s="1"/>
  <c r="M42" i="3" a="1"/>
  <c r="M42" i="3" s="1"/>
  <c r="M40" i="3" a="1"/>
  <c r="M40" i="3" s="1"/>
  <c r="M38" i="3" a="1"/>
  <c r="M38" i="3" s="1"/>
  <c r="M36" i="3" a="1"/>
  <c r="M36" i="3" s="1"/>
  <c r="M34" i="3" a="1"/>
  <c r="M34" i="3" s="1"/>
  <c r="M32" i="3" a="1"/>
  <c r="M32" i="3" s="1"/>
  <c r="M30" i="3" a="1"/>
  <c r="M30" i="3" s="1"/>
  <c r="M28" i="3" a="1"/>
  <c r="M28" i="3" s="1"/>
  <c r="M26" i="3" a="1"/>
  <c r="M26" i="3" s="1"/>
  <c r="M24" i="3" a="1"/>
  <c r="M24" i="3" s="1"/>
  <c r="M22" i="3" a="1"/>
  <c r="M22" i="3" s="1"/>
  <c r="M20" i="3" a="1"/>
  <c r="M20" i="3" s="1"/>
  <c r="M18" i="3" a="1"/>
  <c r="M18" i="3" s="1"/>
  <c r="M14" i="3" a="1"/>
  <c r="M14" i="3" s="1"/>
  <c r="M12" i="3" a="1"/>
  <c r="M12" i="3" s="1"/>
  <c r="M16" i="3" a="1"/>
  <c r="M16" i="3" s="1"/>
  <c r="F18" i="2" a="1"/>
  <c r="F18" i="2" s="1"/>
  <c r="A27" i="3" l="1"/>
  <c r="P24" i="3" a="1"/>
  <c r="P24" i="3" s="1"/>
  <c r="P25" i="3" a="1"/>
  <c r="P25" i="3" s="1"/>
  <c r="P62" i="3" a="1"/>
  <c r="P62" i="3" s="1"/>
  <c r="P63" i="3" a="1"/>
  <c r="P63" i="3" s="1"/>
  <c r="P29" i="3" a="1"/>
  <c r="P29" i="3" s="1"/>
  <c r="P28" i="3" a="1"/>
  <c r="P28" i="3" s="1"/>
  <c r="P47" i="3" a="1"/>
  <c r="P47" i="3" s="1"/>
  <c r="P46" i="3" a="1"/>
  <c r="P46" i="3" s="1"/>
  <c r="P31" i="3" a="1"/>
  <c r="P31" i="3" s="1"/>
  <c r="P30" i="3" a="1"/>
  <c r="P30" i="3" s="1"/>
  <c r="P45" i="3" a="1"/>
  <c r="P45" i="3" s="1"/>
  <c r="P44" i="3" a="1"/>
  <c r="P44" i="3" s="1"/>
  <c r="P14" i="3" a="1"/>
  <c r="P14" i="3" s="1"/>
  <c r="P15" i="3" a="1"/>
  <c r="P15" i="3" s="1"/>
  <c r="P33" i="3" a="1"/>
  <c r="P33" i="3" s="1"/>
  <c r="P32" i="3" a="1"/>
  <c r="P32" i="3" s="1"/>
  <c r="P49" i="3" a="1"/>
  <c r="P49" i="3" s="1"/>
  <c r="P48" i="3" a="1"/>
  <c r="P48" i="3" s="1"/>
  <c r="P66" i="3" a="1"/>
  <c r="P66" i="3" s="1"/>
  <c r="P67" i="3" a="1"/>
  <c r="P67" i="3" s="1"/>
  <c r="P40" i="3" a="1"/>
  <c r="P40" i="3" s="1"/>
  <c r="P41" i="3" a="1"/>
  <c r="P41" i="3" s="1"/>
  <c r="P16" i="3" a="1"/>
  <c r="P16" i="3" s="1"/>
  <c r="P17" i="3" a="1"/>
  <c r="P17" i="3" s="1"/>
  <c r="P13" i="3" a="1"/>
  <c r="P13" i="3" s="1"/>
  <c r="P12" i="3" a="1"/>
  <c r="P12" i="3" s="1"/>
  <c r="P19" i="3" a="1"/>
  <c r="P19" i="3" s="1"/>
  <c r="P18" i="3" a="1"/>
  <c r="P18" i="3" s="1"/>
  <c r="P34" i="3" a="1"/>
  <c r="P34" i="3" s="1"/>
  <c r="P35" i="3" a="1"/>
  <c r="P35" i="3" s="1"/>
  <c r="P52" i="3" a="1"/>
  <c r="P52" i="3" s="1"/>
  <c r="P53" i="3" a="1"/>
  <c r="P53" i="3" s="1"/>
  <c r="P65" i="3" a="1"/>
  <c r="P65" i="3" s="1"/>
  <c r="P64" i="3" a="1"/>
  <c r="P64" i="3" s="1"/>
  <c r="P21" i="3" a="1"/>
  <c r="P21" i="3" s="1"/>
  <c r="P20" i="3" a="1"/>
  <c r="P20" i="3" s="1"/>
  <c r="P37" i="3" a="1"/>
  <c r="P37" i="3" s="1"/>
  <c r="P36" i="3" a="1"/>
  <c r="P36" i="3" s="1"/>
  <c r="P55" i="3" a="1"/>
  <c r="P55" i="3" s="1"/>
  <c r="P54" i="3" a="1"/>
  <c r="P54" i="3" s="1"/>
  <c r="P71" i="3" a="1"/>
  <c r="P71" i="3" s="1"/>
  <c r="P70" i="3" a="1"/>
  <c r="P70" i="3" s="1"/>
  <c r="P23" i="3" a="1"/>
  <c r="P23" i="3" s="1"/>
  <c r="P22" i="3" a="1"/>
  <c r="P22" i="3" s="1"/>
  <c r="P39" i="3" a="1"/>
  <c r="P39" i="3" s="1"/>
  <c r="P38" i="3" a="1"/>
  <c r="P38" i="3" s="1"/>
  <c r="P51" i="3" a="1"/>
  <c r="P51" i="3" s="1"/>
  <c r="P50" i="3" a="1"/>
  <c r="P50" i="3" s="1"/>
  <c r="P69" i="3" a="1"/>
  <c r="P69" i="3" s="1"/>
  <c r="P68" i="3" a="1"/>
  <c r="P68" i="3" s="1"/>
  <c r="P26" i="3" a="1"/>
  <c r="P26" i="3" s="1"/>
  <c r="P27" i="3" a="1"/>
  <c r="P27" i="3" s="1"/>
  <c r="P43" i="3" a="1"/>
  <c r="P43" i="3" s="1"/>
  <c r="P42" i="3" a="1"/>
  <c r="P42" i="3" s="1"/>
  <c r="P60" i="3" a="1"/>
  <c r="P60" i="3" s="1"/>
  <c r="P61" i="3" a="1"/>
  <c r="P61" i="3" s="1"/>
  <c r="P59" i="3" a="1"/>
  <c r="P59" i="3" s="1"/>
  <c r="P58" i="3" a="1"/>
  <c r="P58" i="3" s="1"/>
  <c r="P57" i="3" a="1"/>
  <c r="P57" i="3" s="1"/>
  <c r="P56" i="3" a="1"/>
  <c r="P56" i="3" s="1"/>
  <c r="A28" i="3" l="1"/>
  <c r="D24" i="2" a="1"/>
  <c r="D24" i="2" s="1"/>
  <c r="E24" i="2" a="1"/>
  <c r="E24" i="2" s="1"/>
  <c r="D31" i="2" a="1"/>
  <c r="D31" i="2" s="1"/>
  <c r="E31" i="2" a="1"/>
  <c r="E31" i="2" s="1"/>
  <c r="E33" i="2" a="1"/>
  <c r="E33" i="2" s="1"/>
  <c r="E35" i="2" a="1"/>
  <c r="E35" i="2" s="1"/>
  <c r="Q38" i="3" a="1"/>
  <c r="Q38" i="3" s="1"/>
  <c r="Q39" i="3"/>
  <c r="Q37" i="3"/>
  <c r="Q36" i="3" a="1"/>
  <c r="Q36" i="3" s="1"/>
  <c r="Q16" i="3" a="1"/>
  <c r="Q16" i="3" s="1"/>
  <c r="Q17" i="3"/>
  <c r="Q68" i="3" a="1"/>
  <c r="Q68" i="3" s="1"/>
  <c r="Q69" i="3"/>
  <c r="Q65" i="3"/>
  <c r="Q64" i="3" a="1"/>
  <c r="Q64" i="3" s="1"/>
  <c r="Q60" i="3" a="1"/>
  <c r="Q60" i="3" s="1"/>
  <c r="Q61" i="3"/>
  <c r="Q55" i="3"/>
  <c r="Q54" i="3" a="1"/>
  <c r="Q54" i="3" s="1"/>
  <c r="Q52" i="3" a="1"/>
  <c r="Q52" i="3" s="1"/>
  <c r="Q53" i="3"/>
  <c r="Q47" i="3"/>
  <c r="Q46" i="3" a="1"/>
  <c r="Q46" i="3" s="1"/>
  <c r="Q56" i="3" a="1"/>
  <c r="Q56" i="3" s="1"/>
  <c r="Q57" i="3"/>
  <c r="Q35" i="3"/>
  <c r="Q34" i="3" a="1"/>
  <c r="Q34" i="3" s="1"/>
  <c r="Q29" i="3"/>
  <c r="Q28" i="3" a="1"/>
  <c r="Q28" i="3" s="1"/>
  <c r="Q71" i="3"/>
  <c r="Q70" i="3" a="1"/>
  <c r="Q70" i="3" s="1"/>
  <c r="Q32" i="3" a="1"/>
  <c r="Q32" i="3" s="1"/>
  <c r="Q33" i="3"/>
  <c r="Q27" i="3"/>
  <c r="Q26" i="3" a="1"/>
  <c r="Q26" i="3" s="1"/>
  <c r="Q22" i="3" a="1"/>
  <c r="Q22" i="3" s="1"/>
  <c r="Q23" i="3"/>
  <c r="Q21" i="3"/>
  <c r="Q20" i="3" a="1"/>
  <c r="Q20" i="3" s="1"/>
  <c r="Q19" i="3"/>
  <c r="Q18" i="3" a="1"/>
  <c r="Q18" i="3" s="1"/>
  <c r="Q41" i="3"/>
  <c r="Q40" i="3" a="1"/>
  <c r="Q40" i="3" s="1"/>
  <c r="Q15" i="3"/>
  <c r="Q14" i="3" a="1"/>
  <c r="Q14" i="3" s="1"/>
  <c r="Q51" i="3"/>
  <c r="Q50" i="3" a="1"/>
  <c r="Q50" i="3" s="1"/>
  <c r="Q43" i="3"/>
  <c r="Q42" i="3" a="1"/>
  <c r="Q42" i="3" s="1"/>
  <c r="Q59" i="3"/>
  <c r="Q58" i="3" a="1"/>
  <c r="Q58" i="3" s="1"/>
  <c r="Q44" i="3" a="1"/>
  <c r="Q44" i="3" s="1"/>
  <c r="Q45" i="3"/>
  <c r="Q67" i="3"/>
  <c r="Q66" i="3" a="1"/>
  <c r="Q66" i="3" s="1"/>
  <c r="Q62" i="3" a="1"/>
  <c r="Q62" i="3" s="1"/>
  <c r="Q63" i="3"/>
  <c r="Q13" i="3"/>
  <c r="Q12" i="3" a="1"/>
  <c r="Q12" i="3" s="1"/>
  <c r="Q48" i="3" a="1"/>
  <c r="Q48" i="3" s="1"/>
  <c r="Q49" i="3"/>
  <c r="Q31" i="3"/>
  <c r="Q30" i="3" a="1"/>
  <c r="Q30" i="3" s="1"/>
  <c r="Q25" i="3"/>
  <c r="Q24" i="3" a="1"/>
  <c r="Q24" i="3" s="1"/>
  <c r="D33" i="2" l="1" a="1"/>
  <c r="D33" i="2" s="1"/>
  <c r="A29" i="3"/>
  <c r="R32" i="3" a="1"/>
  <c r="R32" i="3" s="1"/>
  <c r="S60" i="3" a="1"/>
  <c r="S60" i="3" s="1"/>
  <c r="R61" i="3" a="1"/>
  <c r="R61" i="3" s="1"/>
  <c r="R60" i="3" a="1"/>
  <c r="R60" i="3" s="1"/>
  <c r="S44" i="3" a="1"/>
  <c r="S44" i="3" s="1"/>
  <c r="R44" i="3" a="1"/>
  <c r="R44" i="3" s="1"/>
  <c r="R45" i="3" a="1"/>
  <c r="R45" i="3" s="1"/>
  <c r="R51" i="3" a="1"/>
  <c r="R51" i="3" s="1"/>
  <c r="S50" i="3" a="1"/>
  <c r="S50" i="3" s="1"/>
  <c r="R50" i="3" a="1"/>
  <c r="R50" i="3" s="1"/>
  <c r="R71" i="3" a="1"/>
  <c r="R71" i="3" s="1"/>
  <c r="S70" i="3" a="1"/>
  <c r="S70" i="3" s="1"/>
  <c r="R70" i="3" a="1"/>
  <c r="R70" i="3" s="1"/>
  <c r="S64" i="3" a="1"/>
  <c r="S64" i="3" s="1"/>
  <c r="R64" i="3" a="1"/>
  <c r="R64" i="3" s="1"/>
  <c r="R65" i="3" a="1"/>
  <c r="R65" i="3" s="1"/>
  <c r="R53" i="3" a="1"/>
  <c r="R53" i="3" s="1"/>
  <c r="S52" i="3" a="1"/>
  <c r="S52" i="3" s="1"/>
  <c r="R52" i="3" a="1"/>
  <c r="R52" i="3" s="1"/>
  <c r="S58" i="3" a="1"/>
  <c r="S58" i="3" s="1"/>
  <c r="R58" i="3" a="1"/>
  <c r="R58" i="3" s="1"/>
  <c r="R59" i="3" a="1"/>
  <c r="R59" i="3" s="1"/>
  <c r="R36" i="3" a="1"/>
  <c r="R36" i="3" s="1"/>
  <c r="R62" i="3" a="1"/>
  <c r="R62" i="3" s="1"/>
  <c r="R63" i="3" a="1"/>
  <c r="R63" i="3" s="1"/>
  <c r="S62" i="3" a="1"/>
  <c r="S62" i="3" s="1"/>
  <c r="R56" i="3" a="1"/>
  <c r="R56" i="3" s="1"/>
  <c r="S56" i="3" a="1"/>
  <c r="S56" i="3" s="1"/>
  <c r="R57" i="3" a="1"/>
  <c r="R57" i="3" s="1"/>
  <c r="R54" i="3" a="1"/>
  <c r="R54" i="3" s="1"/>
  <c r="R55" i="3" a="1"/>
  <c r="R55" i="3" s="1"/>
  <c r="S54" i="3" a="1"/>
  <c r="S54" i="3" s="1"/>
  <c r="R47" i="3" a="1"/>
  <c r="R47" i="3" s="1"/>
  <c r="S46" i="3" a="1"/>
  <c r="S46" i="3" s="1"/>
  <c r="R46" i="3" a="1"/>
  <c r="R46" i="3" s="1"/>
  <c r="R48" i="3" a="1"/>
  <c r="R48" i="3" s="1"/>
  <c r="R49" i="3" a="1"/>
  <c r="R49" i="3" s="1"/>
  <c r="S48" i="3" a="1"/>
  <c r="S48" i="3" s="1"/>
  <c r="S66" i="3" a="1"/>
  <c r="S66" i="3" s="1"/>
  <c r="R66" i="3" a="1"/>
  <c r="R66" i="3" s="1"/>
  <c r="R67" i="3" a="1"/>
  <c r="R67" i="3" s="1"/>
  <c r="R68" i="3" a="1"/>
  <c r="R68" i="3" s="1"/>
  <c r="S68" i="3" a="1"/>
  <c r="S68" i="3" s="1"/>
  <c r="R69" i="3" a="1"/>
  <c r="R69" i="3" s="1"/>
  <c r="R42" i="3" a="1"/>
  <c r="R42" i="3" s="1"/>
  <c r="R43" i="3" a="1"/>
  <c r="R43" i="3" s="1"/>
  <c r="S42" i="3" a="1"/>
  <c r="S42" i="3" s="1"/>
  <c r="S40" i="3" a="1"/>
  <c r="S40" i="3" s="1"/>
  <c r="R41" i="3" a="1"/>
  <c r="R41" i="3" s="1"/>
  <c r="R40" i="3" a="1"/>
  <c r="R40" i="3" s="1"/>
  <c r="S32" i="3" a="1"/>
  <c r="S24" i="3" a="1"/>
  <c r="R18" i="3" a="1"/>
  <c r="R28" i="3" a="1"/>
  <c r="R21" i="3" a="1"/>
  <c r="R23" i="3" a="1"/>
  <c r="S22" i="3" a="1"/>
  <c r="R27" i="3" a="1"/>
  <c r="R33" i="3" a="1"/>
  <c r="S16" i="3" a="1"/>
  <c r="R25" i="3" a="1"/>
  <c r="R22" i="3" a="1"/>
  <c r="R20" i="3" a="1"/>
  <c r="R17" i="3" a="1"/>
  <c r="R24" i="3" a="1"/>
  <c r="S26" i="3" a="1"/>
  <c r="S30" i="3" a="1"/>
  <c r="S14" i="3" a="1"/>
  <c r="R14" i="3" a="1"/>
  <c r="R34" i="3" a="1"/>
  <c r="R16" i="3" a="1"/>
  <c r="S38" i="3" a="1"/>
  <c r="S20" i="3" a="1"/>
  <c r="R35" i="3" a="1"/>
  <c r="R31" i="3" a="1"/>
  <c r="R26" i="3" a="1"/>
  <c r="R15" i="3" a="1"/>
  <c r="R39" i="3" a="1"/>
  <c r="S34" i="3" a="1"/>
  <c r="R30" i="3" a="1"/>
  <c r="S18" i="3" a="1"/>
  <c r="S36" i="3" a="1"/>
  <c r="S28" i="3" a="1"/>
  <c r="R38" i="3" a="1"/>
  <c r="R19" i="3" a="1"/>
  <c r="R37" i="3" a="1"/>
  <c r="R29" i="3" a="1"/>
  <c r="R12" i="3" a="1"/>
  <c r="R13" i="3" a="1"/>
  <c r="S12" i="3" a="1"/>
  <c r="S33" i="3" l="1"/>
  <c r="S37" i="3"/>
  <c r="S71" i="3"/>
  <c r="S69" i="3"/>
  <c r="S67" i="3"/>
  <c r="S65" i="3"/>
  <c r="S63" i="3"/>
  <c r="S61" i="3"/>
  <c r="S59" i="3"/>
  <c r="S57" i="3"/>
  <c r="S55" i="3"/>
  <c r="S53" i="3"/>
  <c r="S51" i="3"/>
  <c r="S49" i="3"/>
  <c r="S47" i="3"/>
  <c r="S45" i="3"/>
  <c r="S43" i="3"/>
  <c r="S41" i="3"/>
  <c r="D35" i="2" a="1"/>
  <c r="D35" i="2" s="1"/>
  <c r="R29" i="3"/>
  <c r="R37" i="3"/>
  <c r="R19" i="3"/>
  <c r="R38" i="3"/>
  <c r="S28" i="3"/>
  <c r="U28" i="3" s="1" a="1"/>
  <c r="S36" i="3"/>
  <c r="S18" i="3"/>
  <c r="R30" i="3"/>
  <c r="S34" i="3"/>
  <c r="U34" i="3" s="1" a="1"/>
  <c r="R39" i="3"/>
  <c r="R15" i="3"/>
  <c r="R26" i="3"/>
  <c r="R31" i="3"/>
  <c r="R35" i="3"/>
  <c r="S20" i="3"/>
  <c r="S38" i="3"/>
  <c r="R16" i="3"/>
  <c r="R34" i="3"/>
  <c r="R14" i="3"/>
  <c r="S14" i="3"/>
  <c r="T14" i="3" s="1" a="1"/>
  <c r="S30" i="3"/>
  <c r="T30" i="3" s="1" a="1"/>
  <c r="T30" i="3" s="1"/>
  <c r="U31" i="3" s="1"/>
  <c r="S26" i="3"/>
  <c r="R24" i="3"/>
  <c r="R17" i="3"/>
  <c r="R20" i="3"/>
  <c r="R22" i="3"/>
  <c r="R25" i="3"/>
  <c r="S16" i="3"/>
  <c r="U16" i="3" s="1" a="1"/>
  <c r="R33" i="3"/>
  <c r="R27" i="3"/>
  <c r="S22" i="3"/>
  <c r="R23" i="3"/>
  <c r="R21" i="3"/>
  <c r="R28" i="3"/>
  <c r="R18" i="3"/>
  <c r="S24" i="3"/>
  <c r="T24" i="3" s="1" a="1"/>
  <c r="S32" i="3"/>
  <c r="S12" i="3"/>
  <c r="R13" i="3"/>
  <c r="R12" i="3"/>
  <c r="T59" i="3" a="1"/>
  <c r="T59" i="3" s="1"/>
  <c r="T58" i="3" a="1"/>
  <c r="T58" i="3" s="1"/>
  <c r="U58" i="3" a="1"/>
  <c r="U58" i="3" s="1"/>
  <c r="T55" i="3" a="1"/>
  <c r="T55" i="3" s="1"/>
  <c r="U54" i="3" a="1"/>
  <c r="U54" i="3" s="1"/>
  <c r="T54" i="3" a="1"/>
  <c r="T54" i="3" s="1"/>
  <c r="T18" i="3" a="1"/>
  <c r="T18" i="3" s="1"/>
  <c r="U19" i="3" s="1"/>
  <c r="T61" i="3" a="1"/>
  <c r="T61" i="3" s="1"/>
  <c r="U60" i="3" a="1"/>
  <c r="U60" i="3" s="1"/>
  <c r="T60" i="3" a="1"/>
  <c r="T60" i="3" s="1"/>
  <c r="T49" i="3" a="1"/>
  <c r="T49" i="3" s="1"/>
  <c r="U48" i="3" a="1"/>
  <c r="U48" i="3" s="1"/>
  <c r="T48" i="3" a="1"/>
  <c r="T48" i="3" s="1"/>
  <c r="T41" i="3" a="1"/>
  <c r="T41" i="3" s="1"/>
  <c r="T40" i="3" a="1"/>
  <c r="T40" i="3" s="1"/>
  <c r="U40" i="3" a="1"/>
  <c r="U40" i="3" s="1"/>
  <c r="T69" i="3" a="1"/>
  <c r="T69" i="3" s="1"/>
  <c r="U68" i="3" a="1"/>
  <c r="U68" i="3" s="1"/>
  <c r="T68" i="3" a="1"/>
  <c r="T68" i="3" s="1"/>
  <c r="T45" i="3" a="1"/>
  <c r="T45" i="3" s="1"/>
  <c r="U44" i="3" a="1"/>
  <c r="U44" i="3" s="1"/>
  <c r="T44" i="3" a="1"/>
  <c r="T44" i="3" s="1"/>
  <c r="T53" i="3" a="1"/>
  <c r="T53" i="3" s="1"/>
  <c r="U52" i="3" a="1"/>
  <c r="U52" i="3" s="1"/>
  <c r="T52" i="3" a="1"/>
  <c r="T52" i="3" s="1"/>
  <c r="T65" i="3" a="1"/>
  <c r="T65" i="3" s="1"/>
  <c r="U64" i="3" a="1"/>
  <c r="U64" i="3" s="1"/>
  <c r="T64" i="3" a="1"/>
  <c r="T64" i="3" s="1"/>
  <c r="T43" i="3" a="1"/>
  <c r="T43" i="3" s="1"/>
  <c r="U42" i="3" a="1"/>
  <c r="U42" i="3" s="1"/>
  <c r="T42" i="3" a="1"/>
  <c r="T42" i="3" s="1"/>
  <c r="T47" i="3" a="1"/>
  <c r="T47" i="3" s="1"/>
  <c r="U46" i="3" a="1"/>
  <c r="U46" i="3" s="1"/>
  <c r="T46" i="3" a="1"/>
  <c r="T46" i="3" s="1"/>
  <c r="T71" i="3" a="1"/>
  <c r="T71" i="3" s="1"/>
  <c r="U70" i="3" a="1"/>
  <c r="U70" i="3" s="1"/>
  <c r="T70" i="3" a="1"/>
  <c r="T70" i="3" s="1"/>
  <c r="T57" i="3" a="1"/>
  <c r="T57" i="3" s="1"/>
  <c r="U56" i="3" a="1"/>
  <c r="U56" i="3" s="1"/>
  <c r="T56" i="3" a="1"/>
  <c r="T56" i="3" s="1"/>
  <c r="T63" i="3" a="1"/>
  <c r="T63" i="3" s="1"/>
  <c r="U62" i="3" a="1"/>
  <c r="U62" i="3" s="1"/>
  <c r="T62" i="3" a="1"/>
  <c r="T62" i="3" s="1"/>
  <c r="T67" i="3" a="1"/>
  <c r="T67" i="3" s="1"/>
  <c r="U66" i="3" a="1"/>
  <c r="U66" i="3" s="1"/>
  <c r="T66" i="3" a="1"/>
  <c r="T66" i="3" s="1"/>
  <c r="U50" i="3" a="1"/>
  <c r="U50" i="3" s="1"/>
  <c r="T50" i="3" a="1"/>
  <c r="T50" i="3" s="1"/>
  <c r="T51" i="3" a="1"/>
  <c r="T51" i="3" s="1"/>
  <c r="T34" i="3" a="1"/>
  <c r="T35" i="3" a="1"/>
  <c r="T27" i="3" a="1"/>
  <c r="U18" i="3" a="1"/>
  <c r="T20" i="3" a="1"/>
  <c r="T23" i="3" a="1"/>
  <c r="T39" i="3" a="1"/>
  <c r="U32" i="3" l="1" a="1"/>
  <c r="U32" i="3" s="1"/>
  <c r="W32" i="3" s="1" a="1"/>
  <c r="U14" i="3" a="1"/>
  <c r="T15" i="3" a="1"/>
  <c r="T15" i="3" s="1"/>
  <c r="T16" i="3" a="1"/>
  <c r="T16" i="3" s="1"/>
  <c r="T25" i="3" a="1"/>
  <c r="T29" i="3" a="1"/>
  <c r="T29" i="3" s="1"/>
  <c r="T33" i="3" a="1"/>
  <c r="T33" i="3" s="1"/>
  <c r="U24" i="3" a="1"/>
  <c r="U24" i="3" s="1"/>
  <c r="W24" i="3" s="1" a="1"/>
  <c r="T17" i="3" a="1"/>
  <c r="T17" i="3" s="1"/>
  <c r="T31" i="3" a="1"/>
  <c r="T31" i="3" s="1"/>
  <c r="U30" i="3" a="1"/>
  <c r="U30" i="3" s="1"/>
  <c r="W30" i="3" s="1" a="1"/>
  <c r="T28" i="3" a="1"/>
  <c r="T28" i="3" s="1"/>
  <c r="T36" i="3" a="1"/>
  <c r="T36" i="3" s="1"/>
  <c r="T32" i="3" a="1"/>
  <c r="T32" i="3" s="1"/>
  <c r="U71" i="3"/>
  <c r="U69" i="3"/>
  <c r="U67" i="3"/>
  <c r="U65" i="3"/>
  <c r="U63" i="3"/>
  <c r="U61" i="3"/>
  <c r="U59" i="3"/>
  <c r="U57" i="3"/>
  <c r="U55" i="3"/>
  <c r="U53" i="3"/>
  <c r="U51" i="3"/>
  <c r="U49" i="3"/>
  <c r="U47" i="3"/>
  <c r="U45" i="3"/>
  <c r="U43" i="3"/>
  <c r="U41" i="3"/>
  <c r="S39" i="3"/>
  <c r="S31" i="3"/>
  <c r="S29" i="3"/>
  <c r="S27" i="3"/>
  <c r="S19" i="3"/>
  <c r="S15" i="3"/>
  <c r="S13" i="3"/>
  <c r="S25" i="3"/>
  <c r="T39" i="3"/>
  <c r="T23" i="3"/>
  <c r="T20" i="3"/>
  <c r="U18" i="3"/>
  <c r="V19" i="3" s="1" a="1"/>
  <c r="T27" i="3"/>
  <c r="U16" i="3"/>
  <c r="V17" i="3" s="1" a="1"/>
  <c r="T25" i="3"/>
  <c r="U28" i="3"/>
  <c r="V28" i="3" s="1" a="1"/>
  <c r="V28" i="3" s="1"/>
  <c r="W29" i="3" s="1"/>
  <c r="T35" i="3"/>
  <c r="T14" i="3"/>
  <c r="T34" i="3"/>
  <c r="T24" i="3"/>
  <c r="U14" i="3"/>
  <c r="V14" i="3" s="1" a="1"/>
  <c r="U34" i="3"/>
  <c r="V34" i="3" s="1" a="1"/>
  <c r="V34" i="3" s="1"/>
  <c r="W35" i="3" s="1"/>
  <c r="T26" i="3" a="1"/>
  <c r="T26" i="3" s="1"/>
  <c r="T38" i="3" a="1"/>
  <c r="T38" i="3" s="1"/>
  <c r="S23" i="3"/>
  <c r="S35" i="3"/>
  <c r="S21" i="3"/>
  <c r="S17" i="3"/>
  <c r="V67" i="3" a="1"/>
  <c r="V67" i="3" s="1"/>
  <c r="W66" i="3" a="1"/>
  <c r="W66" i="3" s="1"/>
  <c r="V66" i="3" a="1"/>
  <c r="V66" i="3" s="1"/>
  <c r="V68" i="3" a="1"/>
  <c r="V68" i="3" s="1"/>
  <c r="W68" i="3" a="1"/>
  <c r="W68" i="3" s="1"/>
  <c r="V69" i="3" a="1"/>
  <c r="V69" i="3" s="1"/>
  <c r="V53" i="3" a="1"/>
  <c r="V53" i="3" s="1"/>
  <c r="W52" i="3" a="1"/>
  <c r="W52" i="3" s="1"/>
  <c r="V52" i="3" a="1"/>
  <c r="V52" i="3" s="1"/>
  <c r="W60" i="3" a="1"/>
  <c r="W60" i="3" s="1"/>
  <c r="V61" i="3" a="1"/>
  <c r="V61" i="3" s="1"/>
  <c r="V60" i="3" a="1"/>
  <c r="V60" i="3" s="1"/>
  <c r="V55" i="3" a="1"/>
  <c r="V55" i="3" s="1"/>
  <c r="W54" i="3" a="1"/>
  <c r="W54" i="3" s="1"/>
  <c r="V54" i="3" a="1"/>
  <c r="V54" i="3" s="1"/>
  <c r="V48" i="3" a="1"/>
  <c r="V48" i="3" s="1"/>
  <c r="W48" i="3" a="1"/>
  <c r="W48" i="3" s="1"/>
  <c r="V49" i="3" a="1"/>
  <c r="V49" i="3" s="1"/>
  <c r="W40" i="3" a="1"/>
  <c r="W40" i="3" s="1"/>
  <c r="V40" i="3" a="1"/>
  <c r="V40" i="3" s="1"/>
  <c r="V41" i="3" a="1"/>
  <c r="V41" i="3" s="1"/>
  <c r="V59" i="3" a="1"/>
  <c r="V59" i="3" s="1"/>
  <c r="W58" i="3" a="1"/>
  <c r="W58" i="3" s="1"/>
  <c r="V58" i="3" a="1"/>
  <c r="V58" i="3" s="1"/>
  <c r="V63" i="3" a="1"/>
  <c r="V63" i="3" s="1"/>
  <c r="W62" i="3" a="1"/>
  <c r="W62" i="3" s="1"/>
  <c r="V62" i="3" a="1"/>
  <c r="V62" i="3" s="1"/>
  <c r="V43" i="3" a="1"/>
  <c r="V43" i="3" s="1"/>
  <c r="V42" i="3" a="1"/>
  <c r="V42" i="3" s="1"/>
  <c r="W42" i="3" a="1"/>
  <c r="W42" i="3" s="1"/>
  <c r="W70" i="3" a="1"/>
  <c r="W70" i="3" s="1"/>
  <c r="V71" i="3" a="1"/>
  <c r="V71" i="3" s="1"/>
  <c r="V70" i="3" a="1"/>
  <c r="V70" i="3" s="1"/>
  <c r="W46" i="3" a="1"/>
  <c r="W46" i="3" s="1"/>
  <c r="V47" i="3" a="1"/>
  <c r="V47" i="3" s="1"/>
  <c r="V46" i="3" a="1"/>
  <c r="V46" i="3" s="1"/>
  <c r="W50" i="3" a="1"/>
  <c r="W50" i="3" s="1"/>
  <c r="V50" i="3" a="1"/>
  <c r="V50" i="3" s="1"/>
  <c r="V51" i="3" a="1"/>
  <c r="V51" i="3" s="1"/>
  <c r="W44" i="3" a="1"/>
  <c r="W44" i="3" s="1"/>
  <c r="V44" i="3" a="1"/>
  <c r="V44" i="3" s="1"/>
  <c r="V45" i="3" a="1"/>
  <c r="V45" i="3" s="1"/>
  <c r="V56" i="3" a="1"/>
  <c r="V56" i="3" s="1"/>
  <c r="V57" i="3" a="1"/>
  <c r="V57" i="3" s="1"/>
  <c r="W56" i="3" a="1"/>
  <c r="W56" i="3" s="1"/>
  <c r="W64" i="3" a="1"/>
  <c r="W64" i="3" s="1"/>
  <c r="V65" i="3" a="1"/>
  <c r="V65" i="3" s="1"/>
  <c r="V64" i="3" a="1"/>
  <c r="V64" i="3" s="1"/>
  <c r="U26" i="3" a="1"/>
  <c r="U22" i="3" a="1"/>
  <c r="U36" i="3" a="1"/>
  <c r="T19" i="3" a="1"/>
  <c r="U38" i="3" a="1"/>
  <c r="T37" i="3" a="1"/>
  <c r="T21" i="3" a="1"/>
  <c r="T22" i="3" a="1"/>
  <c r="U20" i="3" a="1"/>
  <c r="T13" i="3" a="1"/>
  <c r="T12" i="3" a="1"/>
  <c r="U12" i="3" a="1"/>
  <c r="W28" i="3" l="1" a="1"/>
  <c r="V16" i="3" a="1"/>
  <c r="W16" i="3" a="1"/>
  <c r="W16" i="3" s="1"/>
  <c r="X17" i="3" s="1" a="1"/>
  <c r="U39" i="3"/>
  <c r="W34" i="3" a="1"/>
  <c r="V35" i="3" a="1"/>
  <c r="V35" i="3" s="1"/>
  <c r="V30" i="3" a="1"/>
  <c r="V30" i="3" s="1"/>
  <c r="U27" i="3"/>
  <c r="V18" i="3" a="1"/>
  <c r="V18" i="3" s="1"/>
  <c r="W18" i="3" a="1"/>
  <c r="W18" i="3" s="1"/>
  <c r="X18" i="3" s="1" a="1"/>
  <c r="X18" i="3" s="1"/>
  <c r="Y19" i="3" s="1"/>
  <c r="W14" i="3" a="1"/>
  <c r="W14" i="3" s="1"/>
  <c r="X14" i="3" s="1" a="1"/>
  <c r="V29" i="3" a="1"/>
  <c r="V29" i="3" s="1"/>
  <c r="V15" i="3" a="1"/>
  <c r="V15" i="3" s="1"/>
  <c r="U33" i="3"/>
  <c r="U37" i="3"/>
  <c r="W71" i="3"/>
  <c r="W69" i="3"/>
  <c r="W67" i="3"/>
  <c r="W65" i="3"/>
  <c r="W63" i="3"/>
  <c r="W61" i="3"/>
  <c r="W59" i="3"/>
  <c r="W57" i="3"/>
  <c r="W55" i="3"/>
  <c r="W53" i="3"/>
  <c r="W51" i="3"/>
  <c r="W49" i="3"/>
  <c r="W47" i="3"/>
  <c r="W45" i="3"/>
  <c r="W43" i="3"/>
  <c r="W41" i="3"/>
  <c r="U35" i="3"/>
  <c r="U29" i="3"/>
  <c r="U25" i="3"/>
  <c r="U17" i="3"/>
  <c r="U15" i="3"/>
  <c r="W32" i="3"/>
  <c r="Y32" i="3" s="1" a="1"/>
  <c r="W24" i="3"/>
  <c r="X24" i="3" s="1" a="1"/>
  <c r="X24" i="3" s="1"/>
  <c r="Y25" i="3" s="1"/>
  <c r="W28" i="3"/>
  <c r="W34" i="3"/>
  <c r="W30" i="3"/>
  <c r="X30" i="3" s="1" a="1"/>
  <c r="X30" i="3" s="1"/>
  <c r="Y31" i="3" s="1"/>
  <c r="U20" i="3"/>
  <c r="T22" i="3"/>
  <c r="V17" i="3"/>
  <c r="T21" i="3"/>
  <c r="U21" i="3" s="1"/>
  <c r="V19" i="3"/>
  <c r="T37" i="3"/>
  <c r="V16" i="3"/>
  <c r="V14" i="3"/>
  <c r="U38" i="3"/>
  <c r="T19" i="3"/>
  <c r="U36" i="3"/>
  <c r="U22" i="3"/>
  <c r="U26" i="3"/>
  <c r="V24" i="3" a="1"/>
  <c r="V24" i="3" s="1"/>
  <c r="V32" i="3" a="1"/>
  <c r="V32" i="3" s="1"/>
  <c r="U12" i="3"/>
  <c r="T12" i="3"/>
  <c r="T13" i="3"/>
  <c r="Y60" i="3" a="1"/>
  <c r="Y60" i="3" s="1"/>
  <c r="X61" i="3" a="1"/>
  <c r="X61" i="3" s="1"/>
  <c r="X60" i="3" a="1"/>
  <c r="X60" i="3" s="1"/>
  <c r="Y62" i="3" a="1"/>
  <c r="Y62" i="3" s="1"/>
  <c r="X63" i="3" a="1"/>
  <c r="X63" i="3" s="1"/>
  <c r="X62" i="3" a="1"/>
  <c r="X62" i="3" s="1"/>
  <c r="X40" i="3" a="1"/>
  <c r="X40" i="3" s="1"/>
  <c r="X41" i="3" a="1"/>
  <c r="X41" i="3" s="1"/>
  <c r="Y40" i="3" a="1"/>
  <c r="Y40" i="3" s="1"/>
  <c r="X55" i="3" a="1"/>
  <c r="X55" i="3" s="1"/>
  <c r="Y54" i="3" a="1"/>
  <c r="Y54" i="3" s="1"/>
  <c r="X54" i="3" a="1"/>
  <c r="X54" i="3" s="1"/>
  <c r="Y64" i="3" a="1"/>
  <c r="Y64" i="3" s="1"/>
  <c r="X65" i="3" a="1"/>
  <c r="X65" i="3" s="1"/>
  <c r="X64" i="3" a="1"/>
  <c r="X64" i="3" s="1"/>
  <c r="Y48" i="3" a="1"/>
  <c r="Y48" i="3" s="1"/>
  <c r="X49" i="3" a="1"/>
  <c r="X49" i="3" s="1"/>
  <c r="X48" i="3" a="1"/>
  <c r="X48" i="3" s="1"/>
  <c r="Y70" i="3" a="1"/>
  <c r="Y70" i="3" s="1"/>
  <c r="X71" i="3" a="1"/>
  <c r="X71" i="3" s="1"/>
  <c r="X70" i="3" a="1"/>
  <c r="X70" i="3" s="1"/>
  <c r="Y56" i="3" a="1"/>
  <c r="Y56" i="3" s="1"/>
  <c r="X57" i="3" a="1"/>
  <c r="X57" i="3" s="1"/>
  <c r="X56" i="3" a="1"/>
  <c r="X56" i="3" s="1"/>
  <c r="Y44" i="3" a="1"/>
  <c r="Y44" i="3" s="1"/>
  <c r="X45" i="3" a="1"/>
  <c r="X45" i="3" s="1"/>
  <c r="X44" i="3" a="1"/>
  <c r="X44" i="3" s="1"/>
  <c r="X47" i="3" a="1"/>
  <c r="X47" i="3" s="1"/>
  <c r="Y46" i="3" a="1"/>
  <c r="Y46" i="3" s="1"/>
  <c r="X46" i="3" a="1"/>
  <c r="X46" i="3" s="1"/>
  <c r="Y68" i="3" a="1"/>
  <c r="Y68" i="3" s="1"/>
  <c r="X69" i="3" a="1"/>
  <c r="X69" i="3" s="1"/>
  <c r="X68" i="3" a="1"/>
  <c r="X68" i="3" s="1"/>
  <c r="X51" i="3" a="1"/>
  <c r="X51" i="3" s="1"/>
  <c r="Y50" i="3" a="1"/>
  <c r="Y50" i="3" s="1"/>
  <c r="X50" i="3" a="1"/>
  <c r="X50" i="3" s="1"/>
  <c r="Y42" i="3" a="1"/>
  <c r="Y42" i="3" s="1"/>
  <c r="X43" i="3" a="1"/>
  <c r="X43" i="3" s="1"/>
  <c r="X42" i="3" a="1"/>
  <c r="X42" i="3" s="1"/>
  <c r="X58" i="3" a="1"/>
  <c r="X58" i="3" s="1"/>
  <c r="X59" i="3" a="1"/>
  <c r="X59" i="3" s="1"/>
  <c r="Y58" i="3" a="1"/>
  <c r="Y58" i="3" s="1"/>
  <c r="Y52" i="3" a="1"/>
  <c r="Y52" i="3" s="1"/>
  <c r="X53" i="3" a="1"/>
  <c r="X53" i="3" s="1"/>
  <c r="X52" i="3" a="1"/>
  <c r="X52" i="3" s="1"/>
  <c r="Y66" i="3" a="1"/>
  <c r="Y66" i="3" s="1"/>
  <c r="X66" i="3" a="1"/>
  <c r="X66" i="3" s="1"/>
  <c r="X67" i="3" a="1"/>
  <c r="X67" i="3" s="1"/>
  <c r="V33" i="3" a="1"/>
  <c r="V25" i="3" a="1"/>
  <c r="V31" i="3" a="1"/>
  <c r="X31" i="3" a="1"/>
  <c r="X34" i="3" l="1" a="1"/>
  <c r="X34" i="3" s="1"/>
  <c r="Y30" i="3" a="1"/>
  <c r="Y30" i="3" s="1"/>
  <c r="Y18" i="3" a="1"/>
  <c r="Y18" i="3" s="1"/>
  <c r="Z19" i="3" s="1" a="1"/>
  <c r="W31" i="3"/>
  <c r="X29" i="3" a="1"/>
  <c r="X29" i="3" s="1"/>
  <c r="X33" i="3" a="1"/>
  <c r="X33" i="3" s="1"/>
  <c r="X32" i="3" a="1"/>
  <c r="X32" i="3" s="1"/>
  <c r="W25" i="3"/>
  <c r="Y24" i="3" a="1"/>
  <c r="Y24" i="3" s="1"/>
  <c r="Z25" i="3" s="1" a="1"/>
  <c r="X25" i="3" a="1"/>
  <c r="Y28" i="3" a="1"/>
  <c r="Y28" i="3" s="1"/>
  <c r="Y16" i="3" a="1"/>
  <c r="W19" i="3"/>
  <c r="X16" i="3" a="1"/>
  <c r="X16" i="3" s="1"/>
  <c r="X19" i="3" a="1"/>
  <c r="X19" i="3" s="1"/>
  <c r="Y14" i="3" a="1"/>
  <c r="Y14" i="3" s="1"/>
  <c r="X35" i="3" a="1"/>
  <c r="X35" i="3" s="1"/>
  <c r="X15" i="3" a="1"/>
  <c r="X15" i="3" s="1"/>
  <c r="Y34" i="3" a="1"/>
  <c r="Y34" i="3" s="1"/>
  <c r="Z34" i="3" s="1" a="1"/>
  <c r="Z34" i="3" s="1"/>
  <c r="AA35" i="3" s="1"/>
  <c r="W3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Y43" i="3"/>
  <c r="Y41" i="3"/>
  <c r="U23" i="3"/>
  <c r="W17" i="3"/>
  <c r="W15" i="3"/>
  <c r="U13" i="3"/>
  <c r="X31" i="3"/>
  <c r="X25" i="3"/>
  <c r="Y32" i="3"/>
  <c r="Z33" i="3" s="1" a="1"/>
  <c r="Y16" i="3"/>
  <c r="AA16" i="3" s="1" a="1"/>
  <c r="V31" i="3"/>
  <c r="X17" i="3"/>
  <c r="V25" i="3"/>
  <c r="V33" i="3"/>
  <c r="X14" i="3"/>
  <c r="V36" i="3" a="1"/>
  <c r="V36" i="3" s="1"/>
  <c r="V38" i="3" a="1"/>
  <c r="V38" i="3" s="1"/>
  <c r="X28" i="3" a="1"/>
  <c r="X28" i="3" s="1"/>
  <c r="V26" i="3" a="1"/>
  <c r="V26" i="3" s="1"/>
  <c r="Z56" i="3" a="1"/>
  <c r="Z56" i="3" s="1"/>
  <c r="Z57" i="3" a="1"/>
  <c r="Z57" i="3" s="1"/>
  <c r="AA56" i="3" a="1"/>
  <c r="AA56" i="3" s="1"/>
  <c r="Z67" i="3" a="1"/>
  <c r="Z67" i="3" s="1"/>
  <c r="AA66" i="3" a="1"/>
  <c r="AA66" i="3" s="1"/>
  <c r="Z66" i="3" a="1"/>
  <c r="Z66" i="3" s="1"/>
  <c r="Z68" i="3" a="1"/>
  <c r="Z68" i="3" s="1"/>
  <c r="AA68" i="3" a="1"/>
  <c r="AA68" i="3" s="1"/>
  <c r="Z69" i="3" a="1"/>
  <c r="Z69" i="3" s="1"/>
  <c r="Z48" i="3" a="1"/>
  <c r="Z48" i="3" s="1"/>
  <c r="Z49" i="3" a="1"/>
  <c r="Z49" i="3" s="1"/>
  <c r="AA48" i="3" a="1"/>
  <c r="AA48" i="3" s="1"/>
  <c r="AA54" i="3" a="1"/>
  <c r="AA54" i="3" s="1"/>
  <c r="Z54" i="3" a="1"/>
  <c r="Z54" i="3" s="1"/>
  <c r="Z55" i="3" a="1"/>
  <c r="Z55" i="3" s="1"/>
  <c r="AA62" i="3" a="1"/>
  <c r="AA62" i="3" s="1"/>
  <c r="Z62" i="3" a="1"/>
  <c r="Z62" i="3" s="1"/>
  <c r="Z63" i="3" a="1"/>
  <c r="Z63" i="3" s="1"/>
  <c r="AA58" i="3" a="1"/>
  <c r="AA58" i="3" s="1"/>
  <c r="Z59" i="3" a="1"/>
  <c r="Z59" i="3" s="1"/>
  <c r="Z58" i="3" a="1"/>
  <c r="Z58" i="3" s="1"/>
  <c r="Z42" i="3" a="1"/>
  <c r="Z42" i="3" s="1"/>
  <c r="Z43" i="3" a="1"/>
  <c r="Z43" i="3" s="1"/>
  <c r="AA42" i="3" a="1"/>
  <c r="AA42" i="3" s="1"/>
  <c r="AA46" i="3" a="1"/>
  <c r="AA46" i="3" s="1"/>
  <c r="Z46" i="3" a="1"/>
  <c r="Z46" i="3" s="1"/>
  <c r="Z47" i="3" a="1"/>
  <c r="Z47" i="3" s="1"/>
  <c r="AA70" i="3" a="1"/>
  <c r="AA70" i="3" s="1"/>
  <c r="Z70" i="3" a="1"/>
  <c r="Z70" i="3" s="1"/>
  <c r="Z71" i="3" a="1"/>
  <c r="Z71" i="3" s="1"/>
  <c r="AA40" i="3" a="1"/>
  <c r="AA40" i="3" s="1"/>
  <c r="Z40" i="3" a="1"/>
  <c r="Z40" i="3" s="1"/>
  <c r="Z41" i="3" a="1"/>
  <c r="Z41" i="3" s="1"/>
  <c r="AA60" i="3" a="1"/>
  <c r="AA60" i="3" s="1"/>
  <c r="Z60" i="3" a="1"/>
  <c r="Z60" i="3" s="1"/>
  <c r="Z61" i="3" a="1"/>
  <c r="Z61" i="3" s="1"/>
  <c r="AA50" i="3" a="1"/>
  <c r="AA50" i="3" s="1"/>
  <c r="Z50" i="3" a="1"/>
  <c r="Z50" i="3" s="1"/>
  <c r="Z51" i="3" a="1"/>
  <c r="Z51" i="3" s="1"/>
  <c r="AA44" i="3" a="1"/>
  <c r="AA44" i="3" s="1"/>
  <c r="Z44" i="3" a="1"/>
  <c r="Z44" i="3" s="1"/>
  <c r="Z45" i="3" a="1"/>
  <c r="Z45" i="3" s="1"/>
  <c r="Z53" i="3" a="1"/>
  <c r="Z53" i="3" s="1"/>
  <c r="AA52" i="3" a="1"/>
  <c r="AA52" i="3" s="1"/>
  <c r="Z52" i="3" a="1"/>
  <c r="Z52" i="3" s="1"/>
  <c r="AA64" i="3" a="1"/>
  <c r="AA64" i="3" s="1"/>
  <c r="Z64" i="3" a="1"/>
  <c r="Z64" i="3" s="1"/>
  <c r="Z65" i="3" a="1"/>
  <c r="Z65" i="3" s="1"/>
  <c r="V12" i="3" a="1"/>
  <c r="V12" i="3" s="1"/>
  <c r="W36" i="3" a="1"/>
  <c r="V21" i="3" a="1"/>
  <c r="V37" i="3" a="1"/>
  <c r="W26" i="3" a="1"/>
  <c r="V39" i="3" a="1"/>
  <c r="V27" i="3" a="1"/>
  <c r="W22" i="3" a="1"/>
  <c r="W38" i="3" a="1"/>
  <c r="V23" i="3" a="1"/>
  <c r="V20" i="3" a="1"/>
  <c r="V22" i="3" a="1"/>
  <c r="W20" i="3" a="1"/>
  <c r="V13" i="3" a="1"/>
  <c r="W12" i="3" a="1"/>
  <c r="W39" i="3" l="1"/>
  <c r="Y35" i="3"/>
  <c r="Y33" i="3"/>
  <c r="Z30" i="3" a="1"/>
  <c r="Z30" i="3" s="1"/>
  <c r="Y29" i="3"/>
  <c r="W27" i="3"/>
  <c r="Z28" i="3" a="1"/>
  <c r="Z28" i="3" s="1"/>
  <c r="AA28" i="3" a="1"/>
  <c r="AA28" i="3" s="1"/>
  <c r="AB28" i="3" s="1" a="1"/>
  <c r="AB28" i="3" s="1"/>
  <c r="AC29" i="3" s="1"/>
  <c r="Z24" i="3" a="1"/>
  <c r="Z24" i="3" s="1"/>
  <c r="Z14" i="3" a="1"/>
  <c r="Z14" i="3" s="1"/>
  <c r="AA15" i="3" s="1"/>
  <c r="Z15" i="3" a="1"/>
  <c r="Z15" i="3" s="1"/>
  <c r="AA24" i="3" a="1"/>
  <c r="AA24" i="3" s="1"/>
  <c r="AB24" i="3" s="1" a="1"/>
  <c r="AB24" i="3" s="1"/>
  <c r="AC25" i="3" s="1"/>
  <c r="Z29" i="3" a="1"/>
  <c r="Z29" i="3" s="1"/>
  <c r="Z35" i="3" a="1"/>
  <c r="Z35" i="3" s="1"/>
  <c r="AA14" i="3" a="1"/>
  <c r="AA14" i="3" s="1"/>
  <c r="Z18" i="3" a="1"/>
  <c r="Z18" i="3" s="1"/>
  <c r="AA32" i="3" a="1"/>
  <c r="AA32" i="3" s="1"/>
  <c r="AB32" i="3" s="1" a="1"/>
  <c r="AB32" i="3" s="1"/>
  <c r="AC33" i="3" s="1"/>
  <c r="AA34" i="3" a="1"/>
  <c r="AA34" i="3" s="1"/>
  <c r="W13" i="3"/>
  <c r="AA18" i="3" a="1"/>
  <c r="AA18" i="3" s="1"/>
  <c r="Z31" i="3" a="1"/>
  <c r="Z31" i="3" s="1"/>
  <c r="AA30" i="3" a="1"/>
  <c r="AA30" i="3" s="1"/>
  <c r="AB30" i="3" s="1" a="1"/>
  <c r="AB30" i="3" s="1"/>
  <c r="AC31" i="3" s="1"/>
  <c r="W37" i="3"/>
  <c r="Z32" i="3" a="1"/>
  <c r="Z32" i="3" s="1"/>
  <c r="AA71" i="3"/>
  <c r="AA69" i="3"/>
  <c r="AA67" i="3"/>
  <c r="AA65" i="3"/>
  <c r="AA63" i="3"/>
  <c r="AA61" i="3"/>
  <c r="AA59" i="3"/>
  <c r="AA57" i="3"/>
  <c r="AA55" i="3"/>
  <c r="AA53" i="3"/>
  <c r="AA51" i="3"/>
  <c r="AA49" i="3"/>
  <c r="AA47" i="3"/>
  <c r="AA45" i="3"/>
  <c r="AA43" i="3"/>
  <c r="AA41" i="3"/>
  <c r="Y15" i="3"/>
  <c r="AA16" i="3"/>
  <c r="AB16" i="3" s="1" a="1"/>
  <c r="W20" i="3"/>
  <c r="V22" i="3"/>
  <c r="Z33" i="3"/>
  <c r="Z25" i="3"/>
  <c r="V20" i="3"/>
  <c r="V23" i="3"/>
  <c r="W38" i="3"/>
  <c r="W22" i="3"/>
  <c r="V27" i="3"/>
  <c r="V39" i="3"/>
  <c r="Z19" i="3"/>
  <c r="W26" i="3"/>
  <c r="V37" i="3"/>
  <c r="V21" i="3"/>
  <c r="W36" i="3"/>
  <c r="Y17" i="3"/>
  <c r="W12" i="3"/>
  <c r="V13" i="3"/>
  <c r="AC52" i="3" a="1"/>
  <c r="AC52" i="3" s="1"/>
  <c r="AB52" i="3" a="1"/>
  <c r="AB52" i="3" s="1"/>
  <c r="AB53" i="3" a="1"/>
  <c r="AB53" i="3" s="1"/>
  <c r="AB51" i="3" a="1"/>
  <c r="AB51" i="3" s="1"/>
  <c r="AB50" i="3" a="1"/>
  <c r="AB50" i="3" s="1"/>
  <c r="AC50" i="3" a="1"/>
  <c r="AC50" i="3" s="1"/>
  <c r="AC48" i="3" a="1"/>
  <c r="AC48" i="3" s="1"/>
  <c r="AB48" i="3" a="1"/>
  <c r="AB48" i="3" s="1"/>
  <c r="AB49" i="3" a="1"/>
  <c r="AB49" i="3" s="1"/>
  <c r="AB65" i="3" a="1"/>
  <c r="AB65" i="3" s="1"/>
  <c r="AC64" i="3" a="1"/>
  <c r="AC64" i="3" s="1"/>
  <c r="AB64" i="3" a="1"/>
  <c r="AB64" i="3" s="1"/>
  <c r="AB58" i="3" a="1"/>
  <c r="AB58" i="3" s="1"/>
  <c r="AB59" i="3" a="1"/>
  <c r="AB59" i="3" s="1"/>
  <c r="AC58" i="3" a="1"/>
  <c r="AC58" i="3" s="1"/>
  <c r="AC60" i="3" a="1"/>
  <c r="AC60" i="3" s="1"/>
  <c r="AB60" i="3" a="1"/>
  <c r="AB60" i="3" s="1"/>
  <c r="AB61" i="3" a="1"/>
  <c r="AB61" i="3" s="1"/>
  <c r="AC62" i="3" a="1"/>
  <c r="AC62" i="3" s="1"/>
  <c r="AB63" i="3" a="1"/>
  <c r="AB63" i="3" s="1"/>
  <c r="AB62" i="3" a="1"/>
  <c r="AB62" i="3" s="1"/>
  <c r="AC68" i="3" a="1"/>
  <c r="AC68" i="3" s="1"/>
  <c r="AB68" i="3" a="1"/>
  <c r="AB68" i="3" s="1"/>
  <c r="AB69" i="3" a="1"/>
  <c r="AB69" i="3" s="1"/>
  <c r="AB45" i="3" a="1"/>
  <c r="AB45" i="3" s="1"/>
  <c r="AC44" i="3" a="1"/>
  <c r="AC44" i="3" s="1"/>
  <c r="AB44" i="3" a="1"/>
  <c r="AB44" i="3" s="1"/>
  <c r="AB47" i="3" a="1"/>
  <c r="AB47" i="3" s="1"/>
  <c r="AC46" i="3" a="1"/>
  <c r="AC46" i="3" s="1"/>
  <c r="AB46" i="3" a="1"/>
  <c r="AB46" i="3" s="1"/>
  <c r="AB71" i="3" a="1"/>
  <c r="AB71" i="3" s="1"/>
  <c r="AC70" i="3" a="1"/>
  <c r="AC70" i="3" s="1"/>
  <c r="AB70" i="3" a="1"/>
  <c r="AB70" i="3" s="1"/>
  <c r="AB40" i="3" a="1"/>
  <c r="AB40" i="3" s="1"/>
  <c r="AB41" i="3" a="1"/>
  <c r="AB41" i="3" s="1"/>
  <c r="AC40" i="3" a="1"/>
  <c r="AC40" i="3" s="1"/>
  <c r="AC42" i="3" a="1"/>
  <c r="AC42" i="3" s="1"/>
  <c r="AB42" i="3" a="1"/>
  <c r="AB42" i="3" s="1"/>
  <c r="AB43" i="3" a="1"/>
  <c r="AB43" i="3" s="1"/>
  <c r="AB55" i="3" a="1"/>
  <c r="AB55" i="3" s="1"/>
  <c r="AC54" i="3" a="1"/>
  <c r="AC54" i="3" s="1"/>
  <c r="AB54" i="3" a="1"/>
  <c r="AB54" i="3" s="1"/>
  <c r="AC66" i="3" a="1"/>
  <c r="AC66" i="3" s="1"/>
  <c r="AB67" i="3" a="1"/>
  <c r="AB67" i="3" s="1"/>
  <c r="AB66" i="3" a="1"/>
  <c r="AB66" i="3" s="1"/>
  <c r="AC56" i="3" a="1"/>
  <c r="AC56" i="3" s="1"/>
  <c r="AB56" i="3" a="1"/>
  <c r="AB56" i="3" s="1"/>
  <c r="AB57" i="3" a="1"/>
  <c r="AB57" i="3" s="1"/>
  <c r="Z16" i="3" a="1"/>
  <c r="Z17" i="3" a="1"/>
  <c r="AB34" i="3" l="1" a="1"/>
  <c r="AB34" i="3" s="1"/>
  <c r="AA31" i="3"/>
  <c r="AA29" i="3"/>
  <c r="AA25" i="3"/>
  <c r="AC34" i="3" a="1"/>
  <c r="AC34" i="3" s="1"/>
  <c r="AD34" i="3" s="1" a="1"/>
  <c r="AD34" i="3" s="1"/>
  <c r="AE35" i="3" s="1"/>
  <c r="AB35" i="3" a="1"/>
  <c r="AB35" i="3" s="1"/>
  <c r="AB17" i="3" a="1"/>
  <c r="AB17" i="3" s="1"/>
  <c r="AC16" i="3" a="1"/>
  <c r="AC16" i="3" s="1"/>
  <c r="AD17" i="3" s="1" a="1"/>
  <c r="AC32" i="3" a="1"/>
  <c r="AC32" i="3" s="1"/>
  <c r="AB33" i="3" a="1"/>
  <c r="AB33" i="3" s="1"/>
  <c r="AA19" i="3"/>
  <c r="AB18" i="3" a="1"/>
  <c r="AB18" i="3" s="1"/>
  <c r="AB19" i="3" a="1"/>
  <c r="AB19" i="3" s="1"/>
  <c r="AB14" i="3" a="1"/>
  <c r="AB14" i="3" s="1"/>
  <c r="AC28" i="3" a="1"/>
  <c r="AC28" i="3" s="1"/>
  <c r="AC24" i="3" a="1"/>
  <c r="AC24" i="3" s="1"/>
  <c r="AB15" i="3" a="1"/>
  <c r="AB15" i="3" s="1"/>
  <c r="AC30" i="3" a="1"/>
  <c r="AC30" i="3" s="1"/>
  <c r="AB31" i="3" a="1"/>
  <c r="AB31" i="3" s="1"/>
  <c r="AB29" i="3" a="1"/>
  <c r="AB29" i="3" s="1"/>
  <c r="AB25" i="3" a="1"/>
  <c r="AB25" i="3" s="1"/>
  <c r="AC14" i="3" a="1"/>
  <c r="AC14" i="3" s="1"/>
  <c r="AC18" i="3" a="1"/>
  <c r="AC18" i="3" s="1"/>
  <c r="AA33" i="3"/>
  <c r="AC71" i="3"/>
  <c r="AC69" i="3"/>
  <c r="AC67" i="3"/>
  <c r="AC65" i="3"/>
  <c r="AC63" i="3"/>
  <c r="AC61" i="3"/>
  <c r="AC59" i="3"/>
  <c r="AC57" i="3"/>
  <c r="AC55" i="3"/>
  <c r="AC53" i="3"/>
  <c r="AC51" i="3"/>
  <c r="AC49" i="3"/>
  <c r="AC47" i="3"/>
  <c r="AC45" i="3"/>
  <c r="AC43" i="3"/>
  <c r="AC41" i="3"/>
  <c r="W23" i="3"/>
  <c r="W21" i="3"/>
  <c r="Z17" i="3"/>
  <c r="Z16" i="3"/>
  <c r="AB16" i="3"/>
  <c r="X26" i="3" a="1"/>
  <c r="X26" i="3" s="1"/>
  <c r="X36" i="3" a="1"/>
  <c r="X36" i="3" s="1"/>
  <c r="X22" i="3" a="1"/>
  <c r="X22" i="3" s="1"/>
  <c r="X38" i="3" a="1"/>
  <c r="X38" i="3" s="1"/>
  <c r="AE70" i="3" a="1"/>
  <c r="AE70" i="3" s="1"/>
  <c r="AD70" i="3" a="1"/>
  <c r="AD70" i="3" s="1"/>
  <c r="AD71" i="3" a="1"/>
  <c r="AD71" i="3" s="1"/>
  <c r="AE50" i="3" a="1"/>
  <c r="AE50" i="3" s="1"/>
  <c r="AD50" i="3" a="1"/>
  <c r="AD50" i="3" s="1"/>
  <c r="AD51" i="3" a="1"/>
  <c r="AD51" i="3" s="1"/>
  <c r="AE44" i="3" a="1"/>
  <c r="AE44" i="3" s="1"/>
  <c r="AD44" i="3" a="1"/>
  <c r="AD44" i="3" s="1"/>
  <c r="AD45" i="3" a="1"/>
  <c r="AD45" i="3" s="1"/>
  <c r="AD68" i="3" a="1"/>
  <c r="AD68" i="3" s="1"/>
  <c r="AE68" i="3" a="1"/>
  <c r="AE68" i="3" s="1"/>
  <c r="AD69" i="3" a="1"/>
  <c r="AD69" i="3" s="1"/>
  <c r="AE58" i="3" a="1"/>
  <c r="AE58" i="3" s="1"/>
  <c r="AD59" i="3" a="1"/>
  <c r="AD59" i="3" s="1"/>
  <c r="AD58" i="3" a="1"/>
  <c r="AD58" i="3" s="1"/>
  <c r="AE60" i="3" a="1"/>
  <c r="AE60" i="3" s="1"/>
  <c r="AD61" i="3" a="1"/>
  <c r="AD61" i="3" s="1"/>
  <c r="AD60" i="3" a="1"/>
  <c r="AD60" i="3" s="1"/>
  <c r="AD42" i="3" a="1"/>
  <c r="AD42" i="3" s="1"/>
  <c r="AD43" i="3" a="1"/>
  <c r="AD43" i="3" s="1"/>
  <c r="AE42" i="3" a="1"/>
  <c r="AE42" i="3" s="1"/>
  <c r="AD41" i="3" a="1"/>
  <c r="AD41" i="3" s="1"/>
  <c r="AE40" i="3" a="1"/>
  <c r="AE40" i="3" s="1"/>
  <c r="AD40" i="3" a="1"/>
  <c r="AD40" i="3" s="1"/>
  <c r="AD63" i="3" a="1"/>
  <c r="AD63" i="3" s="1"/>
  <c r="AE62" i="3" a="1"/>
  <c r="AE62" i="3" s="1"/>
  <c r="AD62" i="3" a="1"/>
  <c r="AD62" i="3" s="1"/>
  <c r="AD48" i="3" a="1"/>
  <c r="AD48" i="3" s="1"/>
  <c r="AD49" i="3" a="1"/>
  <c r="AD49" i="3" s="1"/>
  <c r="AE48" i="3" a="1"/>
  <c r="AE48" i="3" s="1"/>
  <c r="AD56" i="3" a="1"/>
  <c r="AD56" i="3" s="1"/>
  <c r="AD57" i="3" a="1"/>
  <c r="AD57" i="3" s="1"/>
  <c r="AE56" i="3" a="1"/>
  <c r="AE56" i="3" s="1"/>
  <c r="AE64" i="3" a="1"/>
  <c r="AE64" i="3" s="1"/>
  <c r="AD64" i="3" a="1"/>
  <c r="AD64" i="3" s="1"/>
  <c r="AD65" i="3" a="1"/>
  <c r="AD65" i="3" s="1"/>
  <c r="AD53" i="3" a="1"/>
  <c r="AD53" i="3" s="1"/>
  <c r="AE52" i="3" a="1"/>
  <c r="AE52" i="3" s="1"/>
  <c r="AD52" i="3" a="1"/>
  <c r="AD52" i="3" s="1"/>
  <c r="AD55" i="3" a="1"/>
  <c r="AD55" i="3" s="1"/>
  <c r="AE54" i="3" a="1"/>
  <c r="AE54" i="3" s="1"/>
  <c r="AD54" i="3" a="1"/>
  <c r="AD54" i="3" s="1"/>
  <c r="AD47" i="3" a="1"/>
  <c r="AD47" i="3" s="1"/>
  <c r="AE46" i="3" a="1"/>
  <c r="AE46" i="3" s="1"/>
  <c r="AD46" i="3" a="1"/>
  <c r="AD46" i="3" s="1"/>
  <c r="AE66" i="3" a="1"/>
  <c r="AE66" i="3" s="1"/>
  <c r="AD67" i="3" a="1"/>
  <c r="AD67" i="3" s="1"/>
  <c r="AD66" i="3" a="1"/>
  <c r="AD66" i="3" s="1"/>
  <c r="X12" i="3" a="1"/>
  <c r="X12" i="3" s="1"/>
  <c r="X39" i="3" a="1"/>
  <c r="Y38" i="3" a="1"/>
  <c r="X21" i="3" a="1"/>
  <c r="Y26" i="3" a="1"/>
  <c r="Y20" i="3" a="1"/>
  <c r="Y22" i="3" a="1"/>
  <c r="X20" i="3" a="1"/>
  <c r="X27" i="3" a="1"/>
  <c r="X37" i="3" a="1"/>
  <c r="Y36" i="3" a="1"/>
  <c r="X23" i="3" a="1"/>
  <c r="Y12" i="3" a="1"/>
  <c r="X13" i="3" a="1"/>
  <c r="Y39" i="3" l="1"/>
  <c r="AC35" i="3"/>
  <c r="AD33" i="3" a="1"/>
  <c r="AD30" i="3" a="1"/>
  <c r="AD30" i="3" s="1"/>
  <c r="AD29" i="3" a="1"/>
  <c r="AD29" i="3" s="1"/>
  <c r="Y27" i="3"/>
  <c r="AE16" i="3" a="1"/>
  <c r="AE16" i="3" s="1"/>
  <c r="AG16" i="3" s="1" a="1"/>
  <c r="AD24" i="3" a="1"/>
  <c r="AD24" i="3" s="1"/>
  <c r="Y23" i="3"/>
  <c r="AD16" i="3" a="1"/>
  <c r="AD16" i="3" s="1"/>
  <c r="AC19" i="3"/>
  <c r="AD35" i="3" a="1"/>
  <c r="AD35" i="3" s="1"/>
  <c r="AD31" i="3" a="1"/>
  <c r="AD31" i="3" s="1"/>
  <c r="AC15" i="3"/>
  <c r="Y13" i="3"/>
  <c r="AD18" i="3" a="1"/>
  <c r="AD18" i="3" s="1"/>
  <c r="AE18" i="3" a="1"/>
  <c r="AE18" i="3" s="1"/>
  <c r="AF18" i="3" s="1" a="1"/>
  <c r="AF18" i="3" s="1"/>
  <c r="AG19" i="3" s="1"/>
  <c r="AD19" i="3" a="1"/>
  <c r="AD19" i="3" s="1"/>
  <c r="AD14" i="3" a="1"/>
  <c r="AD14" i="3" s="1"/>
  <c r="AE14" i="3" a="1"/>
  <c r="AE14" i="3" s="1"/>
  <c r="AE34" i="3" a="1"/>
  <c r="AE34" i="3" s="1"/>
  <c r="AE32" i="3" a="1"/>
  <c r="AE32" i="3" s="1"/>
  <c r="AF32" i="3" s="1" a="1"/>
  <c r="AF32" i="3" s="1"/>
  <c r="AG33" i="3" s="1"/>
  <c r="AD25" i="3" a="1"/>
  <c r="AD25" i="3" s="1"/>
  <c r="AE30" i="3" a="1"/>
  <c r="AE30" i="3" s="1"/>
  <c r="AF31" i="3" s="1" a="1"/>
  <c r="AE24" i="3" a="1"/>
  <c r="AE24" i="3" s="1"/>
  <c r="AF24" i="3" s="1" a="1"/>
  <c r="AF24" i="3" s="1"/>
  <c r="AG25" i="3" s="1"/>
  <c r="AD15" i="3" a="1"/>
  <c r="AD15" i="3" s="1"/>
  <c r="Y37" i="3"/>
  <c r="AD32" i="3" a="1"/>
  <c r="AD32" i="3" s="1"/>
  <c r="AE71" i="3"/>
  <c r="AE69" i="3"/>
  <c r="AE67" i="3"/>
  <c r="AE65" i="3"/>
  <c r="AE63" i="3"/>
  <c r="AE61" i="3"/>
  <c r="AE59" i="3"/>
  <c r="AE57" i="3"/>
  <c r="AE55" i="3"/>
  <c r="AE53" i="3"/>
  <c r="AE51" i="3"/>
  <c r="AE49" i="3"/>
  <c r="AE47" i="3"/>
  <c r="AE45" i="3"/>
  <c r="AE43" i="3"/>
  <c r="AE41" i="3"/>
  <c r="AA17" i="3"/>
  <c r="X23" i="3"/>
  <c r="Y36" i="3"/>
  <c r="X37" i="3"/>
  <c r="X27" i="3"/>
  <c r="X20" i="3"/>
  <c r="Y22" i="3"/>
  <c r="AD17" i="3"/>
  <c r="Y20" i="3"/>
  <c r="AD33" i="3"/>
  <c r="Y26" i="3"/>
  <c r="X21" i="3"/>
  <c r="Y38" i="3"/>
  <c r="X39" i="3"/>
  <c r="AD28" i="3" a="1"/>
  <c r="AD28" i="3" s="1"/>
  <c r="AC17" i="3"/>
  <c r="X13" i="3"/>
  <c r="Y12" i="3"/>
  <c r="AG52" i="3" a="1"/>
  <c r="AG52" i="3" s="1"/>
  <c r="AF52" i="3" a="1"/>
  <c r="AF52" i="3" s="1"/>
  <c r="AF53" i="3" a="1"/>
  <c r="AF53" i="3" s="1"/>
  <c r="AF57" i="3" a="1"/>
  <c r="AF57" i="3" s="1"/>
  <c r="AG56" i="3" a="1"/>
  <c r="AG56" i="3" s="1"/>
  <c r="AF56" i="3" a="1"/>
  <c r="AF56" i="3" s="1"/>
  <c r="AF40" i="3" a="1"/>
  <c r="AF40" i="3" s="1"/>
  <c r="AF41" i="3" a="1"/>
  <c r="AF41" i="3" s="1"/>
  <c r="AG40" i="3" a="1"/>
  <c r="AG40" i="3" s="1"/>
  <c r="AF51" i="3" a="1"/>
  <c r="AF51" i="3" s="1"/>
  <c r="AG50" i="3" a="1"/>
  <c r="AG50" i="3" s="1"/>
  <c r="AF50" i="3" a="1"/>
  <c r="AF50" i="3" s="1"/>
  <c r="AG62" i="3" a="1"/>
  <c r="AG62" i="3" s="1"/>
  <c r="AF62" i="3" a="1"/>
  <c r="AF62" i="3" s="1"/>
  <c r="AF63" i="3" a="1"/>
  <c r="AF63" i="3" s="1"/>
  <c r="AG60" i="3" a="1"/>
  <c r="AG60" i="3" s="1"/>
  <c r="AF60" i="3" a="1"/>
  <c r="AF60" i="3" s="1"/>
  <c r="AF61" i="3" a="1"/>
  <c r="AF61" i="3" s="1"/>
  <c r="AF49" i="3" a="1"/>
  <c r="AF49" i="3" s="1"/>
  <c r="AG48" i="3" a="1"/>
  <c r="AG48" i="3" s="1"/>
  <c r="AF48" i="3" a="1"/>
  <c r="AF48" i="3" s="1"/>
  <c r="AG66" i="3" a="1"/>
  <c r="AG66" i="3" s="1"/>
  <c r="AF66" i="3" a="1"/>
  <c r="AF66" i="3" s="1"/>
  <c r="AF67" i="3" a="1"/>
  <c r="AF67" i="3" s="1"/>
  <c r="AF65" i="3" a="1"/>
  <c r="AF65" i="3" s="1"/>
  <c r="AG64" i="3" a="1"/>
  <c r="AG64" i="3" s="1"/>
  <c r="AF64" i="3" a="1"/>
  <c r="AF64" i="3" s="1"/>
  <c r="AF54" i="3" a="1"/>
  <c r="AF54" i="3" s="1"/>
  <c r="AG54" i="3" a="1"/>
  <c r="AG54" i="3" s="1"/>
  <c r="AF55" i="3" a="1"/>
  <c r="AF55" i="3" s="1"/>
  <c r="AF43" i="3" a="1"/>
  <c r="AF43" i="3" s="1"/>
  <c r="AG42" i="3" a="1"/>
  <c r="AG42" i="3" s="1"/>
  <c r="AF42" i="3" a="1"/>
  <c r="AF42" i="3" s="1"/>
  <c r="AG58" i="3" a="1"/>
  <c r="AG58" i="3" s="1"/>
  <c r="AF58" i="3" a="1"/>
  <c r="AF58" i="3" s="1"/>
  <c r="AF59" i="3" a="1"/>
  <c r="AF59" i="3" s="1"/>
  <c r="AF45" i="3" a="1"/>
  <c r="AF45" i="3" s="1"/>
  <c r="AG44" i="3" a="1"/>
  <c r="AG44" i="3" s="1"/>
  <c r="AF44" i="3" a="1"/>
  <c r="AF44" i="3" s="1"/>
  <c r="AF47" i="3" a="1"/>
  <c r="AF47" i="3" s="1"/>
  <c r="AG46" i="3" a="1"/>
  <c r="AG46" i="3" s="1"/>
  <c r="AF46" i="3" a="1"/>
  <c r="AF46" i="3" s="1"/>
  <c r="AF69" i="3" a="1"/>
  <c r="AF69" i="3" s="1"/>
  <c r="AG68" i="3" a="1"/>
  <c r="AG68" i="3" s="1"/>
  <c r="AF68" i="3" a="1"/>
  <c r="AF68" i="3" s="1"/>
  <c r="AF71" i="3" a="1"/>
  <c r="AF71" i="3" s="1"/>
  <c r="AG70" i="3" a="1"/>
  <c r="AG70" i="3" s="1"/>
  <c r="AF70" i="3" a="1"/>
  <c r="AF70" i="3" s="1"/>
  <c r="AE28" i="3" a="1"/>
  <c r="AE31" i="3" l="1"/>
  <c r="AE29" i="3"/>
  <c r="AE25" i="3"/>
  <c r="AE19" i="3"/>
  <c r="AE15" i="3"/>
  <c r="AF19" i="3" a="1"/>
  <c r="AF19" i="3" s="1"/>
  <c r="AG32" i="3" a="1"/>
  <c r="AG32" i="3" s="1"/>
  <c r="AF16" i="3" a="1"/>
  <c r="AF16" i="3" s="1"/>
  <c r="AG18" i="3" a="1"/>
  <c r="AG18" i="3" s="1"/>
  <c r="AF14" i="3" a="1"/>
  <c r="AF14" i="3" s="1"/>
  <c r="AF15" i="3" a="1"/>
  <c r="AF15" i="3" s="1"/>
  <c r="AG14" i="3" a="1"/>
  <c r="AG14" i="3" s="1"/>
  <c r="AF34" i="3" a="1"/>
  <c r="AF34" i="3" s="1"/>
  <c r="AG34" i="3" a="1"/>
  <c r="AG34" i="3" s="1"/>
  <c r="AH34" i="3" s="1" a="1"/>
  <c r="AH34" i="3" s="1"/>
  <c r="AI35" i="3" s="1"/>
  <c r="AF35" i="3" a="1"/>
  <c r="AF35" i="3" s="1"/>
  <c r="AF33" i="3" a="1"/>
  <c r="AF33" i="3" s="1"/>
  <c r="AF17" i="3" a="1"/>
  <c r="AF17" i="3" s="1"/>
  <c r="AE33" i="3"/>
  <c r="AG71" i="3"/>
  <c r="AG69" i="3"/>
  <c r="AG67" i="3"/>
  <c r="AG65" i="3"/>
  <c r="AG63" i="3"/>
  <c r="AG61" i="3"/>
  <c r="AG59" i="3"/>
  <c r="AG57" i="3"/>
  <c r="AG55" i="3"/>
  <c r="AG53" i="3"/>
  <c r="AG51" i="3"/>
  <c r="AG49" i="3"/>
  <c r="AG47" i="3"/>
  <c r="AG45" i="3"/>
  <c r="AG43" i="3"/>
  <c r="AG41" i="3"/>
  <c r="AF31" i="3"/>
  <c r="AE28" i="3"/>
  <c r="AG16" i="3"/>
  <c r="AI16" i="3" s="1" a="1"/>
  <c r="AE17" i="3"/>
  <c r="Z36" i="3" a="1"/>
  <c r="Z36" i="3" s="1"/>
  <c r="Z22" i="3" a="1"/>
  <c r="Z22" i="3" s="1"/>
  <c r="AF30" i="3" a="1"/>
  <c r="AF30" i="3" s="1"/>
  <c r="Z26" i="3" a="1"/>
  <c r="Z26" i="3" s="1"/>
  <c r="Y21" i="3"/>
  <c r="Z38" i="3" a="1"/>
  <c r="Z38" i="3" s="1"/>
  <c r="AH59" i="3" a="1"/>
  <c r="AH59" i="3" s="1"/>
  <c r="AI58" i="3" a="1"/>
  <c r="AI58" i="3" s="1"/>
  <c r="AH58" i="3" a="1"/>
  <c r="AH58" i="3" s="1"/>
  <c r="AH47" i="3" a="1"/>
  <c r="AH47" i="3" s="1"/>
  <c r="AI46" i="3" a="1"/>
  <c r="AI46" i="3" s="1"/>
  <c r="AH46" i="3" a="1"/>
  <c r="AH46" i="3" s="1"/>
  <c r="AI64" i="3" a="1"/>
  <c r="AI64" i="3" s="1"/>
  <c r="AH64" i="3" a="1"/>
  <c r="AH64" i="3" s="1"/>
  <c r="AH65" i="3" a="1"/>
  <c r="AH65" i="3" s="1"/>
  <c r="AI62" i="3" a="1"/>
  <c r="AI62" i="3" s="1"/>
  <c r="AH63" i="3" a="1"/>
  <c r="AH63" i="3" s="1"/>
  <c r="AH62" i="3" a="1"/>
  <c r="AH62" i="3" s="1"/>
  <c r="AH51" i="3" a="1"/>
  <c r="AH51" i="3" s="1"/>
  <c r="AI50" i="3" a="1"/>
  <c r="AI50" i="3" s="1"/>
  <c r="AH50" i="3" a="1"/>
  <c r="AH50" i="3" s="1"/>
  <c r="AH42" i="3" a="1"/>
  <c r="AH42" i="3" s="1"/>
  <c r="AH43" i="3" a="1"/>
  <c r="AH43" i="3" s="1"/>
  <c r="AI42" i="3" a="1"/>
  <c r="AI42" i="3" s="1"/>
  <c r="AH48" i="3" a="1"/>
  <c r="AH48" i="3" s="1"/>
  <c r="AH49" i="3" a="1"/>
  <c r="AH49" i="3" s="1"/>
  <c r="AI48" i="3" a="1"/>
  <c r="AI48" i="3" s="1"/>
  <c r="AI44" i="3" a="1"/>
  <c r="AI44" i="3" s="1"/>
  <c r="AH44" i="3" a="1"/>
  <c r="AH44" i="3" s="1"/>
  <c r="AH45" i="3" a="1"/>
  <c r="AH45" i="3" s="1"/>
  <c r="AH68" i="3" a="1"/>
  <c r="AH68" i="3" s="1"/>
  <c r="AI68" i="3" a="1"/>
  <c r="AI68" i="3" s="1"/>
  <c r="AH69" i="3" a="1"/>
  <c r="AH69" i="3" s="1"/>
  <c r="AH71" i="3" a="1"/>
  <c r="AH71" i="3" s="1"/>
  <c r="AI70" i="3" a="1"/>
  <c r="AI70" i="3" s="1"/>
  <c r="AH70" i="3" a="1"/>
  <c r="AH70" i="3" s="1"/>
  <c r="AH56" i="3" a="1"/>
  <c r="AH56" i="3" s="1"/>
  <c r="AI56" i="3" a="1"/>
  <c r="AI56" i="3" s="1"/>
  <c r="AH57" i="3" a="1"/>
  <c r="AH57" i="3" s="1"/>
  <c r="AI54" i="3" a="1"/>
  <c r="AI54" i="3" s="1"/>
  <c r="AH54" i="3" a="1"/>
  <c r="AH54" i="3" s="1"/>
  <c r="AH55" i="3" a="1"/>
  <c r="AH55" i="3" s="1"/>
  <c r="AI66" i="3" a="1"/>
  <c r="AI66" i="3" s="1"/>
  <c r="AH66" i="3" a="1"/>
  <c r="AH66" i="3" s="1"/>
  <c r="AH67" i="3" a="1"/>
  <c r="AH67" i="3" s="1"/>
  <c r="Z12" i="3" a="1"/>
  <c r="Z12" i="3" s="1"/>
  <c r="AI60" i="3" a="1"/>
  <c r="AI60" i="3" s="1"/>
  <c r="AH61" i="3" a="1"/>
  <c r="AH61" i="3" s="1"/>
  <c r="AH60" i="3" a="1"/>
  <c r="AH60" i="3" s="1"/>
  <c r="AI40" i="3" a="1"/>
  <c r="AI40" i="3" s="1"/>
  <c r="AH41" i="3" a="1"/>
  <c r="AH41" i="3" s="1"/>
  <c r="AH40" i="3" a="1"/>
  <c r="AH40" i="3" s="1"/>
  <c r="AH53" i="3" a="1"/>
  <c r="AH53" i="3" s="1"/>
  <c r="AI52" i="3" a="1"/>
  <c r="AI52" i="3" s="1"/>
  <c r="AH52" i="3" a="1"/>
  <c r="AH52" i="3" s="1"/>
  <c r="AA36" i="3" a="1"/>
  <c r="AA26" i="3" a="1"/>
  <c r="Z20" i="3" a="1"/>
  <c r="Z37" i="3" a="1"/>
  <c r="Z21" i="3" a="1"/>
  <c r="AG24" i="3" a="1"/>
  <c r="AA20" i="3" a="1"/>
  <c r="Z27" i="3" a="1"/>
  <c r="AA38" i="3" a="1"/>
  <c r="AG30" i="3" a="1"/>
  <c r="AA22" i="3" a="1"/>
  <c r="Z23" i="3" a="1"/>
  <c r="Z39" i="3" a="1"/>
  <c r="AF25" i="3" a="1"/>
  <c r="Z13" i="3" a="1"/>
  <c r="AA12" i="3" a="1"/>
  <c r="AA39" i="3" l="1"/>
  <c r="AG35" i="3"/>
  <c r="AI32" i="3" a="1"/>
  <c r="AI32" i="3" s="1"/>
  <c r="AJ32" i="3" s="1" a="1"/>
  <c r="AJ32" i="3" s="1"/>
  <c r="AK33" i="3" s="1"/>
  <c r="AG31" i="3"/>
  <c r="AA27" i="3"/>
  <c r="AA23" i="3"/>
  <c r="AH19" i="3" a="1"/>
  <c r="AH19" i="3" s="1"/>
  <c r="AG15" i="3"/>
  <c r="AH33" i="3" a="1"/>
  <c r="AH33" i="3" s="1"/>
  <c r="AA13" i="3"/>
  <c r="AH14" i="3" a="1"/>
  <c r="AH14" i="3" s="1"/>
  <c r="AH15" i="3" a="1"/>
  <c r="AH15" i="3" s="1"/>
  <c r="AI14" i="3" a="1"/>
  <c r="AI14" i="3" s="1"/>
  <c r="AJ15" i="3" s="1" a="1"/>
  <c r="AI34" i="3" a="1"/>
  <c r="AI34" i="3" s="1"/>
  <c r="AH35" i="3" a="1"/>
  <c r="AH35" i="3" s="1"/>
  <c r="AA37" i="3"/>
  <c r="AH32" i="3" a="1"/>
  <c r="AH32" i="3" s="1"/>
  <c r="AI71" i="3"/>
  <c r="AI69" i="3"/>
  <c r="AI67" i="3"/>
  <c r="AI65" i="3"/>
  <c r="AI63" i="3"/>
  <c r="AI61" i="3"/>
  <c r="AI59" i="3"/>
  <c r="AI57" i="3"/>
  <c r="AI55" i="3"/>
  <c r="AI53" i="3"/>
  <c r="AI51" i="3"/>
  <c r="AI49" i="3"/>
  <c r="AI47" i="3"/>
  <c r="AI45" i="3"/>
  <c r="AI43" i="3"/>
  <c r="AI41" i="3"/>
  <c r="AG17" i="3"/>
  <c r="AI16" i="3"/>
  <c r="AJ16" i="3" s="1" a="1"/>
  <c r="AJ16" i="3" s="1"/>
  <c r="AK17" i="3" s="1"/>
  <c r="AF25" i="3"/>
  <c r="Z39" i="3"/>
  <c r="Z23" i="3"/>
  <c r="AA22" i="3"/>
  <c r="AG30" i="3"/>
  <c r="AA38" i="3"/>
  <c r="Z27" i="3"/>
  <c r="AA20" i="3"/>
  <c r="AG24" i="3"/>
  <c r="Z21" i="3"/>
  <c r="Z37" i="3"/>
  <c r="Z20" i="3"/>
  <c r="AA26" i="3"/>
  <c r="AA36" i="3"/>
  <c r="AH18" i="3" a="1"/>
  <c r="AH18" i="3" s="1"/>
  <c r="AF28" i="3" a="1"/>
  <c r="AF28" i="3" s="1"/>
  <c r="AH16" i="3" a="1"/>
  <c r="AH16" i="3" s="1"/>
  <c r="AA12" i="3"/>
  <c r="Z13" i="3"/>
  <c r="AJ55" i="3" a="1"/>
  <c r="AJ55" i="3" s="1"/>
  <c r="AJ54" i="3" a="1"/>
  <c r="AJ54" i="3" s="1"/>
  <c r="AK54" i="3" a="1"/>
  <c r="AK54" i="3" s="1"/>
  <c r="AJ45" i="3" a="1"/>
  <c r="AJ45" i="3" s="1"/>
  <c r="AK44" i="3" a="1"/>
  <c r="AK44" i="3" s="1"/>
  <c r="AJ44" i="3" a="1"/>
  <c r="AJ44" i="3" s="1"/>
  <c r="AK50" i="3" a="1"/>
  <c r="AK50" i="3" s="1"/>
  <c r="AJ51" i="3" a="1"/>
  <c r="AJ51" i="3" s="1"/>
  <c r="AJ50" i="3" a="1"/>
  <c r="AJ50" i="3" s="1"/>
  <c r="AJ57" i="3" a="1"/>
  <c r="AJ57" i="3" s="1"/>
  <c r="AK56" i="3" a="1"/>
  <c r="AK56" i="3" s="1"/>
  <c r="AJ56" i="3" a="1"/>
  <c r="AJ56" i="3" s="1"/>
  <c r="AJ65" i="3" a="1"/>
  <c r="AJ65" i="3" s="1"/>
  <c r="AK64" i="3" a="1"/>
  <c r="AK64" i="3" s="1"/>
  <c r="AJ64" i="3" a="1"/>
  <c r="AJ64" i="3" s="1"/>
  <c r="AJ49" i="3" a="1"/>
  <c r="AJ49" i="3" s="1"/>
  <c r="AK48" i="3" a="1"/>
  <c r="AK48" i="3" s="1"/>
  <c r="AJ48" i="3" a="1"/>
  <c r="AJ48" i="3" s="1"/>
  <c r="AJ47" i="3" a="1"/>
  <c r="AJ47" i="3" s="1"/>
  <c r="AK46" i="3" a="1"/>
  <c r="AK46" i="3" s="1"/>
  <c r="AJ46" i="3" a="1"/>
  <c r="AJ46" i="3" s="1"/>
  <c r="AJ41" i="3" a="1"/>
  <c r="AJ41" i="3" s="1"/>
  <c r="AJ40" i="3" a="1"/>
  <c r="AJ40" i="3" s="1"/>
  <c r="AK40" i="3" a="1"/>
  <c r="AK40" i="3" s="1"/>
  <c r="AJ71" i="3" a="1"/>
  <c r="AJ71" i="3" s="1"/>
  <c r="AK70" i="3" a="1"/>
  <c r="AK70" i="3" s="1"/>
  <c r="AJ70" i="3" a="1"/>
  <c r="AJ70" i="3" s="1"/>
  <c r="AK58" i="3" a="1"/>
  <c r="AK58" i="3" s="1"/>
  <c r="AJ58" i="3" a="1"/>
  <c r="AJ58" i="3" s="1"/>
  <c r="AJ59" i="3" a="1"/>
  <c r="AJ59" i="3" s="1"/>
  <c r="AJ61" i="3" a="1"/>
  <c r="AJ61" i="3" s="1"/>
  <c r="AK60" i="3" a="1"/>
  <c r="AK60" i="3" s="1"/>
  <c r="AJ60" i="3" a="1"/>
  <c r="AJ60" i="3" s="1"/>
  <c r="AJ69" i="3" a="1"/>
  <c r="AJ69" i="3" s="1"/>
  <c r="AK68" i="3" a="1"/>
  <c r="AK68" i="3" s="1"/>
  <c r="AJ68" i="3" a="1"/>
  <c r="AJ68" i="3" s="1"/>
  <c r="AJ53" i="3" a="1"/>
  <c r="AJ53" i="3" s="1"/>
  <c r="AK52" i="3" a="1"/>
  <c r="AK52" i="3" s="1"/>
  <c r="AJ52" i="3" a="1"/>
  <c r="AJ52" i="3" s="1"/>
  <c r="AJ67" i="3" a="1"/>
  <c r="AJ67" i="3" s="1"/>
  <c r="AK66" i="3" a="1"/>
  <c r="AK66" i="3" s="1"/>
  <c r="AJ66" i="3" a="1"/>
  <c r="AJ66" i="3" s="1"/>
  <c r="AJ43" i="3" a="1"/>
  <c r="AJ43" i="3" s="1"/>
  <c r="AK42" i="3" a="1"/>
  <c r="AK42" i="3" s="1"/>
  <c r="AJ42" i="3" a="1"/>
  <c r="AJ42" i="3" s="1"/>
  <c r="AJ63" i="3" a="1"/>
  <c r="AJ63" i="3" s="1"/>
  <c r="AK62" i="3" a="1"/>
  <c r="AK62" i="3" s="1"/>
  <c r="AJ62" i="3" a="1"/>
  <c r="AJ62" i="3" s="1"/>
  <c r="AG28" i="3" a="1"/>
  <c r="AH17" i="3" a="1"/>
  <c r="AF29" i="3" a="1"/>
  <c r="AI18" i="3" a="1"/>
  <c r="AJ34" i="3" l="1" a="1"/>
  <c r="AJ34" i="3" s="1"/>
  <c r="AG29" i="3"/>
  <c r="AI19" i="3"/>
  <c r="AK16" i="3" a="1"/>
  <c r="AK16" i="3" s="1"/>
  <c r="AI17" i="3"/>
  <c r="AI15" i="3"/>
  <c r="AJ33" i="3" a="1"/>
  <c r="AJ33" i="3" s="1"/>
  <c r="AK32" i="3" a="1"/>
  <c r="AK32" i="3" s="1"/>
  <c r="AJ17" i="3" a="1"/>
  <c r="AJ17" i="3" s="1"/>
  <c r="AJ35" i="3" a="1"/>
  <c r="AJ35" i="3" s="1"/>
  <c r="AI33" i="3"/>
  <c r="AK71" i="3"/>
  <c r="AK69" i="3"/>
  <c r="AK67" i="3"/>
  <c r="AK65" i="3"/>
  <c r="AK63" i="3"/>
  <c r="AK61" i="3"/>
  <c r="AK59" i="3"/>
  <c r="AK57" i="3"/>
  <c r="AK55" i="3"/>
  <c r="AK53" i="3"/>
  <c r="AK51" i="3"/>
  <c r="AK49" i="3"/>
  <c r="AK47" i="3"/>
  <c r="AK45" i="3"/>
  <c r="AK43" i="3"/>
  <c r="AK41" i="3"/>
  <c r="AA21" i="3"/>
  <c r="AJ15" i="3"/>
  <c r="AI18" i="3"/>
  <c r="AF29" i="3"/>
  <c r="AH17" i="3"/>
  <c r="AG28" i="3"/>
  <c r="AH24" i="3" a="1"/>
  <c r="AH24" i="3" s="1"/>
  <c r="AB38" i="3" a="1"/>
  <c r="AB38" i="3" s="1"/>
  <c r="AH30" i="3" a="1"/>
  <c r="AH30" i="3" s="1"/>
  <c r="AB36" i="3" a="1"/>
  <c r="AB36" i="3" s="1"/>
  <c r="AB20" i="3" a="1"/>
  <c r="AB20" i="3" s="1"/>
  <c r="AJ14" i="3" a="1"/>
  <c r="AJ14" i="3" s="1"/>
  <c r="AB22" i="3" a="1"/>
  <c r="AB22" i="3" s="1"/>
  <c r="AB26" i="3" a="1"/>
  <c r="AB26" i="3" s="1"/>
  <c r="AL55" i="3" a="1"/>
  <c r="AL55" i="3" s="1"/>
  <c r="AM54" i="3" a="1"/>
  <c r="AM54" i="3" s="1"/>
  <c r="AL54" i="3" a="1"/>
  <c r="AL54" i="3" s="1"/>
  <c r="AM46" i="3" a="1"/>
  <c r="AM46" i="3" s="1"/>
  <c r="AL47" i="3" a="1"/>
  <c r="AL47" i="3" s="1"/>
  <c r="AL46" i="3" a="1"/>
  <c r="AL46" i="3" s="1"/>
  <c r="AL68" i="3" a="1"/>
  <c r="AL68" i="3" s="1"/>
  <c r="AM68" i="3" a="1"/>
  <c r="AM68" i="3" s="1"/>
  <c r="AL69" i="3" a="1"/>
  <c r="AL69" i="3" s="1"/>
  <c r="AM44" i="3" a="1"/>
  <c r="AM44" i="3" s="1"/>
  <c r="AL44" i="3" a="1"/>
  <c r="AL44" i="3" s="1"/>
  <c r="AL45" i="3" a="1"/>
  <c r="AL45" i="3" s="1"/>
  <c r="AL59" i="3" a="1"/>
  <c r="AL59" i="3" s="1"/>
  <c r="AL58" i="3" a="1"/>
  <c r="AL58" i="3" s="1"/>
  <c r="AM58" i="3" a="1"/>
  <c r="AM58" i="3" s="1"/>
  <c r="AL43" i="3" a="1"/>
  <c r="AL43" i="3" s="1"/>
  <c r="AL42" i="3" a="1"/>
  <c r="AL42" i="3" s="1"/>
  <c r="AM42" i="3" a="1"/>
  <c r="AM42" i="3" s="1"/>
  <c r="AL56" i="3" a="1"/>
  <c r="AL56" i="3" s="1"/>
  <c r="AL57" i="3" a="1"/>
  <c r="AL57" i="3" s="1"/>
  <c r="AM56" i="3" a="1"/>
  <c r="AM56" i="3" s="1"/>
  <c r="AL48" i="3" a="1"/>
  <c r="AL48" i="3" s="1"/>
  <c r="AM48" i="3" a="1"/>
  <c r="AM48" i="3" s="1"/>
  <c r="AL49" i="3" a="1"/>
  <c r="AL49" i="3" s="1"/>
  <c r="AM50" i="3" a="1"/>
  <c r="AM50" i="3" s="1"/>
  <c r="AL50" i="3" a="1"/>
  <c r="AL50" i="3" s="1"/>
  <c r="AL51" i="3" a="1"/>
  <c r="AL51" i="3" s="1"/>
  <c r="AM70" i="3" a="1"/>
  <c r="AM70" i="3" s="1"/>
  <c r="AL71" i="3" a="1"/>
  <c r="AL71" i="3" s="1"/>
  <c r="AL70" i="3" a="1"/>
  <c r="AL70" i="3" s="1"/>
  <c r="AL63" i="3" a="1"/>
  <c r="AL63" i="3" s="1"/>
  <c r="AM62" i="3" a="1"/>
  <c r="AM62" i="3" s="1"/>
  <c r="AL62" i="3" a="1"/>
  <c r="AL62" i="3" s="1"/>
  <c r="AM60" i="3" a="1"/>
  <c r="AM60" i="3" s="1"/>
  <c r="AL61" i="3" a="1"/>
  <c r="AL61" i="3" s="1"/>
  <c r="AL60" i="3" a="1"/>
  <c r="AL60" i="3" s="1"/>
  <c r="AL53" i="3" a="1"/>
  <c r="AL53" i="3" s="1"/>
  <c r="AM52" i="3" a="1"/>
  <c r="AM52" i="3" s="1"/>
  <c r="AL52" i="3" a="1"/>
  <c r="AL52" i="3" s="1"/>
  <c r="AM40" i="3" a="1"/>
  <c r="AM40" i="3" s="1"/>
  <c r="AL40" i="3" a="1"/>
  <c r="AL40" i="3" s="1"/>
  <c r="AL41" i="3" a="1"/>
  <c r="AL41" i="3" s="1"/>
  <c r="AL67" i="3" a="1"/>
  <c r="AL67" i="3" s="1"/>
  <c r="AM66" i="3" a="1"/>
  <c r="AM66" i="3" s="1"/>
  <c r="AL66" i="3" a="1"/>
  <c r="AL66" i="3" s="1"/>
  <c r="AM64" i="3" a="1"/>
  <c r="AM64" i="3" s="1"/>
  <c r="AL65" i="3" a="1"/>
  <c r="AL65" i="3" s="1"/>
  <c r="AL64" i="3" a="1"/>
  <c r="AL64" i="3" s="1"/>
  <c r="AB12" i="3" a="1"/>
  <c r="AB12" i="3" s="1"/>
  <c r="AB21" i="3" a="1"/>
  <c r="AH31" i="3" a="1"/>
  <c r="AK34" i="3" a="1"/>
  <c r="AK14" i="3" a="1"/>
  <c r="AH25" i="3" a="1"/>
  <c r="AB23" i="3" a="1"/>
  <c r="AI24" i="3" a="1"/>
  <c r="AB37" i="3" a="1"/>
  <c r="AC22" i="3" a="1"/>
  <c r="AC38" i="3" a="1"/>
  <c r="AC36" i="3" a="1"/>
  <c r="AB39" i="3" a="1"/>
  <c r="AC26" i="3" a="1"/>
  <c r="AB27" i="3" a="1"/>
  <c r="AI30" i="3" a="1"/>
  <c r="AC20" i="3" a="1"/>
  <c r="AC12" i="3" a="1"/>
  <c r="AB13" i="3" a="1"/>
  <c r="AC39" i="3" l="1"/>
  <c r="AK35" i="3"/>
  <c r="AM32" i="3" a="1"/>
  <c r="AM32" i="3" s="1"/>
  <c r="AN32" i="3" s="1" a="1"/>
  <c r="AN32" i="3" s="1"/>
  <c r="AO33" i="3" s="1"/>
  <c r="AI31" i="3"/>
  <c r="AC27" i="3"/>
  <c r="AI25" i="3"/>
  <c r="AL33" i="3" a="1"/>
  <c r="AL33" i="3" s="1"/>
  <c r="AC23" i="3"/>
  <c r="AC21" i="3"/>
  <c r="AM16" i="3" a="1"/>
  <c r="AM16" i="3" s="1"/>
  <c r="AK15" i="3"/>
  <c r="AC13" i="3"/>
  <c r="AL32" i="3" a="1"/>
  <c r="AL32" i="3" s="1"/>
  <c r="AC37" i="3"/>
  <c r="AM71" i="3"/>
  <c r="AM69" i="3"/>
  <c r="AM67" i="3"/>
  <c r="AM65" i="3"/>
  <c r="AM63" i="3"/>
  <c r="AM61" i="3"/>
  <c r="AM59" i="3"/>
  <c r="AM57" i="3"/>
  <c r="AM55" i="3"/>
  <c r="AM53" i="3"/>
  <c r="AM51" i="3"/>
  <c r="AM49" i="3"/>
  <c r="AM47" i="3"/>
  <c r="AM45" i="3"/>
  <c r="AM43" i="3"/>
  <c r="AM41" i="3"/>
  <c r="AC20" i="3"/>
  <c r="AI30" i="3"/>
  <c r="AB27" i="3"/>
  <c r="AC26" i="3"/>
  <c r="AB39" i="3"/>
  <c r="AC36" i="3"/>
  <c r="AC38" i="3"/>
  <c r="AC22" i="3"/>
  <c r="AB37" i="3"/>
  <c r="AI24" i="3"/>
  <c r="AB23" i="3"/>
  <c r="AH25" i="3"/>
  <c r="AK14" i="3"/>
  <c r="AK34" i="3"/>
  <c r="AH31" i="3"/>
  <c r="AB21" i="3"/>
  <c r="AJ18" i="3" a="1"/>
  <c r="AJ18" i="3" s="1"/>
  <c r="AL16" i="3" a="1"/>
  <c r="AL16" i="3" s="1"/>
  <c r="AH28" i="3" a="1"/>
  <c r="AH28" i="3" s="1"/>
  <c r="AB13" i="3"/>
  <c r="AC12" i="3"/>
  <c r="AO44" i="3" a="1"/>
  <c r="AO44" i="3" s="1"/>
  <c r="AN45" i="3" a="1"/>
  <c r="AN45" i="3" s="1"/>
  <c r="AN44" i="3" a="1"/>
  <c r="AN44" i="3" s="1"/>
  <c r="AN47" i="3" a="1"/>
  <c r="AN47" i="3" s="1"/>
  <c r="AO46" i="3" a="1"/>
  <c r="AO46" i="3" s="1"/>
  <c r="AN46" i="3" a="1"/>
  <c r="AN46" i="3" s="1"/>
  <c r="AO68" i="3" a="1"/>
  <c r="AO68" i="3" s="1"/>
  <c r="AN69" i="3" a="1"/>
  <c r="AN69" i="3" s="1"/>
  <c r="AN68" i="3" a="1"/>
  <c r="AN68" i="3" s="1"/>
  <c r="AN59" i="3" a="1"/>
  <c r="AN59" i="3" s="1"/>
  <c r="AO58" i="3" a="1"/>
  <c r="AO58" i="3" s="1"/>
  <c r="AN58" i="3" a="1"/>
  <c r="AN58" i="3" s="1"/>
  <c r="AO66" i="3" a="1"/>
  <c r="AO66" i="3" s="1"/>
  <c r="AN66" i="3" a="1"/>
  <c r="AN66" i="3" s="1"/>
  <c r="AN67" i="3" a="1"/>
  <c r="AN67" i="3" s="1"/>
  <c r="AO52" i="3" a="1"/>
  <c r="AO52" i="3" s="1"/>
  <c r="AN53" i="3" a="1"/>
  <c r="AN53" i="3" s="1"/>
  <c r="AN52" i="3" a="1"/>
  <c r="AN52" i="3" s="1"/>
  <c r="AO70" i="3" a="1"/>
  <c r="AO70" i="3" s="1"/>
  <c r="AN71" i="3" a="1"/>
  <c r="AN71" i="3" s="1"/>
  <c r="AN70" i="3" a="1"/>
  <c r="AN70" i="3" s="1"/>
  <c r="AO50" i="3" a="1"/>
  <c r="AO50" i="3" s="1"/>
  <c r="AN50" i="3" a="1"/>
  <c r="AN50" i="3" s="1"/>
  <c r="AN51" i="3" a="1"/>
  <c r="AN51" i="3" s="1"/>
  <c r="AO48" i="3" a="1"/>
  <c r="AO48" i="3" s="1"/>
  <c r="AN49" i="3" a="1"/>
  <c r="AN49" i="3" s="1"/>
  <c r="AN48" i="3" a="1"/>
  <c r="AN48" i="3" s="1"/>
  <c r="AO56" i="3" a="1"/>
  <c r="AO56" i="3" s="1"/>
  <c r="AN57" i="3" a="1"/>
  <c r="AN57" i="3" s="1"/>
  <c r="AN56" i="3" a="1"/>
  <c r="AN56" i="3" s="1"/>
  <c r="AO64" i="3" a="1"/>
  <c r="AO64" i="3" s="1"/>
  <c r="AN65" i="3" a="1"/>
  <c r="AN65" i="3" s="1"/>
  <c r="AN64" i="3" a="1"/>
  <c r="AN64" i="3" s="1"/>
  <c r="AO60" i="3" a="1"/>
  <c r="AO60" i="3" s="1"/>
  <c r="AN61" i="3" a="1"/>
  <c r="AN61" i="3" s="1"/>
  <c r="AN60" i="3" a="1"/>
  <c r="AN60" i="3" s="1"/>
  <c r="AN55" i="3" a="1"/>
  <c r="AN55" i="3" s="1"/>
  <c r="AO54" i="3" a="1"/>
  <c r="AO54" i="3" s="1"/>
  <c r="AN54" i="3" a="1"/>
  <c r="AN54" i="3" s="1"/>
  <c r="AO62" i="3" a="1"/>
  <c r="AO62" i="3" s="1"/>
  <c r="AN63" i="3" a="1"/>
  <c r="AN63" i="3" s="1"/>
  <c r="AN62" i="3" a="1"/>
  <c r="AN62" i="3" s="1"/>
  <c r="AO42" i="3" a="1"/>
  <c r="AO42" i="3" s="1"/>
  <c r="AN43" i="3" a="1"/>
  <c r="AN43" i="3" s="1"/>
  <c r="AN42" i="3" a="1"/>
  <c r="AN42" i="3" s="1"/>
  <c r="AN40" i="3" a="1"/>
  <c r="AN40" i="3" s="1"/>
  <c r="AN41" i="3" a="1"/>
  <c r="AN41" i="3" s="1"/>
  <c r="AO40" i="3" a="1"/>
  <c r="AO40" i="3" s="1"/>
  <c r="AI28" i="3" a="1"/>
  <c r="AH29" i="3" a="1"/>
  <c r="AL17" i="3" a="1"/>
  <c r="AK18" i="3" a="1"/>
  <c r="AJ19" i="3" a="1"/>
  <c r="AI29" i="3" l="1"/>
  <c r="AN16" i="3" a="1"/>
  <c r="AN16" i="3" s="1"/>
  <c r="AO17" i="3" s="1"/>
  <c r="AN17" i="3" a="1"/>
  <c r="AO16" i="3" a="1"/>
  <c r="AO16" i="3" s="1"/>
  <c r="AK19" i="3"/>
  <c r="AM17" i="3"/>
  <c r="AO32" i="3" a="1"/>
  <c r="AO32" i="3" s="1"/>
  <c r="AN33" i="3" a="1"/>
  <c r="AN33" i="3" s="1"/>
  <c r="AM33" i="3"/>
  <c r="AO71" i="3"/>
  <c r="AO69" i="3"/>
  <c r="AO67" i="3"/>
  <c r="AO65" i="3"/>
  <c r="AO63" i="3"/>
  <c r="AO61" i="3"/>
  <c r="AO59" i="3"/>
  <c r="AO57" i="3"/>
  <c r="AO55" i="3"/>
  <c r="AO53" i="3"/>
  <c r="AO51" i="3"/>
  <c r="AO49" i="3"/>
  <c r="AO47" i="3"/>
  <c r="AO45" i="3"/>
  <c r="AO43" i="3"/>
  <c r="AO41" i="3"/>
  <c r="AJ19" i="3"/>
  <c r="AK18" i="3"/>
  <c r="AL17" i="3"/>
  <c r="AN17" i="3"/>
  <c r="AH29" i="3"/>
  <c r="AI28" i="3"/>
  <c r="AJ24" i="3" a="1"/>
  <c r="AJ24" i="3" s="1"/>
  <c r="AD22" i="3" a="1"/>
  <c r="AD22" i="3" s="1"/>
  <c r="AJ30" i="3" a="1"/>
  <c r="AJ30" i="3" s="1"/>
  <c r="AL14" i="3" a="1"/>
  <c r="AL14" i="3" s="1"/>
  <c r="AD26" i="3" a="1"/>
  <c r="AD26" i="3" s="1"/>
  <c r="AD38" i="3" a="1"/>
  <c r="AD38" i="3" s="1"/>
  <c r="AD20" i="3" a="1"/>
  <c r="AD20" i="3" s="1"/>
  <c r="AL34" i="3" a="1"/>
  <c r="AL34" i="3" s="1"/>
  <c r="AD36" i="3" a="1"/>
  <c r="AD36" i="3" s="1"/>
  <c r="AP68" i="3" a="1"/>
  <c r="AP68" i="3" s="1"/>
  <c r="AQ68" i="3" a="1"/>
  <c r="AQ68" i="3" s="1"/>
  <c r="AP69" i="3" a="1"/>
  <c r="AP69" i="3" s="1"/>
  <c r="AP42" i="3" a="1"/>
  <c r="AP42" i="3" s="1"/>
  <c r="AP43" i="3" a="1"/>
  <c r="AP43" i="3" s="1"/>
  <c r="AQ42" i="3" a="1"/>
  <c r="AQ42" i="3" s="1"/>
  <c r="AQ70" i="3" a="1"/>
  <c r="AQ70" i="3" s="1"/>
  <c r="AP70" i="3" a="1"/>
  <c r="AP70" i="3" s="1"/>
  <c r="AP71" i="3" a="1"/>
  <c r="AP71" i="3" s="1"/>
  <c r="AQ46" i="3" a="1"/>
  <c r="AQ46" i="3" s="1"/>
  <c r="AP46" i="3" a="1"/>
  <c r="AP46" i="3" s="1"/>
  <c r="AP47" i="3" a="1"/>
  <c r="AP47" i="3" s="1"/>
  <c r="AQ40" i="3" a="1"/>
  <c r="AQ40" i="3" s="1"/>
  <c r="AP40" i="3" a="1"/>
  <c r="AP40" i="3" s="1"/>
  <c r="AP41" i="3" a="1"/>
  <c r="AP41" i="3" s="1"/>
  <c r="AQ62" i="3" a="1"/>
  <c r="AQ62" i="3" s="1"/>
  <c r="AP63" i="3" a="1"/>
  <c r="AP63" i="3" s="1"/>
  <c r="AP62" i="3" a="1"/>
  <c r="AP62" i="3" s="1"/>
  <c r="AQ44" i="3" a="1"/>
  <c r="AQ44" i="3" s="1"/>
  <c r="AP44" i="3" a="1"/>
  <c r="AP44" i="3" s="1"/>
  <c r="AP45" i="3" a="1"/>
  <c r="AP45" i="3" s="1"/>
  <c r="AP56" i="3" a="1"/>
  <c r="AP56" i="3" s="1"/>
  <c r="AP57" i="3" a="1"/>
  <c r="AP57" i="3" s="1"/>
  <c r="AQ56" i="3" a="1"/>
  <c r="AQ56" i="3" s="1"/>
  <c r="AQ60" i="3" a="1"/>
  <c r="AQ60" i="3" s="1"/>
  <c r="AP60" i="3" a="1"/>
  <c r="AP60" i="3" s="1"/>
  <c r="AP61" i="3" a="1"/>
  <c r="AP61" i="3" s="1"/>
  <c r="AP53" i="3" a="1"/>
  <c r="AP53" i="3" s="1"/>
  <c r="AQ52" i="3" a="1"/>
  <c r="AQ52" i="3" s="1"/>
  <c r="AP52" i="3" a="1"/>
  <c r="AP52" i="3" s="1"/>
  <c r="AQ64" i="3" a="1"/>
  <c r="AQ64" i="3" s="1"/>
  <c r="AP64" i="3" a="1"/>
  <c r="AP64" i="3" s="1"/>
  <c r="AP65" i="3" a="1"/>
  <c r="AP65" i="3" s="1"/>
  <c r="AP58" i="3" a="1"/>
  <c r="AP58" i="3" s="1"/>
  <c r="AP59" i="3" a="1"/>
  <c r="AP59" i="3" s="1"/>
  <c r="AQ58" i="3" a="1"/>
  <c r="AQ58" i="3" s="1"/>
  <c r="AD12" i="3" a="1"/>
  <c r="AD12" i="3" s="1"/>
  <c r="AP48" i="3" a="1"/>
  <c r="AP48" i="3" s="1"/>
  <c r="AP49" i="3" a="1"/>
  <c r="AP49" i="3" s="1"/>
  <c r="AQ48" i="3" a="1"/>
  <c r="AQ48" i="3" s="1"/>
  <c r="AP67" i="3" a="1"/>
  <c r="AP67" i="3" s="1"/>
  <c r="AQ66" i="3" a="1"/>
  <c r="AQ66" i="3" s="1"/>
  <c r="AP66" i="3" a="1"/>
  <c r="AP66" i="3" s="1"/>
  <c r="AP55" i="3" a="1"/>
  <c r="AP55" i="3" s="1"/>
  <c r="AQ54" i="3" a="1"/>
  <c r="AQ54" i="3" s="1"/>
  <c r="AP54" i="3" a="1"/>
  <c r="AP54" i="3" s="1"/>
  <c r="AQ50" i="3" a="1"/>
  <c r="AQ50" i="3" s="1"/>
  <c r="AP50" i="3" a="1"/>
  <c r="AP50" i="3" s="1"/>
  <c r="AP51" i="3" a="1"/>
  <c r="AP51" i="3" s="1"/>
  <c r="AK30" i="3" a="1"/>
  <c r="AD39" i="3" a="1"/>
  <c r="AM34" i="3" a="1"/>
  <c r="AJ31" i="3" a="1"/>
  <c r="AE38" i="3" a="1"/>
  <c r="AD37" i="3" a="1"/>
  <c r="AE22" i="3" a="1"/>
  <c r="AK24" i="3" a="1"/>
  <c r="AL15" i="3" a="1"/>
  <c r="AE36" i="3" a="1"/>
  <c r="AD27" i="3" a="1"/>
  <c r="AJ25" i="3" a="1"/>
  <c r="AD21" i="3" a="1"/>
  <c r="AE26" i="3" a="1"/>
  <c r="AM14" i="3" a="1"/>
  <c r="AE20" i="3" a="1"/>
  <c r="AL35" i="3" a="1"/>
  <c r="AD23" i="3" a="1"/>
  <c r="AE12" i="3" a="1"/>
  <c r="AD13" i="3" a="1"/>
  <c r="AE39" i="3" l="1"/>
  <c r="AM35" i="3"/>
  <c r="AK31" i="3"/>
  <c r="AE27" i="3"/>
  <c r="AK25" i="3"/>
  <c r="AE23" i="3"/>
  <c r="AE21" i="3"/>
  <c r="AP16" i="3" a="1"/>
  <c r="AP16" i="3" s="1"/>
  <c r="AM15" i="3"/>
  <c r="AE13" i="3"/>
  <c r="AQ16" i="3" a="1"/>
  <c r="AQ16" i="3" s="1"/>
  <c r="AR16" i="3" s="1" a="1"/>
  <c r="AR16" i="3" s="1"/>
  <c r="AS17" i="3" s="1"/>
  <c r="AP17" i="3" a="1"/>
  <c r="AP17" i="3" s="1"/>
  <c r="AE37" i="3"/>
  <c r="AP32" i="3" a="1"/>
  <c r="AP32" i="3" s="1"/>
  <c r="AQ71" i="3"/>
  <c r="AQ69" i="3"/>
  <c r="AQ67" i="3"/>
  <c r="AQ65" i="3"/>
  <c r="AQ63" i="3"/>
  <c r="AQ61" i="3"/>
  <c r="AQ59" i="3"/>
  <c r="AQ57" i="3"/>
  <c r="AQ55" i="3"/>
  <c r="AQ53" i="3"/>
  <c r="AQ51" i="3"/>
  <c r="AQ49" i="3"/>
  <c r="AQ47" i="3"/>
  <c r="AQ45" i="3"/>
  <c r="AQ43" i="3"/>
  <c r="AQ41" i="3"/>
  <c r="AD23" i="3"/>
  <c r="AL35" i="3"/>
  <c r="AE20" i="3"/>
  <c r="AM14" i="3"/>
  <c r="AE26" i="3"/>
  <c r="AD21" i="3"/>
  <c r="AJ25" i="3"/>
  <c r="AD27" i="3"/>
  <c r="AE36" i="3"/>
  <c r="AL15" i="3"/>
  <c r="AK24" i="3"/>
  <c r="AE22" i="3"/>
  <c r="AD37" i="3"/>
  <c r="AE38" i="3"/>
  <c r="AJ31" i="3"/>
  <c r="AM34" i="3"/>
  <c r="AD39" i="3"/>
  <c r="AK30" i="3"/>
  <c r="AL18" i="3" a="1"/>
  <c r="AL18" i="3" s="1"/>
  <c r="AJ28" i="3" a="1"/>
  <c r="AJ28" i="3" s="1"/>
  <c r="AD13" i="3"/>
  <c r="AE12" i="3"/>
  <c r="AS62" i="3" a="1"/>
  <c r="AS62" i="3" s="1"/>
  <c r="AR63" i="3" a="1"/>
  <c r="AR63" i="3" s="1"/>
  <c r="AR62" i="3" a="1"/>
  <c r="AR62" i="3" s="1"/>
  <c r="AS48" i="3" a="1"/>
  <c r="AS48" i="3" s="1"/>
  <c r="AR48" i="3" a="1"/>
  <c r="AR48" i="3" s="1"/>
  <c r="AR49" i="3" a="1"/>
  <c r="AR49" i="3" s="1"/>
  <c r="AR47" i="3" a="1"/>
  <c r="AR47" i="3" s="1"/>
  <c r="AS46" i="3" a="1"/>
  <c r="AS46" i="3" s="1"/>
  <c r="AR46" i="3" a="1"/>
  <c r="AR46" i="3" s="1"/>
  <c r="AR51" i="3" a="1"/>
  <c r="AR51" i="3" s="1"/>
  <c r="AS50" i="3" a="1"/>
  <c r="AS50" i="3" s="1"/>
  <c r="AR50" i="3" a="1"/>
  <c r="AR50" i="3" s="1"/>
  <c r="AR65" i="3" a="1"/>
  <c r="AR65" i="3" s="1"/>
  <c r="AS64" i="3" a="1"/>
  <c r="AS64" i="3" s="1"/>
  <c r="AR64" i="3" a="1"/>
  <c r="AR64" i="3" s="1"/>
  <c r="AS52" i="3" a="1"/>
  <c r="AS52" i="3" s="1"/>
  <c r="AR52" i="3" a="1"/>
  <c r="AR52" i="3" s="1"/>
  <c r="AR53" i="3" a="1"/>
  <c r="AR53" i="3" s="1"/>
  <c r="AS68" i="3" a="1"/>
  <c r="AS68" i="3" s="1"/>
  <c r="AR68" i="3" a="1"/>
  <c r="AR68" i="3" s="1"/>
  <c r="AR69" i="3" a="1"/>
  <c r="AR69" i="3" s="1"/>
  <c r="AR40" i="3" a="1"/>
  <c r="AR40" i="3" s="1"/>
  <c r="AR41" i="3" a="1"/>
  <c r="AR41" i="3" s="1"/>
  <c r="AS40" i="3" a="1"/>
  <c r="AS40" i="3" s="1"/>
  <c r="AS42" i="3" a="1"/>
  <c r="AS42" i="3" s="1"/>
  <c r="AR42" i="3" a="1"/>
  <c r="AR42" i="3" s="1"/>
  <c r="AR43" i="3" a="1"/>
  <c r="AR43" i="3" s="1"/>
  <c r="AS66" i="3" a="1"/>
  <c r="AS66" i="3" s="1"/>
  <c r="AR67" i="3" a="1"/>
  <c r="AR67" i="3" s="1"/>
  <c r="AR66" i="3" a="1"/>
  <c r="AR66" i="3" s="1"/>
  <c r="AS56" i="3" a="1"/>
  <c r="AS56" i="3" s="1"/>
  <c r="AR56" i="3" a="1"/>
  <c r="AR56" i="3" s="1"/>
  <c r="AR57" i="3" a="1"/>
  <c r="AR57" i="3" s="1"/>
  <c r="AR55" i="3" a="1"/>
  <c r="AR55" i="3" s="1"/>
  <c r="AS54" i="3" a="1"/>
  <c r="AS54" i="3" s="1"/>
  <c r="AR54" i="3" a="1"/>
  <c r="AR54" i="3" s="1"/>
  <c r="AR45" i="3" a="1"/>
  <c r="AR45" i="3" s="1"/>
  <c r="AS44" i="3" a="1"/>
  <c r="AS44" i="3" s="1"/>
  <c r="AR44" i="3" a="1"/>
  <c r="AR44" i="3" s="1"/>
  <c r="AR71" i="3" a="1"/>
  <c r="AR71" i="3" s="1"/>
  <c r="AS70" i="3" a="1"/>
  <c r="AS70" i="3" s="1"/>
  <c r="AR70" i="3" a="1"/>
  <c r="AR70" i="3" s="1"/>
  <c r="AS58" i="3" a="1"/>
  <c r="AS58" i="3" s="1"/>
  <c r="AR59" i="3" a="1"/>
  <c r="AR59" i="3" s="1"/>
  <c r="AR58" i="3" a="1"/>
  <c r="AR58" i="3" s="1"/>
  <c r="AS60" i="3" a="1"/>
  <c r="AS60" i="3" s="1"/>
  <c r="AR60" i="3" a="1"/>
  <c r="AR60" i="3" s="1"/>
  <c r="AR61" i="3" a="1"/>
  <c r="AR61" i="3" s="1"/>
  <c r="AM18" i="3" a="1"/>
  <c r="AJ29" i="3" a="1"/>
  <c r="AQ32" i="3" a="1"/>
  <c r="AK28" i="3" a="1"/>
  <c r="AP33" i="3" a="1"/>
  <c r="AL19" i="3" a="1"/>
  <c r="AK29" i="3" l="1"/>
  <c r="AM19" i="3"/>
  <c r="AR17" i="3" a="1"/>
  <c r="AR17" i="3" s="1"/>
  <c r="AQ17" i="3"/>
  <c r="AS16" i="3" a="1"/>
  <c r="AS16" i="3" s="1"/>
  <c r="AQ33" i="3"/>
  <c r="AS71" i="3"/>
  <c r="AS69" i="3"/>
  <c r="AS67" i="3"/>
  <c r="AS65" i="3"/>
  <c r="AS63" i="3"/>
  <c r="AS61" i="3"/>
  <c r="AS59" i="3"/>
  <c r="AS57" i="3"/>
  <c r="AS55" i="3"/>
  <c r="AS53" i="3"/>
  <c r="AS51" i="3"/>
  <c r="AS49" i="3"/>
  <c r="AS47" i="3"/>
  <c r="AS45" i="3"/>
  <c r="AS43" i="3"/>
  <c r="AS41" i="3"/>
  <c r="AL19" i="3"/>
  <c r="AP33" i="3"/>
  <c r="AK28" i="3"/>
  <c r="AQ32" i="3"/>
  <c r="AJ29" i="3"/>
  <c r="AM18" i="3"/>
  <c r="AF38" i="3" a="1"/>
  <c r="AF38" i="3" s="1"/>
  <c r="AF26" i="3" a="1"/>
  <c r="AF26" i="3" s="1"/>
  <c r="AL30" i="3" a="1"/>
  <c r="AL30" i="3" s="1"/>
  <c r="AL24" i="3" a="1"/>
  <c r="AL24" i="3" s="1"/>
  <c r="AN14" i="3" a="1"/>
  <c r="AN14" i="3" s="1"/>
  <c r="AF22" i="3" a="1"/>
  <c r="AF22" i="3" s="1"/>
  <c r="AF20" i="3" a="1"/>
  <c r="AF20" i="3" s="1"/>
  <c r="AN34" i="3" a="1"/>
  <c r="AN34" i="3" s="1"/>
  <c r="AF36" i="3" a="1"/>
  <c r="AF36" i="3" s="1"/>
  <c r="AT48" i="3" a="1"/>
  <c r="AT48" i="3" s="1"/>
  <c r="AT49" i="3" a="1"/>
  <c r="AT49" i="3" s="1"/>
  <c r="AU48" i="3" a="1"/>
  <c r="AU48" i="3" s="1"/>
  <c r="AU50" i="3" a="1"/>
  <c r="AU50" i="3" s="1"/>
  <c r="AT50" i="3" a="1"/>
  <c r="AT50" i="3" s="1"/>
  <c r="AT51" i="3" a="1"/>
  <c r="AT51" i="3" s="1"/>
  <c r="AT56" i="3" a="1"/>
  <c r="AT56" i="3" s="1"/>
  <c r="AT57" i="3" a="1"/>
  <c r="AT57" i="3" s="1"/>
  <c r="AU56" i="3" a="1"/>
  <c r="AU56" i="3" s="1"/>
  <c r="AU60" i="3" a="1"/>
  <c r="AU60" i="3" s="1"/>
  <c r="AT61" i="3" a="1"/>
  <c r="AT61" i="3" s="1"/>
  <c r="AT60" i="3" a="1"/>
  <c r="AT60" i="3" s="1"/>
  <c r="AU44" i="3" a="1"/>
  <c r="AU44" i="3" s="1"/>
  <c r="AT44" i="3" a="1"/>
  <c r="AT44" i="3" s="1"/>
  <c r="AT45" i="3" a="1"/>
  <c r="AT45" i="3" s="1"/>
  <c r="AT67" i="3" a="1"/>
  <c r="AT67" i="3" s="1"/>
  <c r="AU66" i="3" a="1"/>
  <c r="AU66" i="3" s="1"/>
  <c r="AT66" i="3" a="1"/>
  <c r="AT66" i="3" s="1"/>
  <c r="AU58" i="3" a="1"/>
  <c r="AU58" i="3" s="1"/>
  <c r="AT58" i="3" a="1"/>
  <c r="AT58" i="3" s="1"/>
  <c r="AT59" i="3" a="1"/>
  <c r="AT59" i="3" s="1"/>
  <c r="AU70" i="3" a="1"/>
  <c r="AU70" i="3" s="1"/>
  <c r="AT70" i="3" a="1"/>
  <c r="AT70" i="3" s="1"/>
  <c r="AT71" i="3" a="1"/>
  <c r="AT71" i="3" s="1"/>
  <c r="AT53" i="3" a="1"/>
  <c r="AT53" i="3" s="1"/>
  <c r="AU52" i="3" a="1"/>
  <c r="AU52" i="3" s="1"/>
  <c r="AT52" i="3" a="1"/>
  <c r="AT52" i="3" s="1"/>
  <c r="AT47" i="3" a="1"/>
  <c r="AT47" i="3" s="1"/>
  <c r="AU46" i="3" a="1"/>
  <c r="AU46" i="3" s="1"/>
  <c r="AT46" i="3" a="1"/>
  <c r="AT46" i="3" s="1"/>
  <c r="AT55" i="3" a="1"/>
  <c r="AT55" i="3" s="1"/>
  <c r="AU54" i="3" a="1"/>
  <c r="AU54" i="3" s="1"/>
  <c r="AT54" i="3" a="1"/>
  <c r="AT54" i="3" s="1"/>
  <c r="AT42" i="3" a="1"/>
  <c r="AT42" i="3" s="1"/>
  <c r="AT43" i="3" a="1"/>
  <c r="AT43" i="3" s="1"/>
  <c r="AU42" i="3" a="1"/>
  <c r="AU42" i="3" s="1"/>
  <c r="AF12" i="3" a="1"/>
  <c r="AF12" i="3" s="1"/>
  <c r="AT41" i="3" a="1"/>
  <c r="AT41" i="3" s="1"/>
  <c r="AU40" i="3" a="1"/>
  <c r="AU40" i="3" s="1"/>
  <c r="AT40" i="3" a="1"/>
  <c r="AT40" i="3" s="1"/>
  <c r="AT68" i="3" a="1"/>
  <c r="AT68" i="3" s="1"/>
  <c r="AU68" i="3" a="1"/>
  <c r="AU68" i="3" s="1"/>
  <c r="AT69" i="3" a="1"/>
  <c r="AT69" i="3" s="1"/>
  <c r="AU64" i="3" a="1"/>
  <c r="AU64" i="3" s="1"/>
  <c r="AT64" i="3" a="1"/>
  <c r="AT64" i="3" s="1"/>
  <c r="AT65" i="3" a="1"/>
  <c r="AT65" i="3" s="1"/>
  <c r="AT62" i="3" a="1"/>
  <c r="AT62" i="3" s="1"/>
  <c r="AT63" i="3" a="1"/>
  <c r="AT63" i="3" s="1"/>
  <c r="AU62" i="3" a="1"/>
  <c r="AU62" i="3" s="1"/>
  <c r="AF39" i="3" a="1"/>
  <c r="AF23" i="3" a="1"/>
  <c r="AF37" i="3" a="1"/>
  <c r="AG38" i="3" a="1"/>
  <c r="AM24" i="3" a="1"/>
  <c r="AG22" i="3" a="1"/>
  <c r="AG36" i="3" a="1"/>
  <c r="AF21" i="3" a="1"/>
  <c r="AL25" i="3" a="1"/>
  <c r="AG26" i="3" a="1"/>
  <c r="AG20" i="3" a="1"/>
  <c r="AF27" i="3" a="1"/>
  <c r="AN15" i="3" a="1"/>
  <c r="AN35" i="3" a="1"/>
  <c r="AL31" i="3" a="1"/>
  <c r="AO14" i="3" a="1"/>
  <c r="AO34" i="3" a="1"/>
  <c r="AM30" i="3" a="1"/>
  <c r="AG12" i="3" a="1"/>
  <c r="AF13" i="3" a="1"/>
  <c r="AG39" i="3" l="1"/>
  <c r="AO35" i="3"/>
  <c r="AM31" i="3"/>
  <c r="AG27" i="3"/>
  <c r="AM25" i="3"/>
  <c r="AG23" i="3"/>
  <c r="AG21" i="3"/>
  <c r="AT16" i="3" a="1"/>
  <c r="AT16" i="3" s="1"/>
  <c r="AO15" i="3"/>
  <c r="AU16" i="3" a="1"/>
  <c r="AU16" i="3" s="1"/>
  <c r="AV16" i="3" s="1" a="1"/>
  <c r="AV16" i="3" s="1"/>
  <c r="AW17" i="3" s="1"/>
  <c r="AG13" i="3"/>
  <c r="AT17" i="3" a="1"/>
  <c r="AT17" i="3" s="1"/>
  <c r="AG37" i="3"/>
  <c r="AU71" i="3"/>
  <c r="AU69" i="3"/>
  <c r="AU67" i="3"/>
  <c r="AU65" i="3"/>
  <c r="AU63" i="3"/>
  <c r="AU61" i="3"/>
  <c r="AU59" i="3"/>
  <c r="AU57" i="3"/>
  <c r="AU55" i="3"/>
  <c r="AU53" i="3"/>
  <c r="AU51" i="3"/>
  <c r="AU49" i="3"/>
  <c r="AU47" i="3"/>
  <c r="AU45" i="3"/>
  <c r="AU43" i="3"/>
  <c r="AU41" i="3"/>
  <c r="AM30" i="3"/>
  <c r="AO34" i="3"/>
  <c r="AO14" i="3"/>
  <c r="AL31" i="3"/>
  <c r="AN35" i="3"/>
  <c r="AN15" i="3"/>
  <c r="AF27" i="3"/>
  <c r="AG20" i="3"/>
  <c r="AG26" i="3"/>
  <c r="AL25" i="3"/>
  <c r="AF21" i="3"/>
  <c r="AG36" i="3"/>
  <c r="AG22" i="3"/>
  <c r="AM24" i="3"/>
  <c r="AG38" i="3"/>
  <c r="AF37" i="3"/>
  <c r="AF23" i="3"/>
  <c r="AF39" i="3"/>
  <c r="AN18" i="3" a="1"/>
  <c r="AN18" i="3" s="1"/>
  <c r="AR32" i="3" a="1"/>
  <c r="AR32" i="3" s="1"/>
  <c r="AL28" i="3" a="1"/>
  <c r="AL28" i="3" s="1"/>
  <c r="AF13" i="3"/>
  <c r="AG12" i="3"/>
  <c r="AW52" i="3" a="1"/>
  <c r="AW52" i="3" s="1"/>
  <c r="AV52" i="3" a="1"/>
  <c r="AV52" i="3" s="1"/>
  <c r="AV53" i="3" a="1"/>
  <c r="AV53" i="3" s="1"/>
  <c r="AV40" i="3" a="1"/>
  <c r="AV40" i="3" s="1"/>
  <c r="AV41" i="3" a="1"/>
  <c r="AV41" i="3" s="1"/>
  <c r="AW40" i="3" a="1"/>
  <c r="AW40" i="3" s="1"/>
  <c r="AV45" i="3" a="1"/>
  <c r="AV45" i="3" s="1"/>
  <c r="AW44" i="3" a="1"/>
  <c r="AW44" i="3" s="1"/>
  <c r="AV44" i="3" a="1"/>
  <c r="AV44" i="3" s="1"/>
  <c r="AV49" i="3" a="1"/>
  <c r="AV49" i="3" s="1"/>
  <c r="AW48" i="3" a="1"/>
  <c r="AW48" i="3" s="1"/>
  <c r="AV48" i="3" a="1"/>
  <c r="AV48" i="3" s="1"/>
  <c r="AV71" i="3" a="1"/>
  <c r="AV71" i="3" s="1"/>
  <c r="AW70" i="3" a="1"/>
  <c r="AW70" i="3" s="1"/>
  <c r="AV70" i="3" a="1"/>
  <c r="AV70" i="3" s="1"/>
  <c r="AW60" i="3" a="1"/>
  <c r="AW60" i="3" s="1"/>
  <c r="AV60" i="3" a="1"/>
  <c r="AV60" i="3" s="1"/>
  <c r="AV61" i="3" a="1"/>
  <c r="AV61" i="3" s="1"/>
  <c r="AV69" i="3" a="1"/>
  <c r="AV69" i="3" s="1"/>
  <c r="AW68" i="3" a="1"/>
  <c r="AW68" i="3" s="1"/>
  <c r="AV68" i="3" a="1"/>
  <c r="AV68" i="3" s="1"/>
  <c r="AV46" i="3" a="1"/>
  <c r="AV46" i="3" s="1"/>
  <c r="AV47" i="3" a="1"/>
  <c r="AV47" i="3" s="1"/>
  <c r="AW46" i="3" a="1"/>
  <c r="AW46" i="3" s="1"/>
  <c r="AW66" i="3" a="1"/>
  <c r="AW66" i="3" s="1"/>
  <c r="AV67" i="3" a="1"/>
  <c r="AV67" i="3" s="1"/>
  <c r="AV66" i="3" a="1"/>
  <c r="AV66" i="3" s="1"/>
  <c r="AV57" i="3" a="1"/>
  <c r="AV57" i="3" s="1"/>
  <c r="AW56" i="3" a="1"/>
  <c r="AW56" i="3" s="1"/>
  <c r="AV56" i="3" a="1"/>
  <c r="AV56" i="3" s="1"/>
  <c r="AV65" i="3" a="1"/>
  <c r="AV65" i="3" s="1"/>
  <c r="AW64" i="3" a="1"/>
  <c r="AW64" i="3" s="1"/>
  <c r="AV64" i="3" a="1"/>
  <c r="AV64" i="3" s="1"/>
  <c r="AV43" i="3" a="1"/>
  <c r="AV43" i="3" s="1"/>
  <c r="AW42" i="3" a="1"/>
  <c r="AW42" i="3" s="1"/>
  <c r="AV42" i="3" a="1"/>
  <c r="AV42" i="3" s="1"/>
  <c r="AW62" i="3" a="1"/>
  <c r="AW62" i="3" s="1"/>
  <c r="AV63" i="3" a="1"/>
  <c r="AV63" i="3" s="1"/>
  <c r="AV62" i="3" a="1"/>
  <c r="AV62" i="3" s="1"/>
  <c r="AV51" i="3" a="1"/>
  <c r="AV51" i="3" s="1"/>
  <c r="AV50" i="3" a="1"/>
  <c r="AV50" i="3" s="1"/>
  <c r="AW50" i="3" a="1"/>
  <c r="AW50" i="3" s="1"/>
  <c r="AW54" i="3" a="1"/>
  <c r="AW54" i="3" s="1"/>
  <c r="AV54" i="3" a="1"/>
  <c r="AV54" i="3" s="1"/>
  <c r="AV55" i="3" a="1"/>
  <c r="AV55" i="3" s="1"/>
  <c r="AV59" i="3" a="1"/>
  <c r="AV59" i="3" s="1"/>
  <c r="AW58" i="3" a="1"/>
  <c r="AW58" i="3" s="1"/>
  <c r="AV58" i="3" a="1"/>
  <c r="AV58" i="3" s="1"/>
  <c r="AR33" i="3" a="1"/>
  <c r="AL29" i="3" a="1"/>
  <c r="AM28" i="3" a="1"/>
  <c r="AO18" i="3" a="1"/>
  <c r="AN19" i="3" a="1"/>
  <c r="AS32" i="3" a="1"/>
  <c r="AM29" i="3" l="1"/>
  <c r="AW16" i="3" a="1"/>
  <c r="AO19" i="3"/>
  <c r="AV17" i="3" a="1"/>
  <c r="AV17" i="3" s="1"/>
  <c r="AU17" i="3"/>
  <c r="AS33" i="3"/>
  <c r="AW71" i="3"/>
  <c r="AW69" i="3"/>
  <c r="AW67" i="3"/>
  <c r="AW65" i="3"/>
  <c r="AW63" i="3"/>
  <c r="AW61" i="3"/>
  <c r="AW59" i="3"/>
  <c r="AW57" i="3"/>
  <c r="AW55" i="3"/>
  <c r="AW53" i="3"/>
  <c r="AW51" i="3"/>
  <c r="AW49" i="3"/>
  <c r="AW47" i="3"/>
  <c r="AW45" i="3"/>
  <c r="AW43" i="3"/>
  <c r="AW41" i="3"/>
  <c r="AS32" i="3"/>
  <c r="AN19" i="3"/>
  <c r="AO18" i="3"/>
  <c r="AW16" i="3"/>
  <c r="AM28" i="3"/>
  <c r="AL29" i="3"/>
  <c r="AR33" i="3"/>
  <c r="AN24" i="3" a="1"/>
  <c r="AN24" i="3" s="1"/>
  <c r="AH22" i="3" a="1"/>
  <c r="AH22" i="3" s="1"/>
  <c r="AH36" i="3" a="1"/>
  <c r="AH36" i="3" s="1"/>
  <c r="AP14" i="3" a="1"/>
  <c r="AP14" i="3" s="1"/>
  <c r="AH26" i="3" a="1"/>
  <c r="AH26" i="3" s="1"/>
  <c r="AP34" i="3" a="1"/>
  <c r="AP34" i="3" s="1"/>
  <c r="AH20" i="3" a="1"/>
  <c r="AH20" i="3" s="1"/>
  <c r="AN30" i="3" a="1"/>
  <c r="AN30" i="3" s="1"/>
  <c r="AH38" i="3" a="1"/>
  <c r="AH38" i="3" s="1"/>
  <c r="AX71" i="3" a="1"/>
  <c r="AX71" i="3" s="1"/>
  <c r="AY70" i="3" a="1"/>
  <c r="AY70" i="3" s="1"/>
  <c r="AX70" i="3" a="1"/>
  <c r="AX70" i="3" s="1"/>
  <c r="AX42" i="3" a="1"/>
  <c r="AX42" i="3" s="1"/>
  <c r="AX43" i="3" a="1"/>
  <c r="AX43" i="3" s="1"/>
  <c r="AY42" i="3" a="1"/>
  <c r="AY42" i="3" s="1"/>
  <c r="AY66" i="3" a="1"/>
  <c r="AY66" i="3" s="1"/>
  <c r="AX67" i="3" a="1"/>
  <c r="AX67" i="3" s="1"/>
  <c r="AX66" i="3" a="1"/>
  <c r="AX66" i="3" s="1"/>
  <c r="AX68" i="3" a="1"/>
  <c r="AX68" i="3" s="1"/>
  <c r="AY68" i="3" a="1"/>
  <c r="AY68" i="3" s="1"/>
  <c r="AX69" i="3" a="1"/>
  <c r="AX69" i="3" s="1"/>
  <c r="AX54" i="3" a="1"/>
  <c r="AX54" i="3" s="1"/>
  <c r="AX55" i="3" a="1"/>
  <c r="AX55" i="3" s="1"/>
  <c r="AY54" i="3" a="1"/>
  <c r="AY54" i="3" s="1"/>
  <c r="AX48" i="3" a="1"/>
  <c r="AX48" i="3" s="1"/>
  <c r="AX49" i="3" a="1"/>
  <c r="AX49" i="3" s="1"/>
  <c r="AY48" i="3" a="1"/>
  <c r="AY48" i="3" s="1"/>
  <c r="AY58" i="3" a="1"/>
  <c r="AY58" i="3" s="1"/>
  <c r="AX58" i="3" a="1"/>
  <c r="AX58" i="3" s="1"/>
  <c r="AX59" i="3" a="1"/>
  <c r="AX59" i="3" s="1"/>
  <c r="AX51" i="3" a="1"/>
  <c r="AX51" i="3" s="1"/>
  <c r="AY50" i="3" a="1"/>
  <c r="AY50" i="3" s="1"/>
  <c r="AX50" i="3" a="1"/>
  <c r="AX50" i="3" s="1"/>
  <c r="AY64" i="3" a="1"/>
  <c r="AY64" i="3" s="1"/>
  <c r="AX64" i="3" a="1"/>
  <c r="AX64" i="3" s="1"/>
  <c r="AX65" i="3" a="1"/>
  <c r="AX65" i="3" s="1"/>
  <c r="AX56" i="3" a="1"/>
  <c r="AX56" i="3" s="1"/>
  <c r="AX57" i="3" a="1"/>
  <c r="AX57" i="3" s="1"/>
  <c r="AY56" i="3" a="1"/>
  <c r="AY56" i="3" s="1"/>
  <c r="AY60" i="3" a="1"/>
  <c r="AY60" i="3" s="1"/>
  <c r="AX60" i="3" a="1"/>
  <c r="AX60" i="3" s="1"/>
  <c r="AX61" i="3" a="1"/>
  <c r="AX61" i="3" s="1"/>
  <c r="AY44" i="3" a="1"/>
  <c r="AY44" i="3" s="1"/>
  <c r="AX44" i="3" a="1"/>
  <c r="AX44" i="3" s="1"/>
  <c r="AX45" i="3" a="1"/>
  <c r="AX45" i="3" s="1"/>
  <c r="AY40" i="3" a="1"/>
  <c r="AY40" i="3" s="1"/>
  <c r="AX41" i="3" a="1"/>
  <c r="AX41" i="3" s="1"/>
  <c r="AX40" i="3" a="1"/>
  <c r="AX40" i="3" s="1"/>
  <c r="AX53" i="3" a="1"/>
  <c r="AX53" i="3" s="1"/>
  <c r="AY52" i="3" a="1"/>
  <c r="AY52" i="3" s="1"/>
  <c r="AX52" i="3" a="1"/>
  <c r="AX52" i="3" s="1"/>
  <c r="AX47" i="3" a="1"/>
  <c r="AX47" i="3" s="1"/>
  <c r="AY46" i="3" a="1"/>
  <c r="AY46" i="3" s="1"/>
  <c r="AX46" i="3" a="1"/>
  <c r="AX46" i="3" s="1"/>
  <c r="AX62" i="3" a="1"/>
  <c r="AX62" i="3" s="1"/>
  <c r="AX63" i="3" a="1"/>
  <c r="AX63" i="3" s="1"/>
  <c r="AY62" i="3" a="1"/>
  <c r="AY62" i="3" s="1"/>
  <c r="AH12" i="3" a="1"/>
  <c r="AH12" i="3" s="1"/>
  <c r="AI36" i="3" a="1"/>
  <c r="AI38" i="3" a="1"/>
  <c r="AH23" i="3" a="1"/>
  <c r="AN25" i="3" a="1"/>
  <c r="AQ34" i="3" a="1"/>
  <c r="AH27" i="3" a="1"/>
  <c r="AP35" i="3" a="1"/>
  <c r="AO24" i="3" a="1"/>
  <c r="AQ14" i="3" a="1"/>
  <c r="AI20" i="3" a="1"/>
  <c r="AH39" i="3" a="1"/>
  <c r="AI22" i="3" a="1"/>
  <c r="AP15" i="3" a="1"/>
  <c r="AH21" i="3" a="1"/>
  <c r="AN31" i="3" a="1"/>
  <c r="AI26" i="3" a="1"/>
  <c r="AY16" i="3" a="1"/>
  <c r="AH37" i="3" a="1"/>
  <c r="AO30" i="3" a="1"/>
  <c r="AX17" i="3" a="1"/>
  <c r="AH13" i="3" a="1"/>
  <c r="AI12" i="3" a="1"/>
  <c r="AI39" i="3" l="1"/>
  <c r="AQ35" i="3"/>
  <c r="AO31" i="3"/>
  <c r="AI27" i="3"/>
  <c r="AO25" i="3"/>
  <c r="AI23" i="3"/>
  <c r="AI21" i="3"/>
  <c r="AX16" i="3" a="1"/>
  <c r="AX16" i="3" s="1"/>
  <c r="AQ15" i="3"/>
  <c r="AI13" i="3"/>
  <c r="AI37" i="3"/>
  <c r="AY71" i="3"/>
  <c r="AY69" i="3"/>
  <c r="AY67" i="3"/>
  <c r="AY65" i="3"/>
  <c r="AY63" i="3"/>
  <c r="AY61" i="3"/>
  <c r="AY59" i="3"/>
  <c r="AY57" i="3"/>
  <c r="AY55" i="3"/>
  <c r="AY53" i="3"/>
  <c r="AY51" i="3"/>
  <c r="AY49" i="3"/>
  <c r="AY47" i="3"/>
  <c r="AY45" i="3"/>
  <c r="AY43" i="3"/>
  <c r="AY41" i="3"/>
  <c r="AX17" i="3"/>
  <c r="AO30" i="3"/>
  <c r="AH37" i="3"/>
  <c r="AY16" i="3"/>
  <c r="AZ16" i="3" s="1" a="1"/>
  <c r="AZ16" i="3" s="1"/>
  <c r="BA17" i="3" s="1"/>
  <c r="AI26" i="3"/>
  <c r="AN31" i="3"/>
  <c r="AH21" i="3"/>
  <c r="AP15" i="3"/>
  <c r="AI22" i="3"/>
  <c r="AH39" i="3"/>
  <c r="AI20" i="3"/>
  <c r="AQ14" i="3"/>
  <c r="AO24" i="3"/>
  <c r="AP35" i="3"/>
  <c r="AH27" i="3"/>
  <c r="AQ34" i="3"/>
  <c r="AN25" i="3"/>
  <c r="AH23" i="3"/>
  <c r="AI38" i="3"/>
  <c r="AI36" i="3"/>
  <c r="AN28" i="3" a="1"/>
  <c r="AN28" i="3" s="1"/>
  <c r="AP18" i="3" a="1"/>
  <c r="AP18" i="3" s="1"/>
  <c r="AT32" i="3" a="1"/>
  <c r="AT32" i="3" s="1"/>
  <c r="AI12" i="3"/>
  <c r="AH13" i="3"/>
  <c r="AZ57" i="3" a="1"/>
  <c r="AZ57" i="3" s="1"/>
  <c r="BA56" i="3" a="1"/>
  <c r="BA56" i="3" s="1"/>
  <c r="AZ56" i="3" a="1"/>
  <c r="AZ56" i="3" s="1"/>
  <c r="AZ67" i="3" a="1"/>
  <c r="AZ67" i="3" s="1"/>
  <c r="BA66" i="3" a="1"/>
  <c r="BA66" i="3" s="1"/>
  <c r="AZ66" i="3" a="1"/>
  <c r="AZ66" i="3" s="1"/>
  <c r="AZ71" i="3" a="1"/>
  <c r="AZ71" i="3" s="1"/>
  <c r="BA70" i="3" a="1"/>
  <c r="BA70" i="3" s="1"/>
  <c r="AZ70" i="3" a="1"/>
  <c r="AZ70" i="3" s="1"/>
  <c r="AZ63" i="3" a="1"/>
  <c r="AZ63" i="3" s="1"/>
  <c r="BA62" i="3" a="1"/>
  <c r="BA62" i="3" s="1"/>
  <c r="AZ62" i="3" a="1"/>
  <c r="AZ62" i="3" s="1"/>
  <c r="AZ61" i="3" a="1"/>
  <c r="AZ61" i="3" s="1"/>
  <c r="BA60" i="3" a="1"/>
  <c r="BA60" i="3" s="1"/>
  <c r="AZ60" i="3" a="1"/>
  <c r="AZ60" i="3" s="1"/>
  <c r="AZ59" i="3" a="1"/>
  <c r="AZ59" i="3" s="1"/>
  <c r="AZ58" i="3" a="1"/>
  <c r="AZ58" i="3" s="1"/>
  <c r="BA58" i="3" a="1"/>
  <c r="BA58" i="3" s="1"/>
  <c r="AZ41" i="3" a="1"/>
  <c r="AZ41" i="3" s="1"/>
  <c r="AZ40" i="3" a="1"/>
  <c r="AZ40" i="3" s="1"/>
  <c r="BA40" i="3" a="1"/>
  <c r="BA40" i="3" s="1"/>
  <c r="AZ65" i="3" a="1"/>
  <c r="AZ65" i="3" s="1"/>
  <c r="BA64" i="3" a="1"/>
  <c r="BA64" i="3" s="1"/>
  <c r="AZ64" i="3" a="1"/>
  <c r="AZ64" i="3" s="1"/>
  <c r="AZ43" i="3" a="1"/>
  <c r="AZ43" i="3" s="1"/>
  <c r="BA42" i="3" a="1"/>
  <c r="BA42" i="3" s="1"/>
  <c r="AZ42" i="3" a="1"/>
  <c r="AZ42" i="3" s="1"/>
  <c r="AZ46" i="3" a="1"/>
  <c r="AZ46" i="3" s="1"/>
  <c r="AZ47" i="3" a="1"/>
  <c r="AZ47" i="3" s="1"/>
  <c r="BA46" i="3" a="1"/>
  <c r="BA46" i="3" s="1"/>
  <c r="AZ55" i="3" a="1"/>
  <c r="AZ55" i="3" s="1"/>
  <c r="BA54" i="3" a="1"/>
  <c r="BA54" i="3" s="1"/>
  <c r="AZ54" i="3" a="1"/>
  <c r="AZ54" i="3" s="1"/>
  <c r="AZ51" i="3" a="1"/>
  <c r="AZ51" i="3" s="1"/>
  <c r="BA50" i="3" a="1"/>
  <c r="BA50" i="3" s="1"/>
  <c r="AZ50" i="3" a="1"/>
  <c r="AZ50" i="3" s="1"/>
  <c r="AZ49" i="3" a="1"/>
  <c r="AZ49" i="3" s="1"/>
  <c r="BA48" i="3" a="1"/>
  <c r="BA48" i="3" s="1"/>
  <c r="AZ48" i="3" a="1"/>
  <c r="AZ48" i="3" s="1"/>
  <c r="AZ53" i="3" a="1"/>
  <c r="AZ53" i="3" s="1"/>
  <c r="BA52" i="3" a="1"/>
  <c r="BA52" i="3" s="1"/>
  <c r="AZ52" i="3" a="1"/>
  <c r="AZ52" i="3" s="1"/>
  <c r="AZ45" i="3" a="1"/>
  <c r="AZ45" i="3" s="1"/>
  <c r="BA44" i="3" a="1"/>
  <c r="BA44" i="3" s="1"/>
  <c r="AZ44" i="3" a="1"/>
  <c r="AZ44" i="3" s="1"/>
  <c r="AZ69" i="3" a="1"/>
  <c r="AZ69" i="3" s="1"/>
  <c r="BA68" i="3" a="1"/>
  <c r="BA68" i="3" s="1"/>
  <c r="AZ68" i="3" a="1"/>
  <c r="AZ68" i="3" s="1"/>
  <c r="AP19" i="3" a="1"/>
  <c r="AU32" i="3" a="1"/>
  <c r="AT33" i="3" a="1"/>
  <c r="AO28" i="3" a="1"/>
  <c r="AN29" i="3" a="1"/>
  <c r="AQ18" i="3" a="1"/>
  <c r="AO29" i="3" l="1"/>
  <c r="AQ19" i="3"/>
  <c r="BA16" i="3" a="1"/>
  <c r="BA16" i="3" s="1"/>
  <c r="AZ17" i="3" a="1"/>
  <c r="AZ17" i="3" s="1"/>
  <c r="AY17" i="3"/>
  <c r="AU33" i="3"/>
  <c r="BA71" i="3"/>
  <c r="BA69" i="3"/>
  <c r="BA67" i="3"/>
  <c r="BA65" i="3"/>
  <c r="BA63" i="3"/>
  <c r="BA61" i="3"/>
  <c r="BA59" i="3"/>
  <c r="BA57" i="3"/>
  <c r="BA55" i="3"/>
  <c r="BA53" i="3"/>
  <c r="BA51" i="3"/>
  <c r="BA49" i="3"/>
  <c r="BA47" i="3"/>
  <c r="BA45" i="3"/>
  <c r="BA43" i="3"/>
  <c r="BA41" i="3"/>
  <c r="AQ18" i="3"/>
  <c r="AN29" i="3"/>
  <c r="AO28" i="3"/>
  <c r="AT33" i="3"/>
  <c r="AU32" i="3"/>
  <c r="AP19" i="3"/>
  <c r="AR34" i="3" a="1"/>
  <c r="AR34" i="3" s="1"/>
  <c r="AP24" i="3" a="1"/>
  <c r="AP24" i="3" s="1"/>
  <c r="AJ26" i="3" a="1"/>
  <c r="AJ26" i="3" s="1"/>
  <c r="AJ36" i="3" a="1"/>
  <c r="AJ36" i="3" s="1"/>
  <c r="AR14" i="3" a="1"/>
  <c r="AR14" i="3" s="1"/>
  <c r="AJ38" i="3" a="1"/>
  <c r="AJ38" i="3" s="1"/>
  <c r="AJ20" i="3" a="1"/>
  <c r="AJ20" i="3" s="1"/>
  <c r="AP30" i="3" a="1"/>
  <c r="AP30" i="3" s="1"/>
  <c r="AJ22" i="3" a="1"/>
  <c r="AJ22" i="3" s="1"/>
  <c r="BB56" i="3" a="1"/>
  <c r="BB56" i="3" s="1"/>
  <c r="BB57" i="3" a="1"/>
  <c r="BB57" i="3" s="1"/>
  <c r="BC56" i="3" a="1"/>
  <c r="BC56" i="3" s="1"/>
  <c r="BC50" i="3" a="1"/>
  <c r="BC50" i="3" s="1"/>
  <c r="BB50" i="3" a="1"/>
  <c r="BB50" i="3" s="1"/>
  <c r="BB51" i="3" a="1"/>
  <c r="BB51" i="3" s="1"/>
  <c r="BB68" i="3" a="1"/>
  <c r="BB68" i="3" s="1"/>
  <c r="BC68" i="3" a="1"/>
  <c r="BC68" i="3" s="1"/>
  <c r="BB69" i="3" a="1"/>
  <c r="BB69" i="3" s="1"/>
  <c r="BC54" i="3" a="1"/>
  <c r="BC54" i="3" s="1"/>
  <c r="BB55" i="3" a="1"/>
  <c r="BB55" i="3" s="1"/>
  <c r="BB54" i="3" a="1"/>
  <c r="BB54" i="3" s="1"/>
  <c r="BC46" i="3" a="1"/>
  <c r="BC46" i="3" s="1"/>
  <c r="BB47" i="3" a="1"/>
  <c r="BB47" i="3" s="1"/>
  <c r="BB46" i="3" a="1"/>
  <c r="BB46" i="3" s="1"/>
  <c r="BC64" i="3" a="1"/>
  <c r="BC64" i="3" s="1"/>
  <c r="BB65" i="3" a="1"/>
  <c r="BB65" i="3" s="1"/>
  <c r="BB64" i="3" a="1"/>
  <c r="BB64" i="3" s="1"/>
  <c r="BC60" i="3" a="1"/>
  <c r="BC60" i="3" s="1"/>
  <c r="BB61" i="3" a="1"/>
  <c r="BB61" i="3" s="1"/>
  <c r="BB60" i="3" a="1"/>
  <c r="BB60" i="3" s="1"/>
  <c r="BB43" i="3" a="1"/>
  <c r="BB43" i="3" s="1"/>
  <c r="BB42" i="3" a="1"/>
  <c r="BB42" i="3" s="1"/>
  <c r="BC42" i="3" a="1"/>
  <c r="BC42" i="3" s="1"/>
  <c r="BC40" i="3" a="1"/>
  <c r="BC40" i="3" s="1"/>
  <c r="BB40" i="3" a="1"/>
  <c r="BB40" i="3" s="1"/>
  <c r="BB41" i="3" a="1"/>
  <c r="BB41" i="3" s="1"/>
  <c r="BC70" i="3" a="1"/>
  <c r="BC70" i="3" s="1"/>
  <c r="BB71" i="3" a="1"/>
  <c r="BB71" i="3" s="1"/>
  <c r="BB70" i="3" a="1"/>
  <c r="BB70" i="3" s="1"/>
  <c r="BB67" i="3" a="1"/>
  <c r="BB67" i="3" s="1"/>
  <c r="BC66" i="3" a="1"/>
  <c r="BC66" i="3" s="1"/>
  <c r="BB66" i="3" a="1"/>
  <c r="BB66" i="3" s="1"/>
  <c r="BB53" i="3" a="1"/>
  <c r="BB53" i="3" s="1"/>
  <c r="BC52" i="3" a="1"/>
  <c r="BC52" i="3" s="1"/>
  <c r="BB52" i="3" a="1"/>
  <c r="BB52" i="3" s="1"/>
  <c r="BC44" i="3" a="1"/>
  <c r="BC44" i="3" s="1"/>
  <c r="BB44" i="3" a="1"/>
  <c r="BB44" i="3" s="1"/>
  <c r="BB45" i="3" a="1"/>
  <c r="BB45" i="3" s="1"/>
  <c r="BB59" i="3" a="1"/>
  <c r="BB59" i="3" s="1"/>
  <c r="BC58" i="3" a="1"/>
  <c r="BC58" i="3" s="1"/>
  <c r="BB58" i="3" a="1"/>
  <c r="BB58" i="3" s="1"/>
  <c r="BB48" i="3" a="1"/>
  <c r="BB48" i="3" s="1"/>
  <c r="BC48" i="3" a="1"/>
  <c r="BC48" i="3" s="1"/>
  <c r="BB49" i="3" a="1"/>
  <c r="BB49" i="3" s="1"/>
  <c r="BC62" i="3" a="1"/>
  <c r="BC62" i="3" s="1"/>
  <c r="BB63" i="3" a="1"/>
  <c r="BB63" i="3" s="1"/>
  <c r="BB62" i="3" a="1"/>
  <c r="BB62" i="3" s="1"/>
  <c r="AJ12" i="3" a="1"/>
  <c r="AJ12" i="3" s="1"/>
  <c r="AR35" i="3" a="1"/>
  <c r="AK38" i="3" a="1"/>
  <c r="AJ23" i="3" a="1"/>
  <c r="AK36" i="3" a="1"/>
  <c r="AK22" i="3" a="1"/>
  <c r="AS34" i="3" a="1"/>
  <c r="AJ21" i="3" a="1"/>
  <c r="AQ24" i="3" a="1"/>
  <c r="AJ37" i="3" a="1"/>
  <c r="AP25" i="3" a="1"/>
  <c r="AR15" i="3" a="1"/>
  <c r="AK20" i="3" a="1"/>
  <c r="AK26" i="3" a="1"/>
  <c r="AS14" i="3" a="1"/>
  <c r="AP31" i="3" a="1"/>
  <c r="AJ27" i="3" a="1"/>
  <c r="AJ39" i="3" a="1"/>
  <c r="AQ30" i="3" a="1"/>
  <c r="AK12" i="3" a="1"/>
  <c r="AJ13" i="3" a="1"/>
  <c r="BB17" i="3" l="1" a="1"/>
  <c r="BB16" i="3" a="1"/>
  <c r="BB16" i="3" s="1"/>
  <c r="BC17" i="3" s="1"/>
  <c r="AK39" i="3"/>
  <c r="AS35" i="3"/>
  <c r="AQ31" i="3"/>
  <c r="AK27" i="3"/>
  <c r="AQ25" i="3"/>
  <c r="AK23" i="3"/>
  <c r="AK21" i="3"/>
  <c r="BC16" i="3" a="1"/>
  <c r="BC16" i="3" s="1"/>
  <c r="AS15" i="3"/>
  <c r="AK13" i="3"/>
  <c r="AK37" i="3"/>
  <c r="BC71" i="3"/>
  <c r="BC69" i="3"/>
  <c r="BC67" i="3"/>
  <c r="BC65" i="3"/>
  <c r="BC63" i="3"/>
  <c r="BC61" i="3"/>
  <c r="BC59" i="3"/>
  <c r="BC57" i="3"/>
  <c r="BC55" i="3"/>
  <c r="BC53" i="3"/>
  <c r="BC51" i="3"/>
  <c r="BC49" i="3"/>
  <c r="BC47" i="3"/>
  <c r="BC45" i="3"/>
  <c r="BC43" i="3"/>
  <c r="BC41" i="3"/>
  <c r="AQ30" i="3"/>
  <c r="AJ39" i="3"/>
  <c r="AJ27" i="3"/>
  <c r="AP31" i="3"/>
  <c r="AS14" i="3"/>
  <c r="AK26" i="3"/>
  <c r="AK20" i="3"/>
  <c r="AR15" i="3"/>
  <c r="AP25" i="3"/>
  <c r="AJ37" i="3"/>
  <c r="AQ24" i="3"/>
  <c r="AJ21" i="3"/>
  <c r="AS34" i="3"/>
  <c r="AK22" i="3"/>
  <c r="AK36" i="3"/>
  <c r="BB17" i="3"/>
  <c r="AJ23" i="3"/>
  <c r="AK38" i="3"/>
  <c r="AR35" i="3"/>
  <c r="AV32" i="3" a="1"/>
  <c r="AV32" i="3" s="1"/>
  <c r="AP28" i="3" a="1"/>
  <c r="AP28" i="3" s="1"/>
  <c r="AR18" i="3" a="1"/>
  <c r="AR18" i="3" s="1"/>
  <c r="AJ13" i="3"/>
  <c r="AK12" i="3"/>
  <c r="BD47" i="3" a="1"/>
  <c r="BD47" i="3" s="1"/>
  <c r="BD46" i="3" a="1"/>
  <c r="BD46" i="3" s="1"/>
  <c r="BE46" i="3" a="1"/>
  <c r="BE46" i="3" s="1"/>
  <c r="BE42" i="3" a="1"/>
  <c r="BE42" i="3" s="1"/>
  <c r="BD43" i="3" a="1"/>
  <c r="BD43" i="3" s="1"/>
  <c r="BD42" i="3" a="1"/>
  <c r="BD42" i="3" s="1"/>
  <c r="BE50" i="3" a="1"/>
  <c r="BE50" i="3" s="1"/>
  <c r="BD51" i="3" a="1"/>
  <c r="BD51" i="3" s="1"/>
  <c r="BD50" i="3" a="1"/>
  <c r="BD50" i="3" s="1"/>
  <c r="BE56" i="3" a="1"/>
  <c r="BE56" i="3" s="1"/>
  <c r="BD57" i="3" a="1"/>
  <c r="BD57" i="3" s="1"/>
  <c r="BD56" i="3" a="1"/>
  <c r="BD56" i="3" s="1"/>
  <c r="BE44" i="3" a="1"/>
  <c r="BE44" i="3" s="1"/>
  <c r="BD45" i="3" a="1"/>
  <c r="BD45" i="3" s="1"/>
  <c r="BD44" i="3" a="1"/>
  <c r="BD44" i="3" s="1"/>
  <c r="BE66" i="3" a="1"/>
  <c r="BE66" i="3" s="1"/>
  <c r="BD66" i="3" a="1"/>
  <c r="BD66" i="3" s="1"/>
  <c r="BD67" i="3" a="1"/>
  <c r="BD67" i="3" s="1"/>
  <c r="BE70" i="3" a="1"/>
  <c r="BE70" i="3" s="1"/>
  <c r="BD71" i="3" a="1"/>
  <c r="BD71" i="3" s="1"/>
  <c r="BD70" i="3" a="1"/>
  <c r="BD70" i="3" s="1"/>
  <c r="BD55" i="3" a="1"/>
  <c r="BD55" i="3" s="1"/>
  <c r="BE54" i="3" a="1"/>
  <c r="BE54" i="3" s="1"/>
  <c r="BD54" i="3" a="1"/>
  <c r="BD54" i="3" s="1"/>
  <c r="BE48" i="3" a="1"/>
  <c r="BE48" i="3" s="1"/>
  <c r="BD49" i="3" a="1"/>
  <c r="BD49" i="3" s="1"/>
  <c r="BD48" i="3" a="1"/>
  <c r="BD48" i="3" s="1"/>
  <c r="BE52" i="3" a="1"/>
  <c r="BE52" i="3" s="1"/>
  <c r="BD52" i="3" a="1"/>
  <c r="BD52" i="3" s="1"/>
  <c r="BD53" i="3" a="1"/>
  <c r="BD53" i="3" s="1"/>
  <c r="BE60" i="3" a="1"/>
  <c r="BE60" i="3" s="1"/>
  <c r="BD61" i="3" a="1"/>
  <c r="BD61" i="3" s="1"/>
  <c r="BD60" i="3" a="1"/>
  <c r="BD60" i="3" s="1"/>
  <c r="BE62" i="3" a="1"/>
  <c r="BE62" i="3" s="1"/>
  <c r="BD63" i="3" a="1"/>
  <c r="BD63" i="3" s="1"/>
  <c r="BD62" i="3" a="1"/>
  <c r="BD62" i="3" s="1"/>
  <c r="BD58" i="3" a="1"/>
  <c r="BD58" i="3" s="1"/>
  <c r="BD59" i="3" a="1"/>
  <c r="BD59" i="3" s="1"/>
  <c r="BE58" i="3" a="1"/>
  <c r="BE58" i="3" s="1"/>
  <c r="BE64" i="3" a="1"/>
  <c r="BE64" i="3" s="1"/>
  <c r="BD65" i="3" a="1"/>
  <c r="BD65" i="3" s="1"/>
  <c r="BD64" i="3" a="1"/>
  <c r="BD64" i="3" s="1"/>
  <c r="BE68" i="3" a="1"/>
  <c r="BE68" i="3" s="1"/>
  <c r="BD69" i="3" a="1"/>
  <c r="BD69" i="3" s="1"/>
  <c r="BD68" i="3" a="1"/>
  <c r="BD68" i="3" s="1"/>
  <c r="BD40" i="3" a="1"/>
  <c r="BD40" i="3" s="1"/>
  <c r="BD41" i="3" a="1"/>
  <c r="BD41" i="3" s="1"/>
  <c r="BE40" i="3" a="1"/>
  <c r="BE40" i="3" s="1"/>
  <c r="AP29" i="3" a="1"/>
  <c r="AR19" i="3" a="1"/>
  <c r="AS18" i="3" a="1"/>
  <c r="AW32" i="3" a="1"/>
  <c r="AV33" i="3" a="1"/>
  <c r="AQ28" i="3" a="1"/>
  <c r="AQ29" i="3" l="1"/>
  <c r="AS19" i="3"/>
  <c r="BD16" i="3" a="1"/>
  <c r="BD16" i="3" s="1"/>
  <c r="AW33" i="3"/>
  <c r="BE71" i="3"/>
  <c r="BE69" i="3"/>
  <c r="BE67" i="3"/>
  <c r="BE65" i="3"/>
  <c r="BE63" i="3"/>
  <c r="BE61" i="3"/>
  <c r="BE59" i="3"/>
  <c r="BE57" i="3"/>
  <c r="BE55" i="3"/>
  <c r="BE53" i="3"/>
  <c r="BE51" i="3"/>
  <c r="BE49" i="3"/>
  <c r="BE47" i="3"/>
  <c r="BE45" i="3"/>
  <c r="BE43" i="3"/>
  <c r="BE41" i="3"/>
  <c r="AQ28" i="3"/>
  <c r="AV33" i="3"/>
  <c r="AW32" i="3"/>
  <c r="AS18" i="3"/>
  <c r="AR19" i="3"/>
  <c r="AP29" i="3"/>
  <c r="AL22" i="3" a="1"/>
  <c r="AL22" i="3" s="1"/>
  <c r="AL20" i="3" a="1"/>
  <c r="AL20" i="3" s="1"/>
  <c r="AT34" i="3" a="1"/>
  <c r="AT34" i="3" s="1"/>
  <c r="AT14" i="3" a="1"/>
  <c r="AT14" i="3" s="1"/>
  <c r="AL36" i="3" a="1"/>
  <c r="AL36" i="3" s="1"/>
  <c r="AL26" i="3" a="1"/>
  <c r="AL26" i="3" s="1"/>
  <c r="AL38" i="3" a="1"/>
  <c r="AL38" i="3" s="1"/>
  <c r="AR24" i="3" a="1"/>
  <c r="AR24" i="3" s="1"/>
  <c r="AR30" i="3" a="1"/>
  <c r="AR30" i="3" s="1"/>
  <c r="BG58" i="3" a="1"/>
  <c r="BG58" i="3" s="1"/>
  <c r="BF58" i="3" a="1"/>
  <c r="BF58" i="3" s="1"/>
  <c r="BF59" i="3" a="1"/>
  <c r="BF59" i="3" s="1"/>
  <c r="BF68" i="3" a="1"/>
  <c r="BF68" i="3" s="1"/>
  <c r="BG68" i="3" a="1"/>
  <c r="BG68" i="3" s="1"/>
  <c r="BF69" i="3" a="1"/>
  <c r="BF69" i="3" s="1"/>
  <c r="BG70" i="3" a="1"/>
  <c r="BG70" i="3" s="1"/>
  <c r="BF70" i="3" a="1"/>
  <c r="BF70" i="3" s="1"/>
  <c r="BF71" i="3" a="1"/>
  <c r="BF71" i="3" s="1"/>
  <c r="BF42" i="3" a="1"/>
  <c r="BF42" i="3" s="1"/>
  <c r="BF43" i="3" a="1"/>
  <c r="BF43" i="3" s="1"/>
  <c r="BG42" i="3" a="1"/>
  <c r="BG42" i="3" s="1"/>
  <c r="BG46" i="3" a="1"/>
  <c r="BG46" i="3" s="1"/>
  <c r="BF46" i="3" a="1"/>
  <c r="BF46" i="3" s="1"/>
  <c r="BF47" i="3" a="1"/>
  <c r="BF47" i="3" s="1"/>
  <c r="BF67" i="3" a="1"/>
  <c r="BF67" i="3" s="1"/>
  <c r="BG66" i="3" a="1"/>
  <c r="BG66" i="3" s="1"/>
  <c r="BF66" i="3" a="1"/>
  <c r="BF66" i="3" s="1"/>
  <c r="BG64" i="3" a="1"/>
  <c r="BG64" i="3" s="1"/>
  <c r="BF64" i="3" a="1"/>
  <c r="BF64" i="3" s="1"/>
  <c r="BF65" i="3" a="1"/>
  <c r="BF65" i="3" s="1"/>
  <c r="BF56" i="3" a="1"/>
  <c r="BF56" i="3" s="1"/>
  <c r="BF57" i="3" a="1"/>
  <c r="BF57" i="3" s="1"/>
  <c r="BG56" i="3" a="1"/>
  <c r="BG56" i="3" s="1"/>
  <c r="BG40" i="3" a="1"/>
  <c r="BG40" i="3" s="1"/>
  <c r="BF40" i="3" a="1"/>
  <c r="BF40" i="3" s="1"/>
  <c r="BF41" i="3" a="1"/>
  <c r="BF41" i="3" s="1"/>
  <c r="BF48" i="3" a="1"/>
  <c r="BF48" i="3" s="1"/>
  <c r="BF49" i="3" a="1"/>
  <c r="BF49" i="3" s="1"/>
  <c r="BG48" i="3" a="1"/>
  <c r="BG48" i="3" s="1"/>
  <c r="BG62" i="3" a="1"/>
  <c r="BG62" i="3" s="1"/>
  <c r="BF62" i="3" a="1"/>
  <c r="BF62" i="3" s="1"/>
  <c r="BF63" i="3" a="1"/>
  <c r="BF63" i="3" s="1"/>
  <c r="AL12" i="3" a="1"/>
  <c r="AL12" i="3" s="1"/>
  <c r="BG50" i="3" a="1"/>
  <c r="BG50" i="3" s="1"/>
  <c r="BF50" i="3" a="1"/>
  <c r="BF50" i="3" s="1"/>
  <c r="BF51" i="3" a="1"/>
  <c r="BF51" i="3" s="1"/>
  <c r="BG60" i="3" a="1"/>
  <c r="BG60" i="3" s="1"/>
  <c r="BF61" i="3" a="1"/>
  <c r="BF61" i="3" s="1"/>
  <c r="BF60" i="3" a="1"/>
  <c r="BF60" i="3" s="1"/>
  <c r="BF53" i="3" a="1"/>
  <c r="BF53" i="3" s="1"/>
  <c r="BG52" i="3" a="1"/>
  <c r="BG52" i="3" s="1"/>
  <c r="BF52" i="3" a="1"/>
  <c r="BF52" i="3" s="1"/>
  <c r="BG54" i="3" a="1"/>
  <c r="BG54" i="3" s="1"/>
  <c r="BF55" i="3" a="1"/>
  <c r="BF55" i="3" s="1"/>
  <c r="BF54" i="3" a="1"/>
  <c r="BF54" i="3" s="1"/>
  <c r="BG44" i="3" a="1"/>
  <c r="BG44" i="3" s="1"/>
  <c r="BF44" i="3" a="1"/>
  <c r="BF44" i="3" s="1"/>
  <c r="BF45" i="3" a="1"/>
  <c r="BF45" i="3" s="1"/>
  <c r="AU14" i="3" a="1"/>
  <c r="AL27" i="3" a="1"/>
  <c r="AS30" i="3" a="1"/>
  <c r="AL21" i="3" a="1"/>
  <c r="AL39" i="3" a="1"/>
  <c r="AR31" i="3" a="1"/>
  <c r="AM20" i="3" a="1"/>
  <c r="AL37" i="3" a="1"/>
  <c r="BE16" i="3" a="1"/>
  <c r="AT35" i="3" a="1"/>
  <c r="AM36" i="3" a="1"/>
  <c r="AM38" i="3" a="1"/>
  <c r="AL23" i="3" a="1"/>
  <c r="AU34" i="3" a="1"/>
  <c r="BD17" i="3" a="1"/>
  <c r="AS24" i="3" a="1"/>
  <c r="AM22" i="3" a="1"/>
  <c r="AT15" i="3" a="1"/>
  <c r="AM26" i="3" a="1"/>
  <c r="AR25" i="3" a="1"/>
  <c r="AL13" i="3" a="1"/>
  <c r="AM12" i="3" a="1"/>
  <c r="AM39" i="3" l="1"/>
  <c r="AU35" i="3"/>
  <c r="AS31" i="3"/>
  <c r="AM27" i="3"/>
  <c r="AS25" i="3"/>
  <c r="AM23" i="3"/>
  <c r="AM21" i="3"/>
  <c r="BE17" i="3"/>
  <c r="AU15" i="3"/>
  <c r="AM13" i="3"/>
  <c r="AM37" i="3"/>
  <c r="BG71" i="3"/>
  <c r="BG69" i="3"/>
  <c r="BG67" i="3"/>
  <c r="BG65" i="3"/>
  <c r="BG63" i="3"/>
  <c r="BG61" i="3"/>
  <c r="BG59" i="3"/>
  <c r="BG57" i="3"/>
  <c r="BG55" i="3"/>
  <c r="BG53" i="3"/>
  <c r="BG51" i="3"/>
  <c r="BG49" i="3"/>
  <c r="BG47" i="3"/>
  <c r="BG45" i="3"/>
  <c r="BG43" i="3"/>
  <c r="BG41" i="3"/>
  <c r="AR25" i="3"/>
  <c r="AM26" i="3"/>
  <c r="AT15" i="3"/>
  <c r="AM22" i="3"/>
  <c r="AS24" i="3"/>
  <c r="BD17" i="3"/>
  <c r="AU34" i="3"/>
  <c r="AL23" i="3"/>
  <c r="AM38" i="3"/>
  <c r="AM36" i="3"/>
  <c r="AT35" i="3"/>
  <c r="BE16" i="3"/>
  <c r="AL37" i="3"/>
  <c r="AM20" i="3"/>
  <c r="AR31" i="3"/>
  <c r="AL39" i="3"/>
  <c r="AL21" i="3"/>
  <c r="AS30" i="3"/>
  <c r="AL27" i="3"/>
  <c r="AU14" i="3"/>
  <c r="AT18" i="3" a="1"/>
  <c r="AT18" i="3" s="1"/>
  <c r="AX32" i="3" a="1"/>
  <c r="AX32" i="3" s="1"/>
  <c r="AR28" i="3" a="1"/>
  <c r="AR28" i="3" s="1"/>
  <c r="AM12" i="3"/>
  <c r="AL13" i="3"/>
  <c r="BI60" i="3" a="1"/>
  <c r="BI60" i="3" s="1"/>
  <c r="BH60" i="3" a="1"/>
  <c r="BH60" i="3" s="1"/>
  <c r="BH61" i="3" a="1"/>
  <c r="BH61" i="3" s="1"/>
  <c r="BH46" i="3" a="1"/>
  <c r="BH46" i="3" s="1"/>
  <c r="BH47" i="3" a="1"/>
  <c r="BH47" i="3" s="1"/>
  <c r="BI46" i="3" a="1"/>
  <c r="BI46" i="3" s="1"/>
  <c r="BH71" i="3" a="1"/>
  <c r="BH71" i="3" s="1"/>
  <c r="BI70" i="3" a="1"/>
  <c r="BI70" i="3" s="1"/>
  <c r="BH70" i="3" a="1"/>
  <c r="BH70" i="3" s="1"/>
  <c r="BI68" i="3" a="1"/>
  <c r="BI68" i="3" s="1"/>
  <c r="BH68" i="3" a="1"/>
  <c r="BH68" i="3" s="1"/>
  <c r="BH69" i="3" a="1"/>
  <c r="BH69" i="3" s="1"/>
  <c r="BH45" i="3" a="1"/>
  <c r="BH45" i="3" s="1"/>
  <c r="BI44" i="3" a="1"/>
  <c r="BI44" i="3" s="1"/>
  <c r="BH44" i="3" a="1"/>
  <c r="BH44" i="3" s="1"/>
  <c r="BI52" i="3" a="1"/>
  <c r="BI52" i="3" s="1"/>
  <c r="BH52" i="3" a="1"/>
  <c r="BH52" i="3" s="1"/>
  <c r="BH53" i="3" a="1"/>
  <c r="BH53" i="3" s="1"/>
  <c r="BI62" i="3" a="1"/>
  <c r="BI62" i="3" s="1"/>
  <c r="BH63" i="3" a="1"/>
  <c r="BH63" i="3" s="1"/>
  <c r="BH62" i="3" a="1"/>
  <c r="BH62" i="3" s="1"/>
  <c r="BI42" i="3" a="1"/>
  <c r="BI42" i="3" s="1"/>
  <c r="BH42" i="3" a="1"/>
  <c r="BH42" i="3" s="1"/>
  <c r="BH43" i="3" a="1"/>
  <c r="BH43" i="3" s="1"/>
  <c r="BH40" i="3" a="1"/>
  <c r="BH40" i="3" s="1"/>
  <c r="BH41" i="3" a="1"/>
  <c r="BH41" i="3" s="1"/>
  <c r="BI40" i="3" a="1"/>
  <c r="BI40" i="3" s="1"/>
  <c r="BH58" i="3" a="1"/>
  <c r="BH58" i="3" s="1"/>
  <c r="BH59" i="3" a="1"/>
  <c r="BH59" i="3" s="1"/>
  <c r="BI58" i="3" a="1"/>
  <c r="BI58" i="3" s="1"/>
  <c r="BH51" i="3" a="1"/>
  <c r="BH51" i="3" s="1"/>
  <c r="BH50" i="3" a="1"/>
  <c r="BH50" i="3" s="1"/>
  <c r="BI50" i="3" a="1"/>
  <c r="BI50" i="3" s="1"/>
  <c r="BH65" i="3" a="1"/>
  <c r="BH65" i="3" s="1"/>
  <c r="BI64" i="3" a="1"/>
  <c r="BI64" i="3" s="1"/>
  <c r="BH64" i="3" a="1"/>
  <c r="BH64" i="3" s="1"/>
  <c r="BI56" i="3" a="1"/>
  <c r="BI56" i="3" s="1"/>
  <c r="BH56" i="3" a="1"/>
  <c r="BH56" i="3" s="1"/>
  <c r="BH57" i="3" a="1"/>
  <c r="BH57" i="3" s="1"/>
  <c r="BH54" i="3" a="1"/>
  <c r="BH54" i="3" s="1"/>
  <c r="BH55" i="3" a="1"/>
  <c r="BH55" i="3" s="1"/>
  <c r="BI54" i="3" a="1"/>
  <c r="BI54" i="3" s="1"/>
  <c r="BI48" i="3" a="1"/>
  <c r="BI48" i="3" s="1"/>
  <c r="BH48" i="3" a="1"/>
  <c r="BH48" i="3" s="1"/>
  <c r="BH49" i="3" a="1"/>
  <c r="BH49" i="3" s="1"/>
  <c r="BI66" i="3" a="1"/>
  <c r="BI66" i="3" s="1"/>
  <c r="BH66" i="3" a="1"/>
  <c r="BH66" i="3" s="1"/>
  <c r="BH67" i="3" a="1"/>
  <c r="BH67" i="3" s="1"/>
  <c r="AY32" i="3" a="1"/>
  <c r="AS28" i="3" a="1"/>
  <c r="AX33" i="3" a="1"/>
  <c r="AR29" i="3" a="1"/>
  <c r="AU18" i="3" a="1"/>
  <c r="AT19" i="3" a="1"/>
  <c r="AS29" i="3" l="1"/>
  <c r="AU19" i="3"/>
  <c r="AY33" i="3"/>
  <c r="BI71" i="3"/>
  <c r="BI69" i="3"/>
  <c r="BI67" i="3"/>
  <c r="BI65" i="3"/>
  <c r="BI63" i="3"/>
  <c r="BI61" i="3"/>
  <c r="BI59" i="3"/>
  <c r="BI57" i="3"/>
  <c r="BI55" i="3"/>
  <c r="BI53" i="3"/>
  <c r="BI51" i="3"/>
  <c r="BI49" i="3"/>
  <c r="BI47" i="3"/>
  <c r="BI45" i="3"/>
  <c r="BI43" i="3"/>
  <c r="BI41" i="3"/>
  <c r="AT19" i="3"/>
  <c r="AU18" i="3"/>
  <c r="AR29" i="3"/>
  <c r="AX33" i="3"/>
  <c r="AS28" i="3"/>
  <c r="AY32" i="3"/>
  <c r="AV34" i="3" a="1"/>
  <c r="AV34" i="3" s="1"/>
  <c r="AT24" i="3" a="1"/>
  <c r="AT24" i="3" s="1"/>
  <c r="AV14" i="3" a="1"/>
  <c r="AV14" i="3" s="1"/>
  <c r="BF16" i="3" a="1"/>
  <c r="BF16" i="3" s="1"/>
  <c r="AN22" i="3" a="1"/>
  <c r="AN22" i="3" s="1"/>
  <c r="AN20" i="3" a="1"/>
  <c r="AN20" i="3" s="1"/>
  <c r="AT30" i="3" a="1"/>
  <c r="AT30" i="3" s="1"/>
  <c r="AN36" i="3" a="1"/>
  <c r="AN36" i="3" s="1"/>
  <c r="AN26" i="3" a="1"/>
  <c r="AN26" i="3" s="1"/>
  <c r="AN38" i="3" a="1"/>
  <c r="AN38" i="3" s="1"/>
  <c r="BK62" i="3" a="1"/>
  <c r="BK62" i="3" s="1"/>
  <c r="BJ63" i="3" a="1"/>
  <c r="BJ63" i="3" s="1"/>
  <c r="BJ62" i="3" a="1"/>
  <c r="BJ62" i="3" s="1"/>
  <c r="BJ59" i="3" a="1"/>
  <c r="BJ59" i="3" s="1"/>
  <c r="BK58" i="3" a="1"/>
  <c r="BK58" i="3" s="1"/>
  <c r="BJ58" i="3" a="1"/>
  <c r="BJ58" i="3" s="1"/>
  <c r="BJ68" i="3" a="1"/>
  <c r="BJ68" i="3" s="1"/>
  <c r="BK68" i="3" a="1"/>
  <c r="BK68" i="3" s="1"/>
  <c r="BJ69" i="3" a="1"/>
  <c r="BJ69" i="3" s="1"/>
  <c r="BJ55" i="3" a="1"/>
  <c r="BJ55" i="3" s="1"/>
  <c r="BK54" i="3" a="1"/>
  <c r="BK54" i="3" s="1"/>
  <c r="BJ54" i="3" a="1"/>
  <c r="BJ54" i="3" s="1"/>
  <c r="BJ42" i="3" a="1"/>
  <c r="BJ42" i="3" s="1"/>
  <c r="BJ43" i="3" a="1"/>
  <c r="BJ43" i="3" s="1"/>
  <c r="BK42" i="3" a="1"/>
  <c r="BK42" i="3" s="1"/>
  <c r="BK60" i="3" a="1"/>
  <c r="BK60" i="3" s="1"/>
  <c r="BJ61" i="3" a="1"/>
  <c r="BJ61" i="3" s="1"/>
  <c r="BJ60" i="3" a="1"/>
  <c r="BJ60" i="3" s="1"/>
  <c r="BJ67" i="3" a="1"/>
  <c r="BJ67" i="3" s="1"/>
  <c r="BK66" i="3" a="1"/>
  <c r="BK66" i="3" s="1"/>
  <c r="BJ66" i="3" a="1"/>
  <c r="BJ66" i="3" s="1"/>
  <c r="BK64" i="3" a="1"/>
  <c r="BK64" i="3" s="1"/>
  <c r="BJ64" i="3" a="1"/>
  <c r="BJ64" i="3" s="1"/>
  <c r="BJ65" i="3" a="1"/>
  <c r="BJ65" i="3" s="1"/>
  <c r="BJ48" i="3" a="1"/>
  <c r="BJ48" i="3" s="1"/>
  <c r="BJ49" i="3" a="1"/>
  <c r="BJ49" i="3" s="1"/>
  <c r="BK48" i="3" a="1"/>
  <c r="BK48" i="3" s="1"/>
  <c r="BK44" i="3" a="1"/>
  <c r="BK44" i="3" s="1"/>
  <c r="BJ44" i="3" a="1"/>
  <c r="BJ44" i="3" s="1"/>
  <c r="BJ45" i="3" a="1"/>
  <c r="BJ45" i="3" s="1"/>
  <c r="BJ47" i="3" a="1"/>
  <c r="BJ47" i="3" s="1"/>
  <c r="BK46" i="3" a="1"/>
  <c r="BK46" i="3" s="1"/>
  <c r="BJ46" i="3" a="1"/>
  <c r="BJ46" i="3" s="1"/>
  <c r="BK70" i="3" a="1"/>
  <c r="BK70" i="3" s="1"/>
  <c r="BJ70" i="3" a="1"/>
  <c r="BJ70" i="3" s="1"/>
  <c r="BJ71" i="3" a="1"/>
  <c r="BJ71" i="3" s="1"/>
  <c r="BK50" i="3" a="1"/>
  <c r="BK50" i="3" s="1"/>
  <c r="BJ50" i="3" a="1"/>
  <c r="BJ50" i="3" s="1"/>
  <c r="BJ51" i="3" a="1"/>
  <c r="BJ51" i="3" s="1"/>
  <c r="BJ53" i="3" a="1"/>
  <c r="BJ53" i="3" s="1"/>
  <c r="BK52" i="3" a="1"/>
  <c r="BK52" i="3" s="1"/>
  <c r="BJ52" i="3" a="1"/>
  <c r="BJ52" i="3" s="1"/>
  <c r="BJ56" i="3" a="1"/>
  <c r="BJ56" i="3" s="1"/>
  <c r="BJ57" i="3" a="1"/>
  <c r="BJ57" i="3" s="1"/>
  <c r="BK56" i="3" a="1"/>
  <c r="BK56" i="3" s="1"/>
  <c r="BJ41" i="3" a="1"/>
  <c r="BJ41" i="3" s="1"/>
  <c r="BK40" i="3" a="1"/>
  <c r="BK40" i="3" s="1"/>
  <c r="BJ40" i="3" a="1"/>
  <c r="BJ40" i="3" s="1"/>
  <c r="AN12" i="3" a="1"/>
  <c r="AN12" i="3" s="1"/>
  <c r="AW34" i="3" a="1"/>
  <c r="BG16" i="3" a="1"/>
  <c r="AU30" i="3" a="1"/>
  <c r="AN27" i="3" a="1"/>
  <c r="AO38" i="3" a="1"/>
  <c r="AV15" i="3" a="1"/>
  <c r="AU24" i="3" a="1"/>
  <c r="BF17" i="3" a="1"/>
  <c r="AT31" i="3" a="1"/>
  <c r="AN39" i="3" a="1"/>
  <c r="AN21" i="3" a="1"/>
  <c r="AV35" i="3" a="1"/>
  <c r="AT25" i="3" a="1"/>
  <c r="AO22" i="3" a="1"/>
  <c r="AO36" i="3" a="1"/>
  <c r="AN23" i="3" a="1"/>
  <c r="AN37" i="3" a="1"/>
  <c r="AW14" i="3" a="1"/>
  <c r="AO20" i="3" a="1"/>
  <c r="AO26" i="3" a="1"/>
  <c r="AO12" i="3" a="1"/>
  <c r="AN13" i="3" a="1"/>
  <c r="AO39" i="3" l="1"/>
  <c r="AW35" i="3"/>
  <c r="AU31" i="3"/>
  <c r="AO27" i="3"/>
  <c r="AU25" i="3"/>
  <c r="AO23" i="3"/>
  <c r="AO21" i="3"/>
  <c r="BG17" i="3"/>
  <c r="AW15" i="3"/>
  <c r="AO13" i="3"/>
  <c r="AO37" i="3"/>
  <c r="BK71" i="3"/>
  <c r="BK69" i="3"/>
  <c r="BK67" i="3"/>
  <c r="BK65" i="3"/>
  <c r="BK63" i="3"/>
  <c r="BK61" i="3"/>
  <c r="BK59" i="3"/>
  <c r="BK57" i="3"/>
  <c r="BK55" i="3"/>
  <c r="BK53" i="3"/>
  <c r="BK51" i="3"/>
  <c r="BK49" i="3"/>
  <c r="BK47" i="3"/>
  <c r="BK45" i="3"/>
  <c r="BK43" i="3"/>
  <c r="BK41" i="3"/>
  <c r="AO26" i="3"/>
  <c r="AO20" i="3"/>
  <c r="AW14" i="3"/>
  <c r="AN37" i="3"/>
  <c r="AN23" i="3"/>
  <c r="AO36" i="3"/>
  <c r="AO22" i="3"/>
  <c r="AT25" i="3"/>
  <c r="AV35" i="3"/>
  <c r="AN21" i="3"/>
  <c r="AN39" i="3"/>
  <c r="AT31" i="3"/>
  <c r="BF17" i="3"/>
  <c r="AU24" i="3"/>
  <c r="AV15" i="3"/>
  <c r="AO38" i="3"/>
  <c r="AN27" i="3"/>
  <c r="AU30" i="3"/>
  <c r="BG16" i="3"/>
  <c r="AW34" i="3"/>
  <c r="AT28" i="3" a="1"/>
  <c r="AT28" i="3" s="1"/>
  <c r="AZ32" i="3" a="1"/>
  <c r="AZ32" i="3" s="1"/>
  <c r="AV18" i="3" a="1"/>
  <c r="AV18" i="3" s="1"/>
  <c r="AN13" i="3"/>
  <c r="AO12" i="3"/>
  <c r="BM58" i="3" a="1"/>
  <c r="BM58" i="3" s="1"/>
  <c r="BL58" i="3" a="1"/>
  <c r="BL58" i="3" s="1"/>
  <c r="BL59" i="3" a="1"/>
  <c r="BL59" i="3" s="1"/>
  <c r="BL49" i="3" a="1"/>
  <c r="BL49" i="3" s="1"/>
  <c r="BM48" i="3" a="1"/>
  <c r="BM48" i="3" s="1"/>
  <c r="BL48" i="3" a="1"/>
  <c r="BL48" i="3" s="1"/>
  <c r="BL46" i="3" a="1"/>
  <c r="BL46" i="3" s="1"/>
  <c r="BL47" i="3" a="1"/>
  <c r="BL47" i="3" s="1"/>
  <c r="BM46" i="3" a="1"/>
  <c r="BM46" i="3" s="1"/>
  <c r="BL51" i="3" a="1"/>
  <c r="BL51" i="3" s="1"/>
  <c r="BM50" i="3" a="1"/>
  <c r="BM50" i="3" s="1"/>
  <c r="BL50" i="3" a="1"/>
  <c r="BL50" i="3" s="1"/>
  <c r="BL54" i="3" a="1"/>
  <c r="BL54" i="3" s="1"/>
  <c r="BM54" i="3" a="1"/>
  <c r="BM54" i="3" s="1"/>
  <c r="BL55" i="3" a="1"/>
  <c r="BL55" i="3" s="1"/>
  <c r="BM60" i="3" a="1"/>
  <c r="BM60" i="3" s="1"/>
  <c r="BL60" i="3" a="1"/>
  <c r="BL60" i="3" s="1"/>
  <c r="BL61" i="3" a="1"/>
  <c r="BL61" i="3" s="1"/>
  <c r="BL69" i="3" a="1"/>
  <c r="BL69" i="3" s="1"/>
  <c r="BM68" i="3" a="1"/>
  <c r="BM68" i="3" s="1"/>
  <c r="BL68" i="3" a="1"/>
  <c r="BL68" i="3" s="1"/>
  <c r="BM52" i="3" a="1"/>
  <c r="BM52" i="3" s="1"/>
  <c r="BL53" i="3" a="1"/>
  <c r="BL53" i="3" s="1"/>
  <c r="BL52" i="3" a="1"/>
  <c r="BL52" i="3" s="1"/>
  <c r="BL71" i="3" a="1"/>
  <c r="BL71" i="3" s="1"/>
  <c r="BM70" i="3" a="1"/>
  <c r="BM70" i="3" s="1"/>
  <c r="BL70" i="3" a="1"/>
  <c r="BL70" i="3" s="1"/>
  <c r="BL65" i="3" a="1"/>
  <c r="BL65" i="3" s="1"/>
  <c r="BM64" i="3" a="1"/>
  <c r="BM64" i="3" s="1"/>
  <c r="BL64" i="3" a="1"/>
  <c r="BL64" i="3" s="1"/>
  <c r="BM66" i="3" a="1"/>
  <c r="BM66" i="3" s="1"/>
  <c r="BL67" i="3" a="1"/>
  <c r="BL67" i="3" s="1"/>
  <c r="BL66" i="3" a="1"/>
  <c r="BL66" i="3" s="1"/>
  <c r="BL43" i="3" a="1"/>
  <c r="BL43" i="3" s="1"/>
  <c r="BM42" i="3" a="1"/>
  <c r="BM42" i="3" s="1"/>
  <c r="BL42" i="3" a="1"/>
  <c r="BL42" i="3" s="1"/>
  <c r="BL40" i="3" a="1"/>
  <c r="BL40" i="3" s="1"/>
  <c r="BL41" i="3" a="1"/>
  <c r="BL41" i="3" s="1"/>
  <c r="BM40" i="3" a="1"/>
  <c r="BM40" i="3" s="1"/>
  <c r="BL57" i="3" a="1"/>
  <c r="BL57" i="3" s="1"/>
  <c r="BM56" i="3" a="1"/>
  <c r="BM56" i="3" s="1"/>
  <c r="BL56" i="3" a="1"/>
  <c r="BL56" i="3" s="1"/>
  <c r="BL45" i="3" a="1"/>
  <c r="BL45" i="3" s="1"/>
  <c r="BM44" i="3" a="1"/>
  <c r="BM44" i="3" s="1"/>
  <c r="BL44" i="3" a="1"/>
  <c r="BL44" i="3" s="1"/>
  <c r="BM62" i="3" a="1"/>
  <c r="BM62" i="3" s="1"/>
  <c r="BL62" i="3" a="1"/>
  <c r="BL62" i="3" s="1"/>
  <c r="BL63" i="3" a="1"/>
  <c r="BL63" i="3" s="1"/>
  <c r="AZ33" i="3" a="1"/>
  <c r="AT29" i="3" a="1"/>
  <c r="BA32" i="3" a="1"/>
  <c r="AV19" i="3" a="1"/>
  <c r="AW18" i="3" a="1"/>
  <c r="AU28" i="3" a="1"/>
  <c r="AU29" i="3" l="1"/>
  <c r="AW19" i="3"/>
  <c r="BA33" i="3"/>
  <c r="BM71" i="3"/>
  <c r="BM69" i="3"/>
  <c r="BM67" i="3"/>
  <c r="BM65" i="3"/>
  <c r="BM63" i="3"/>
  <c r="BM61" i="3"/>
  <c r="BM59" i="3"/>
  <c r="BM57" i="3"/>
  <c r="BM55" i="3"/>
  <c r="BM53" i="3"/>
  <c r="BM51" i="3"/>
  <c r="BM49" i="3"/>
  <c r="BM47" i="3"/>
  <c r="BM45" i="3"/>
  <c r="BM43" i="3"/>
  <c r="BM41" i="3"/>
  <c r="AU28" i="3"/>
  <c r="AW18" i="3"/>
  <c r="AV19" i="3"/>
  <c r="BA32" i="3"/>
  <c r="AT29" i="3"/>
  <c r="AZ33" i="3"/>
  <c r="AV24" i="3" a="1"/>
  <c r="AV24" i="3" s="1"/>
  <c r="AP36" i="3" a="1"/>
  <c r="AP36" i="3" s="1"/>
  <c r="AX34" i="3" a="1"/>
  <c r="AX34" i="3" s="1"/>
  <c r="BH16" i="3" a="1"/>
  <c r="BH16" i="3" s="1"/>
  <c r="AX14" i="3" a="1"/>
  <c r="AX14" i="3" s="1"/>
  <c r="AP22" i="3" a="1"/>
  <c r="AP22" i="3" s="1"/>
  <c r="AV30" i="3" a="1"/>
  <c r="AV30" i="3" s="1"/>
  <c r="AP20" i="3" a="1"/>
  <c r="AP20" i="3" s="1"/>
  <c r="AP38" i="3" a="1"/>
  <c r="AP38" i="3" s="1"/>
  <c r="AP26" i="3" a="1"/>
  <c r="AP26" i="3" s="1"/>
  <c r="BO62" i="3" a="1"/>
  <c r="BO62" i="3" s="1"/>
  <c r="BN62" i="3" a="1"/>
  <c r="BN62" i="3" s="1"/>
  <c r="BN63" i="3" a="1"/>
  <c r="BN63" i="3" s="1"/>
  <c r="BN71" i="3" a="1"/>
  <c r="BN71" i="3" s="1"/>
  <c r="BO70" i="3" a="1"/>
  <c r="BO70" i="3" s="1"/>
  <c r="BN70" i="3" a="1"/>
  <c r="BN70" i="3" s="1"/>
  <c r="BN68" i="3" a="1"/>
  <c r="BN68" i="3" s="1"/>
  <c r="BO68" i="3" a="1"/>
  <c r="BO68" i="3" s="1"/>
  <c r="BN69" i="3" a="1"/>
  <c r="BN69" i="3" s="1"/>
  <c r="BO60" i="3" a="1"/>
  <c r="BO60" i="3" s="1"/>
  <c r="BN60" i="3" a="1"/>
  <c r="BN60" i="3" s="1"/>
  <c r="BN61" i="3" a="1"/>
  <c r="BN61" i="3" s="1"/>
  <c r="BN48" i="3" a="1"/>
  <c r="BN48" i="3" s="1"/>
  <c r="BN49" i="3" a="1"/>
  <c r="BN49" i="3" s="1"/>
  <c r="BO48" i="3" a="1"/>
  <c r="BO48" i="3" s="1"/>
  <c r="BN42" i="3" a="1"/>
  <c r="BN42" i="3" s="1"/>
  <c r="BN43" i="3" a="1"/>
  <c r="BN43" i="3" s="1"/>
  <c r="BO42" i="3" a="1"/>
  <c r="BO42" i="3" s="1"/>
  <c r="BO40" i="3" a="1"/>
  <c r="BO40" i="3" s="1"/>
  <c r="BN41" i="3" a="1"/>
  <c r="BN41" i="3" s="1"/>
  <c r="BN40" i="3" a="1"/>
  <c r="BN40" i="3" s="1"/>
  <c r="BN51" i="3" a="1"/>
  <c r="BN51" i="3" s="1"/>
  <c r="BO50" i="3" a="1"/>
  <c r="BO50" i="3" s="1"/>
  <c r="BN50" i="3" a="1"/>
  <c r="BN50" i="3" s="1"/>
  <c r="BN47" i="3" a="1"/>
  <c r="BN47" i="3" s="1"/>
  <c r="BO46" i="3" a="1"/>
  <c r="BO46" i="3" s="1"/>
  <c r="BN46" i="3" a="1"/>
  <c r="BN46" i="3" s="1"/>
  <c r="BN53" i="3" a="1"/>
  <c r="BN53" i="3" s="1"/>
  <c r="BO52" i="3" a="1"/>
  <c r="BO52" i="3" s="1"/>
  <c r="BN52" i="3" a="1"/>
  <c r="BN52" i="3" s="1"/>
  <c r="BN59" i="3" a="1"/>
  <c r="BN59" i="3" s="1"/>
  <c r="BO58" i="3" a="1"/>
  <c r="BO58" i="3" s="1"/>
  <c r="BN58" i="3" a="1"/>
  <c r="BN58" i="3" s="1"/>
  <c r="BN56" i="3" a="1"/>
  <c r="BN56" i="3" s="1"/>
  <c r="BN57" i="3" a="1"/>
  <c r="BN57" i="3" s="1"/>
  <c r="BO56" i="3" a="1"/>
  <c r="BO56" i="3" s="1"/>
  <c r="BO66" i="3" a="1"/>
  <c r="BO66" i="3" s="1"/>
  <c r="BN66" i="3" a="1"/>
  <c r="BN66" i="3" s="1"/>
  <c r="BN67" i="3" a="1"/>
  <c r="BN67" i="3" s="1"/>
  <c r="BO44" i="3" a="1"/>
  <c r="BO44" i="3" s="1"/>
  <c r="BN44" i="3" a="1"/>
  <c r="BN44" i="3" s="1"/>
  <c r="BN45" i="3" a="1"/>
  <c r="BN45" i="3" s="1"/>
  <c r="BO64" i="3" a="1"/>
  <c r="BO64" i="3" s="1"/>
  <c r="BN64" i="3" a="1"/>
  <c r="BN64" i="3" s="1"/>
  <c r="BN65" i="3" a="1"/>
  <c r="BN65" i="3" s="1"/>
  <c r="BO54" i="3" a="1"/>
  <c r="BO54" i="3" s="1"/>
  <c r="BN54" i="3" a="1"/>
  <c r="BN54" i="3" s="1"/>
  <c r="BN55" i="3" a="1"/>
  <c r="BN55" i="3" s="1"/>
  <c r="AP12" i="3" a="1"/>
  <c r="AP12" i="3" s="1"/>
  <c r="AW24" i="3" a="1"/>
  <c r="BI16" i="3" a="1"/>
  <c r="AW30" i="3" a="1"/>
  <c r="BH17" i="3" a="1"/>
  <c r="AQ26" i="3" a="1"/>
  <c r="AX15" i="3" a="1"/>
  <c r="AQ20" i="3" a="1"/>
  <c r="AX35" i="3" a="1"/>
  <c r="AV25" i="3" a="1"/>
  <c r="AQ36" i="3" a="1"/>
  <c r="AY14" i="3" a="1"/>
  <c r="AV31" i="3" a="1"/>
  <c r="AP27" i="3" a="1"/>
  <c r="AP37" i="3" a="1"/>
  <c r="AP21" i="3" a="1"/>
  <c r="AP23" i="3" a="1"/>
  <c r="AY34" i="3" a="1"/>
  <c r="AQ22" i="3" a="1"/>
  <c r="AP39" i="3" a="1"/>
  <c r="AQ38" i="3" a="1"/>
  <c r="AP13" i="3" a="1"/>
  <c r="AQ12" i="3" a="1"/>
  <c r="AQ39" i="3" l="1"/>
  <c r="AY35" i="3"/>
  <c r="AW31" i="3"/>
  <c r="AQ27" i="3"/>
  <c r="AW25" i="3"/>
  <c r="AQ23" i="3"/>
  <c r="AQ21" i="3"/>
  <c r="BI17" i="3"/>
  <c r="AY15" i="3"/>
  <c r="AQ13" i="3"/>
  <c r="AQ37" i="3"/>
  <c r="BO71" i="3"/>
  <c r="BO69" i="3"/>
  <c r="BO67" i="3"/>
  <c r="BO65" i="3"/>
  <c r="BO63" i="3"/>
  <c r="BO61" i="3"/>
  <c r="BO59" i="3"/>
  <c r="BO57" i="3"/>
  <c r="BO55" i="3"/>
  <c r="BO53" i="3"/>
  <c r="BO51" i="3"/>
  <c r="BO49" i="3"/>
  <c r="BO47" i="3"/>
  <c r="BO45" i="3"/>
  <c r="BO43" i="3"/>
  <c r="BO41" i="3"/>
  <c r="AQ38" i="3"/>
  <c r="AP39" i="3"/>
  <c r="AQ22" i="3"/>
  <c r="AY34" i="3"/>
  <c r="AP23" i="3"/>
  <c r="AP21" i="3"/>
  <c r="AP37" i="3"/>
  <c r="AP27" i="3"/>
  <c r="AV31" i="3"/>
  <c r="AY14" i="3"/>
  <c r="AQ36" i="3"/>
  <c r="AV25" i="3"/>
  <c r="AX35" i="3"/>
  <c r="AQ20" i="3"/>
  <c r="AX15" i="3"/>
  <c r="AQ26" i="3"/>
  <c r="BH17" i="3"/>
  <c r="AW30" i="3"/>
  <c r="BI16" i="3"/>
  <c r="AW24" i="3"/>
  <c r="BB32" i="3" a="1"/>
  <c r="BB32" i="3" s="1"/>
  <c r="AX18" i="3" a="1"/>
  <c r="AX18" i="3" s="1"/>
  <c r="AV28" i="3" a="1"/>
  <c r="AV28" i="3" s="1"/>
  <c r="AQ12" i="3"/>
  <c r="AP13" i="3"/>
  <c r="BP46" i="3" a="1"/>
  <c r="BP46" i="3" s="1"/>
  <c r="BP47" i="3" a="1"/>
  <c r="BP47" i="3" s="1"/>
  <c r="BQ46" i="3" a="1"/>
  <c r="BQ46" i="3" s="1"/>
  <c r="BP51" i="3" a="1"/>
  <c r="BP51" i="3" s="1"/>
  <c r="BQ50" i="3" a="1"/>
  <c r="BQ50" i="3" s="1"/>
  <c r="BP50" i="3" a="1"/>
  <c r="BP50" i="3" s="1"/>
  <c r="BP57" i="3" a="1"/>
  <c r="BP57" i="3" s="1"/>
  <c r="BQ56" i="3" a="1"/>
  <c r="BQ56" i="3" s="1"/>
  <c r="BP56" i="3" a="1"/>
  <c r="BP56" i="3" s="1"/>
  <c r="BP59" i="3" a="1"/>
  <c r="BP59" i="3" s="1"/>
  <c r="BQ58" i="3" a="1"/>
  <c r="BQ58" i="3" s="1"/>
  <c r="BP58" i="3" a="1"/>
  <c r="BP58" i="3" s="1"/>
  <c r="BP61" i="3" a="1"/>
  <c r="BP61" i="3" s="1"/>
  <c r="BQ60" i="3" a="1"/>
  <c r="BQ60" i="3" s="1"/>
  <c r="BP60" i="3" a="1"/>
  <c r="BP60" i="3" s="1"/>
  <c r="BP63" i="3" a="1"/>
  <c r="BP63" i="3" s="1"/>
  <c r="BQ62" i="3" a="1"/>
  <c r="BQ62" i="3" s="1"/>
  <c r="BP62" i="3" a="1"/>
  <c r="BP62" i="3" s="1"/>
  <c r="BP54" i="3" a="1"/>
  <c r="BP54" i="3" s="1"/>
  <c r="BP55" i="3" a="1"/>
  <c r="BP55" i="3" s="1"/>
  <c r="BQ54" i="3" a="1"/>
  <c r="BQ54" i="3" s="1"/>
  <c r="BP45" i="3" a="1"/>
  <c r="BP45" i="3" s="1"/>
  <c r="BQ44" i="3" a="1"/>
  <c r="BQ44" i="3" s="1"/>
  <c r="BP44" i="3" a="1"/>
  <c r="BP44" i="3" s="1"/>
  <c r="BP49" i="3" a="1"/>
  <c r="BP49" i="3" s="1"/>
  <c r="BQ48" i="3" a="1"/>
  <c r="BQ48" i="3" s="1"/>
  <c r="BP48" i="3" a="1"/>
  <c r="BP48" i="3" s="1"/>
  <c r="BP53" i="3" a="1"/>
  <c r="BP53" i="3" s="1"/>
  <c r="BQ52" i="3" a="1"/>
  <c r="BQ52" i="3" s="1"/>
  <c r="BP52" i="3" a="1"/>
  <c r="BP52" i="3" s="1"/>
  <c r="BP71" i="3" a="1"/>
  <c r="BP71" i="3" s="1"/>
  <c r="BQ70" i="3" a="1"/>
  <c r="BQ70" i="3" s="1"/>
  <c r="BP70" i="3" a="1"/>
  <c r="BP70" i="3" s="1"/>
  <c r="BP65" i="3" a="1"/>
  <c r="BP65" i="3" s="1"/>
  <c r="BQ64" i="3" a="1"/>
  <c r="BQ64" i="3" s="1"/>
  <c r="BP64" i="3" a="1"/>
  <c r="BP64" i="3" s="1"/>
  <c r="BQ42" i="3" a="1"/>
  <c r="BQ42" i="3" s="1"/>
  <c r="BP43" i="3" a="1"/>
  <c r="BP43" i="3" s="1"/>
  <c r="BP42" i="3" a="1"/>
  <c r="BP42" i="3" s="1"/>
  <c r="BP69" i="3" a="1"/>
  <c r="BP69" i="3" s="1"/>
  <c r="BQ68" i="3" a="1"/>
  <c r="BQ68" i="3" s="1"/>
  <c r="BP68" i="3" a="1"/>
  <c r="BP68" i="3" s="1"/>
  <c r="BP67" i="3" a="1"/>
  <c r="BP67" i="3" s="1"/>
  <c r="BQ66" i="3" a="1"/>
  <c r="BQ66" i="3" s="1"/>
  <c r="BP66" i="3" a="1"/>
  <c r="BP66" i="3" s="1"/>
  <c r="BP41" i="3" a="1"/>
  <c r="BP41" i="3" s="1"/>
  <c r="BP40" i="3" a="1"/>
  <c r="BP40" i="3" s="1"/>
  <c r="BQ40" i="3" a="1"/>
  <c r="BQ40" i="3" s="1"/>
  <c r="AX19" i="3" a="1"/>
  <c r="AW28" i="3" a="1"/>
  <c r="AV29" i="3" a="1"/>
  <c r="AY18" i="3" a="1"/>
  <c r="BB33" i="3" a="1"/>
  <c r="BC32" i="3" a="1"/>
  <c r="AW29" i="3" l="1"/>
  <c r="AY19" i="3"/>
  <c r="BC33" i="3"/>
  <c r="BQ71" i="3"/>
  <c r="BQ69" i="3"/>
  <c r="BQ67" i="3"/>
  <c r="BQ65" i="3"/>
  <c r="BQ63" i="3"/>
  <c r="BQ61" i="3"/>
  <c r="BQ59" i="3"/>
  <c r="BQ57" i="3"/>
  <c r="BQ55" i="3"/>
  <c r="BQ53" i="3"/>
  <c r="BQ51" i="3"/>
  <c r="BQ49" i="3"/>
  <c r="BQ47" i="3"/>
  <c r="BQ45" i="3"/>
  <c r="BQ43" i="3"/>
  <c r="BQ41" i="3"/>
  <c r="BC32" i="3"/>
  <c r="BB33" i="3"/>
  <c r="AY18" i="3"/>
  <c r="AV29" i="3"/>
  <c r="AW28" i="3"/>
  <c r="AX19" i="3"/>
  <c r="AR26" i="3" a="1"/>
  <c r="AR26" i="3" s="1"/>
  <c r="AR20" i="3" a="1"/>
  <c r="AR20" i="3" s="1"/>
  <c r="AX24" i="3" a="1"/>
  <c r="AX24" i="3" s="1"/>
  <c r="AZ34" i="3" a="1"/>
  <c r="AZ34" i="3" s="1"/>
  <c r="BJ16" i="3" a="1"/>
  <c r="BJ16" i="3" s="1"/>
  <c r="AR36" i="3" a="1"/>
  <c r="AR36" i="3" s="1"/>
  <c r="AR22" i="3" a="1"/>
  <c r="AR22" i="3" s="1"/>
  <c r="AX30" i="3" a="1"/>
  <c r="AX30" i="3" s="1"/>
  <c r="AZ14" i="3" a="1"/>
  <c r="AZ14" i="3" s="1"/>
  <c r="AR38" i="3" a="1"/>
  <c r="AR38" i="3" s="1"/>
  <c r="BR67" i="3" a="1"/>
  <c r="BR67" i="3" s="1"/>
  <c r="BS66" i="3" a="1"/>
  <c r="BS66" i="3" s="1"/>
  <c r="BR66" i="3" a="1"/>
  <c r="BR66" i="3" s="1"/>
  <c r="BS44" i="3" a="1"/>
  <c r="BS44" i="3" s="1"/>
  <c r="BR44" i="3" a="1"/>
  <c r="BR44" i="3" s="1"/>
  <c r="BR45" i="3" a="1"/>
  <c r="BR45" i="3" s="1"/>
  <c r="BR56" i="3" a="1"/>
  <c r="BR56" i="3" s="1"/>
  <c r="BR57" i="3" a="1"/>
  <c r="BR57" i="3" s="1"/>
  <c r="BS56" i="3" a="1"/>
  <c r="BS56" i="3" s="1"/>
  <c r="BR53" i="3" a="1"/>
  <c r="BR53" i="3" s="1"/>
  <c r="BS52" i="3" a="1"/>
  <c r="BS52" i="3" s="1"/>
  <c r="BR52" i="3" a="1"/>
  <c r="BR52" i="3" s="1"/>
  <c r="BS54" i="3" a="1"/>
  <c r="BS54" i="3" s="1"/>
  <c r="BR55" i="3" a="1"/>
  <c r="BR55" i="3" s="1"/>
  <c r="BR54" i="3" a="1"/>
  <c r="BR54" i="3" s="1"/>
  <c r="BR59" i="3" a="1"/>
  <c r="BR59" i="3" s="1"/>
  <c r="BR58" i="3" a="1"/>
  <c r="BR58" i="3" s="1"/>
  <c r="BS58" i="3" a="1"/>
  <c r="BS58" i="3" s="1"/>
  <c r="BS62" i="3" a="1"/>
  <c r="BS62" i="3" s="1"/>
  <c r="BR62" i="3" a="1"/>
  <c r="BR62" i="3" s="1"/>
  <c r="BR63" i="3" a="1"/>
  <c r="BR63" i="3" s="1"/>
  <c r="BR68" i="3" a="1"/>
  <c r="BR68" i="3" s="1"/>
  <c r="BS68" i="3" a="1"/>
  <c r="BS68" i="3" s="1"/>
  <c r="BR69" i="3" a="1"/>
  <c r="BR69" i="3" s="1"/>
  <c r="BS70" i="3" a="1"/>
  <c r="BS70" i="3" s="1"/>
  <c r="BR71" i="3" a="1"/>
  <c r="BR71" i="3" s="1"/>
  <c r="BR70" i="3" a="1"/>
  <c r="BR70" i="3" s="1"/>
  <c r="BS60" i="3" a="1"/>
  <c r="BS60" i="3" s="1"/>
  <c r="BR61" i="3" a="1"/>
  <c r="BR61" i="3" s="1"/>
  <c r="BR60" i="3" a="1"/>
  <c r="BR60" i="3" s="1"/>
  <c r="BS46" i="3" a="1"/>
  <c r="BS46" i="3" s="1"/>
  <c r="BR47" i="3" a="1"/>
  <c r="BR47" i="3" s="1"/>
  <c r="BR46" i="3" a="1"/>
  <c r="BR46" i="3" s="1"/>
  <c r="BR43" i="3" a="1"/>
  <c r="BR43" i="3" s="1"/>
  <c r="BR42" i="3" a="1"/>
  <c r="BR42" i="3" s="1"/>
  <c r="BS42" i="3" a="1"/>
  <c r="BS42" i="3" s="1"/>
  <c r="BS64" i="3" a="1"/>
  <c r="BS64" i="3" s="1"/>
  <c r="BR65" i="3" a="1"/>
  <c r="BR65" i="3" s="1"/>
  <c r="BR64" i="3" a="1"/>
  <c r="BR64" i="3" s="1"/>
  <c r="BR48" i="3" a="1"/>
  <c r="BR48" i="3" s="1"/>
  <c r="BS48" i="3" a="1"/>
  <c r="BS48" i="3" s="1"/>
  <c r="BR49" i="3" a="1"/>
  <c r="BR49" i="3" s="1"/>
  <c r="BS40" i="3" a="1"/>
  <c r="BS40" i="3" s="1"/>
  <c r="BR40" i="3" a="1"/>
  <c r="BR40" i="3" s="1"/>
  <c r="BR41" i="3" a="1"/>
  <c r="BR41" i="3" s="1"/>
  <c r="BS50" i="3" a="1"/>
  <c r="BS50" i="3" s="1"/>
  <c r="BR50" i="3" a="1"/>
  <c r="BR50" i="3" s="1"/>
  <c r="BR51" i="3" a="1"/>
  <c r="BR51" i="3" s="1"/>
  <c r="AR12" i="3" a="1"/>
  <c r="AR12" i="3" s="1"/>
  <c r="AS26" i="3" a="1"/>
  <c r="AZ35" i="3" a="1"/>
  <c r="AS22" i="3" a="1"/>
  <c r="BA14" i="3" a="1"/>
  <c r="BA34" i="3" a="1"/>
  <c r="AR39" i="3" a="1"/>
  <c r="BJ17" i="3" a="1"/>
  <c r="AX31" i="3" a="1"/>
  <c r="AY24" i="3" a="1"/>
  <c r="AX25" i="3" a="1"/>
  <c r="AZ15" i="3" a="1"/>
  <c r="AR27" i="3" a="1"/>
  <c r="AR21" i="3" a="1"/>
  <c r="BK16" i="3" a="1"/>
  <c r="AR23" i="3" a="1"/>
  <c r="AS38" i="3" a="1"/>
  <c r="AS20" i="3" a="1"/>
  <c r="AY30" i="3" a="1"/>
  <c r="AR37" i="3" a="1"/>
  <c r="AS36" i="3" a="1"/>
  <c r="AS12" i="3" a="1"/>
  <c r="AR13" i="3" a="1"/>
  <c r="AS39" i="3" l="1"/>
  <c r="BA35" i="3"/>
  <c r="AY31" i="3"/>
  <c r="AS27" i="3"/>
  <c r="AY25" i="3"/>
  <c r="AS23" i="3"/>
  <c r="AS21" i="3"/>
  <c r="BK17" i="3"/>
  <c r="BA15" i="3"/>
  <c r="AS13" i="3"/>
  <c r="AS37" i="3"/>
  <c r="BS71" i="3"/>
  <c r="BS69" i="3"/>
  <c r="BS67" i="3"/>
  <c r="BS65" i="3"/>
  <c r="BS63" i="3"/>
  <c r="BS61" i="3"/>
  <c r="BS59" i="3"/>
  <c r="BS57" i="3"/>
  <c r="BS55" i="3"/>
  <c r="BS53" i="3"/>
  <c r="BS51" i="3"/>
  <c r="BS49" i="3"/>
  <c r="BS47" i="3"/>
  <c r="BS45" i="3"/>
  <c r="BS43" i="3"/>
  <c r="BS41" i="3"/>
  <c r="AS36" i="3"/>
  <c r="AR37" i="3"/>
  <c r="AY30" i="3"/>
  <c r="AS20" i="3"/>
  <c r="AS38" i="3"/>
  <c r="AR23" i="3"/>
  <c r="BK16" i="3"/>
  <c r="AR21" i="3"/>
  <c r="AR27" i="3"/>
  <c r="AZ15" i="3"/>
  <c r="AX25" i="3"/>
  <c r="AY24" i="3"/>
  <c r="AX31" i="3"/>
  <c r="BJ17" i="3"/>
  <c r="AR39" i="3"/>
  <c r="BA34" i="3"/>
  <c r="BA14" i="3"/>
  <c r="AS22" i="3"/>
  <c r="AZ35" i="3"/>
  <c r="AS26" i="3"/>
  <c r="AZ18" i="3" a="1"/>
  <c r="AZ18" i="3" s="1"/>
  <c r="AX28" i="3" a="1"/>
  <c r="AX28" i="3" s="1"/>
  <c r="BD32" i="3" a="1"/>
  <c r="BD32" i="3" s="1"/>
  <c r="AR13" i="3"/>
  <c r="AS12" i="3"/>
  <c r="BT40" i="3" a="1"/>
  <c r="BT40" i="3" s="1"/>
  <c r="BT41" i="3" a="1"/>
  <c r="BT41" i="3" s="1"/>
  <c r="BU40" i="3" a="1"/>
  <c r="BU40" i="3" s="1"/>
  <c r="BU52" i="3" a="1"/>
  <c r="BU52" i="3" s="1"/>
  <c r="BT52" i="3" a="1"/>
  <c r="BT52" i="3" s="1"/>
  <c r="BT53" i="3" a="1"/>
  <c r="BT53" i="3" s="1"/>
  <c r="BT47" i="3" a="1"/>
  <c r="BT47" i="3" s="1"/>
  <c r="BT46" i="3" a="1"/>
  <c r="BT46" i="3" s="1"/>
  <c r="BU46" i="3" a="1"/>
  <c r="BU46" i="3" s="1"/>
  <c r="BU66" i="3" a="1"/>
  <c r="BU66" i="3" s="1"/>
  <c r="BT67" i="3" a="1"/>
  <c r="BT67" i="3" s="1"/>
  <c r="BT66" i="3" a="1"/>
  <c r="BT66" i="3" s="1"/>
  <c r="BU50" i="3" a="1"/>
  <c r="BU50" i="3" s="1"/>
  <c r="BT50" i="3" a="1"/>
  <c r="BT50" i="3" s="1"/>
  <c r="BT51" i="3" a="1"/>
  <c r="BT51" i="3" s="1"/>
  <c r="BU60" i="3" a="1"/>
  <c r="BU60" i="3" s="1"/>
  <c r="BT61" i="3" a="1"/>
  <c r="BT61" i="3" s="1"/>
  <c r="BT60" i="3" a="1"/>
  <c r="BT60" i="3" s="1"/>
  <c r="BT43" i="3" a="1"/>
  <c r="BT43" i="3" s="1"/>
  <c r="BU42" i="3" a="1"/>
  <c r="BU42" i="3" s="1"/>
  <c r="BT42" i="3" a="1"/>
  <c r="BT42" i="3" s="1"/>
  <c r="BU48" i="3" a="1"/>
  <c r="BU48" i="3" s="1"/>
  <c r="BT49" i="3" a="1"/>
  <c r="BT49" i="3" s="1"/>
  <c r="BT48" i="3" a="1"/>
  <c r="BT48" i="3" s="1"/>
  <c r="BU62" i="3" a="1"/>
  <c r="BU62" i="3" s="1"/>
  <c r="BT63" i="3" a="1"/>
  <c r="BT63" i="3" s="1"/>
  <c r="BT62" i="3" a="1"/>
  <c r="BT62" i="3" s="1"/>
  <c r="BU56" i="3" a="1"/>
  <c r="BU56" i="3" s="1"/>
  <c r="BT57" i="3" a="1"/>
  <c r="BT57" i="3" s="1"/>
  <c r="BT56" i="3" a="1"/>
  <c r="BT56" i="3" s="1"/>
  <c r="BU44" i="3" a="1"/>
  <c r="BU44" i="3" s="1"/>
  <c r="BT44" i="3" a="1"/>
  <c r="BT44" i="3" s="1"/>
  <c r="BT45" i="3" a="1"/>
  <c r="BT45" i="3" s="1"/>
  <c r="BU64" i="3" a="1"/>
  <c r="BU64" i="3" s="1"/>
  <c r="BT65" i="3" a="1"/>
  <c r="BT65" i="3" s="1"/>
  <c r="BT64" i="3" a="1"/>
  <c r="BT64" i="3" s="1"/>
  <c r="BU58" i="3" a="1"/>
  <c r="BU58" i="3" s="1"/>
  <c r="BT58" i="3" a="1"/>
  <c r="BT58" i="3" s="1"/>
  <c r="BT59" i="3" a="1"/>
  <c r="BT59" i="3" s="1"/>
  <c r="BU70" i="3" a="1"/>
  <c r="BU70" i="3" s="1"/>
  <c r="BT71" i="3" a="1"/>
  <c r="BT71" i="3" s="1"/>
  <c r="BT70" i="3" a="1"/>
  <c r="BT70" i="3" s="1"/>
  <c r="BU68" i="3" a="1"/>
  <c r="BU68" i="3" s="1"/>
  <c r="BT69" i="3" a="1"/>
  <c r="BT69" i="3" s="1"/>
  <c r="BT68" i="3" a="1"/>
  <c r="BT68" i="3" s="1"/>
  <c r="BT55" i="3" a="1"/>
  <c r="BT55" i="3" s="1"/>
  <c r="BT54" i="3" a="1"/>
  <c r="BT54" i="3" s="1"/>
  <c r="BU54" i="3" a="1"/>
  <c r="BU54" i="3" s="1"/>
  <c r="AX29" i="3" a="1"/>
  <c r="BD33" i="3" a="1"/>
  <c r="AZ19" i="3" a="1"/>
  <c r="BE32" i="3" a="1"/>
  <c r="BA18" i="3" a="1"/>
  <c r="AY28" i="3" a="1"/>
  <c r="AY29" i="3" l="1"/>
  <c r="BA19" i="3"/>
  <c r="BE33" i="3"/>
  <c r="BU71" i="3"/>
  <c r="BU69" i="3"/>
  <c r="BU67" i="3"/>
  <c r="BU65" i="3"/>
  <c r="BU63" i="3"/>
  <c r="BU61" i="3"/>
  <c r="BU59" i="3"/>
  <c r="BU57" i="3"/>
  <c r="BU55" i="3"/>
  <c r="BU53" i="3"/>
  <c r="BU51" i="3"/>
  <c r="BU49" i="3"/>
  <c r="BU47" i="3"/>
  <c r="BU45" i="3"/>
  <c r="BU43" i="3"/>
  <c r="BU41" i="3"/>
  <c r="AY28" i="3"/>
  <c r="BA18" i="3"/>
  <c r="BE32" i="3"/>
  <c r="AZ19" i="3"/>
  <c r="BD33" i="3"/>
  <c r="AX29" i="3"/>
  <c r="BB34" i="3" a="1"/>
  <c r="BB34" i="3" s="1"/>
  <c r="BL16" i="3" a="1"/>
  <c r="BL16" i="3" s="1"/>
  <c r="AT38" i="3" a="1"/>
  <c r="AT38" i="3" s="1"/>
  <c r="AT26" i="3" a="1"/>
  <c r="AT26" i="3" s="1"/>
  <c r="AZ24" i="3" a="1"/>
  <c r="AZ24" i="3" s="1"/>
  <c r="AT20" i="3" a="1"/>
  <c r="AT20" i="3" s="1"/>
  <c r="AZ30" i="3" a="1"/>
  <c r="AZ30" i="3" s="1"/>
  <c r="AT22" i="3" a="1"/>
  <c r="AT22" i="3" s="1"/>
  <c r="BB14" i="3" a="1"/>
  <c r="BB14" i="3" s="1"/>
  <c r="AT36" i="3" a="1"/>
  <c r="AT36" i="3" s="1"/>
  <c r="BV58" i="3" a="1"/>
  <c r="BV58" i="3" s="1"/>
  <c r="BV59" i="3" a="1"/>
  <c r="BV59" i="3" s="1"/>
  <c r="BW58" i="3" a="1"/>
  <c r="BW58" i="3" s="1"/>
  <c r="BW44" i="3" a="1"/>
  <c r="BW44" i="3" s="1"/>
  <c r="BV44" i="3" a="1"/>
  <c r="BV44" i="3" s="1"/>
  <c r="BV45" i="3" a="1"/>
  <c r="BV45" i="3" s="1"/>
  <c r="BW70" i="3" a="1"/>
  <c r="BW70" i="3" s="1"/>
  <c r="BV70" i="3" a="1"/>
  <c r="BV70" i="3" s="1"/>
  <c r="BV71" i="3" a="1"/>
  <c r="BV71" i="3" s="1"/>
  <c r="BV42" i="3" a="1"/>
  <c r="BV42" i="3" s="1"/>
  <c r="BV43" i="3" a="1"/>
  <c r="BV43" i="3" s="1"/>
  <c r="BW42" i="3" a="1"/>
  <c r="BW42" i="3" s="1"/>
  <c r="BW40" i="3" a="1"/>
  <c r="BW40" i="3" s="1"/>
  <c r="BV40" i="3" a="1"/>
  <c r="BV40" i="3" s="1"/>
  <c r="BV41" i="3" a="1"/>
  <c r="BV41" i="3" s="1"/>
  <c r="BV48" i="3" a="1"/>
  <c r="BV48" i="3" s="1"/>
  <c r="BV49" i="3" a="1"/>
  <c r="BV49" i="3" s="1"/>
  <c r="BW48" i="3" a="1"/>
  <c r="BW48" i="3" s="1"/>
  <c r="BV56" i="3" a="1"/>
  <c r="BV56" i="3" s="1"/>
  <c r="BV57" i="3" a="1"/>
  <c r="BV57" i="3" s="1"/>
  <c r="BW56" i="3" a="1"/>
  <c r="BW56" i="3" s="1"/>
  <c r="BW46" i="3" a="1"/>
  <c r="BW46" i="3" s="1"/>
  <c r="BV46" i="3" a="1"/>
  <c r="BV46" i="3" s="1"/>
  <c r="BV47" i="3" a="1"/>
  <c r="BV47" i="3" s="1"/>
  <c r="BW50" i="3" a="1"/>
  <c r="BW50" i="3" s="1"/>
  <c r="BV50" i="3" a="1"/>
  <c r="BV50" i="3" s="1"/>
  <c r="BV51" i="3" a="1"/>
  <c r="BV51" i="3" s="1"/>
  <c r="BW66" i="3" a="1"/>
  <c r="BW66" i="3" s="1"/>
  <c r="BV66" i="3" a="1"/>
  <c r="BV66" i="3" s="1"/>
  <c r="BV67" i="3" a="1"/>
  <c r="BV67" i="3" s="1"/>
  <c r="BW60" i="3" a="1"/>
  <c r="BW60" i="3" s="1"/>
  <c r="BV60" i="3" a="1"/>
  <c r="BV60" i="3" s="1"/>
  <c r="BV61" i="3" a="1"/>
  <c r="BV61" i="3" s="1"/>
  <c r="BW64" i="3" a="1"/>
  <c r="BW64" i="3" s="1"/>
  <c r="BV64" i="3" a="1"/>
  <c r="BV64" i="3" s="1"/>
  <c r="BV65" i="3" a="1"/>
  <c r="BV65" i="3" s="1"/>
  <c r="AT12" i="3" a="1"/>
  <c r="AT12" i="3" s="1"/>
  <c r="BW54" i="3" a="1"/>
  <c r="BW54" i="3" s="1"/>
  <c r="BV55" i="3" a="1"/>
  <c r="BV55" i="3" s="1"/>
  <c r="BV54" i="3" a="1"/>
  <c r="BV54" i="3" s="1"/>
  <c r="BV68" i="3" a="1"/>
  <c r="BV68" i="3" s="1"/>
  <c r="BW68" i="3" a="1"/>
  <c r="BW68" i="3" s="1"/>
  <c r="BV69" i="3" a="1"/>
  <c r="BV69" i="3" s="1"/>
  <c r="BW62" i="3" a="1"/>
  <c r="BW62" i="3" s="1"/>
  <c r="BV63" i="3" a="1"/>
  <c r="BV63" i="3" s="1"/>
  <c r="BV62" i="3" a="1"/>
  <c r="BV62" i="3" s="1"/>
  <c r="BV53" i="3" a="1"/>
  <c r="BV53" i="3" s="1"/>
  <c r="BW52" i="3" a="1"/>
  <c r="BW52" i="3" s="1"/>
  <c r="BV52" i="3" a="1"/>
  <c r="BV52" i="3" s="1"/>
  <c r="BC34" i="3" a="1"/>
  <c r="AU26" i="3" a="1"/>
  <c r="BA24" i="3" a="1"/>
  <c r="AT21" i="3" a="1"/>
  <c r="BC14" i="3" a="1"/>
  <c r="BB35" i="3" a="1"/>
  <c r="BL17" i="3" a="1"/>
  <c r="AT27" i="3" a="1"/>
  <c r="BA30" i="3" a="1"/>
  <c r="AT39" i="3" a="1"/>
  <c r="AU20" i="3" a="1"/>
  <c r="BB15" i="3" a="1"/>
  <c r="BM16" i="3" a="1"/>
  <c r="AZ25" i="3" a="1"/>
  <c r="AZ31" i="3" a="1"/>
  <c r="AT37" i="3" a="1"/>
  <c r="AU36" i="3" a="1"/>
  <c r="AU22" i="3" a="1"/>
  <c r="AU38" i="3" a="1"/>
  <c r="AT23" i="3" a="1"/>
  <c r="AU12" i="3" a="1"/>
  <c r="AT13" i="3" a="1"/>
  <c r="AU39" i="3" l="1"/>
  <c r="BC35" i="3"/>
  <c r="BA31" i="3"/>
  <c r="AU27" i="3"/>
  <c r="BA25" i="3"/>
  <c r="AU23" i="3"/>
  <c r="AU21" i="3"/>
  <c r="BM17" i="3"/>
  <c r="BC15" i="3"/>
  <c r="AU13" i="3"/>
  <c r="AU37" i="3"/>
  <c r="BW71" i="3"/>
  <c r="BW69" i="3"/>
  <c r="BW67" i="3"/>
  <c r="BW65" i="3"/>
  <c r="BW63" i="3"/>
  <c r="BW61" i="3"/>
  <c r="BW59" i="3"/>
  <c r="BW57" i="3"/>
  <c r="BW55" i="3"/>
  <c r="BW53" i="3"/>
  <c r="BW51" i="3"/>
  <c r="BW49" i="3"/>
  <c r="BW47" i="3"/>
  <c r="BW45" i="3"/>
  <c r="BW43" i="3"/>
  <c r="BW41" i="3"/>
  <c r="AT23" i="3"/>
  <c r="AU38" i="3"/>
  <c r="AU22" i="3"/>
  <c r="AU36" i="3"/>
  <c r="AT37" i="3"/>
  <c r="AZ31" i="3"/>
  <c r="AZ25" i="3"/>
  <c r="BM16" i="3"/>
  <c r="BB15" i="3"/>
  <c r="AU20" i="3"/>
  <c r="AT39" i="3"/>
  <c r="BA30" i="3"/>
  <c r="AT27" i="3"/>
  <c r="BL17" i="3"/>
  <c r="BB35" i="3"/>
  <c r="BC14" i="3"/>
  <c r="AT21" i="3"/>
  <c r="BA24" i="3"/>
  <c r="AU26" i="3"/>
  <c r="BC34" i="3"/>
  <c r="BF32" i="3" a="1"/>
  <c r="BF32" i="3" s="1"/>
  <c r="BB18" i="3" a="1"/>
  <c r="BB18" i="3" s="1"/>
  <c r="AZ28" i="3" a="1"/>
  <c r="AZ28" i="3" s="1"/>
  <c r="AT13" i="3"/>
  <c r="AU12" i="3"/>
  <c r="BX51" i="3" a="1"/>
  <c r="BX51" i="3" s="1"/>
  <c r="BY50" i="3" a="1"/>
  <c r="BY50" i="3" s="1"/>
  <c r="BX50" i="3" a="1"/>
  <c r="BX50" i="3" s="1"/>
  <c r="BY56" i="3" a="1"/>
  <c r="BY56" i="3" s="1"/>
  <c r="BX56" i="3" a="1"/>
  <c r="BX56" i="3" s="1"/>
  <c r="BX57" i="3" a="1"/>
  <c r="BX57" i="3" s="1"/>
  <c r="BY60" i="3" a="1"/>
  <c r="BY60" i="3" s="1"/>
  <c r="BX60" i="3" a="1"/>
  <c r="BX60" i="3" s="1"/>
  <c r="BX61" i="3" a="1"/>
  <c r="BX61" i="3" s="1"/>
  <c r="BX71" i="3" a="1"/>
  <c r="BX71" i="3" s="1"/>
  <c r="BY70" i="3" a="1"/>
  <c r="BY70" i="3" s="1"/>
  <c r="BX70" i="3" a="1"/>
  <c r="BX70" i="3" s="1"/>
  <c r="BX40" i="3" a="1"/>
  <c r="BX40" i="3" s="1"/>
  <c r="BX41" i="3" a="1"/>
  <c r="BX41" i="3" s="1"/>
  <c r="BY40" i="3" a="1"/>
  <c r="BY40" i="3" s="1"/>
  <c r="BX45" i="3" a="1"/>
  <c r="BX45" i="3" s="1"/>
  <c r="BY44" i="3" a="1"/>
  <c r="BY44" i="3" s="1"/>
  <c r="BX44" i="3" a="1"/>
  <c r="BX44" i="3" s="1"/>
  <c r="BX43" i="3" a="1"/>
  <c r="BX43" i="3" s="1"/>
  <c r="BY42" i="3" a="1"/>
  <c r="BY42" i="3" s="1"/>
  <c r="BX42" i="3" a="1"/>
  <c r="BX42" i="3" s="1"/>
  <c r="BX59" i="3" a="1"/>
  <c r="BX59" i="3" s="1"/>
  <c r="BY58" i="3" a="1"/>
  <c r="BY58" i="3" s="1"/>
  <c r="BX58" i="3" a="1"/>
  <c r="BX58" i="3" s="1"/>
  <c r="BY62" i="3" a="1"/>
  <c r="BY62" i="3" s="1"/>
  <c r="BX62" i="3" a="1"/>
  <c r="BX62" i="3" s="1"/>
  <c r="BX63" i="3" a="1"/>
  <c r="BX63" i="3" s="1"/>
  <c r="BY66" i="3" a="1"/>
  <c r="BY66" i="3" s="1"/>
  <c r="BX66" i="3" a="1"/>
  <c r="BX66" i="3" s="1"/>
  <c r="BX67" i="3" a="1"/>
  <c r="BX67" i="3" s="1"/>
  <c r="BY68" i="3" a="1"/>
  <c r="BY68" i="3" s="1"/>
  <c r="BX68" i="3" a="1"/>
  <c r="BX68" i="3" s="1"/>
  <c r="BX69" i="3" a="1"/>
  <c r="BX69" i="3" s="1"/>
  <c r="BX65" i="3" a="1"/>
  <c r="BX65" i="3" s="1"/>
  <c r="BY64" i="3" a="1"/>
  <c r="BY64" i="3" s="1"/>
  <c r="BX64" i="3" a="1"/>
  <c r="BX64" i="3" s="1"/>
  <c r="BX46" i="3" a="1"/>
  <c r="BX46" i="3" s="1"/>
  <c r="BX47" i="3" a="1"/>
  <c r="BX47" i="3" s="1"/>
  <c r="BY46" i="3" a="1"/>
  <c r="BY46" i="3" s="1"/>
  <c r="BY52" i="3" a="1"/>
  <c r="BY52" i="3" s="1"/>
  <c r="BX53" i="3" a="1"/>
  <c r="BX53" i="3" s="1"/>
  <c r="BX52" i="3" a="1"/>
  <c r="BX52" i="3" s="1"/>
  <c r="BX54" i="3" a="1"/>
  <c r="BX54" i="3" s="1"/>
  <c r="BX55" i="3" a="1"/>
  <c r="BX55" i="3" s="1"/>
  <c r="BY54" i="3" a="1"/>
  <c r="BY54" i="3" s="1"/>
  <c r="BY48" i="3" a="1"/>
  <c r="BY48" i="3" s="1"/>
  <c r="BX48" i="3" a="1"/>
  <c r="BX48" i="3" s="1"/>
  <c r="BX49" i="3" a="1"/>
  <c r="BX49" i="3" s="1"/>
  <c r="BB19" i="3" a="1"/>
  <c r="BA28" i="3" a="1"/>
  <c r="BG32" i="3" a="1"/>
  <c r="BC18" i="3" a="1"/>
  <c r="AZ29" i="3" a="1"/>
  <c r="BF33" i="3" a="1"/>
  <c r="BA29" i="3" l="1"/>
  <c r="BC19" i="3"/>
  <c r="BG33" i="3"/>
  <c r="BY71" i="3"/>
  <c r="BY69" i="3"/>
  <c r="BY67" i="3"/>
  <c r="BY65" i="3"/>
  <c r="BY63" i="3"/>
  <c r="BY61" i="3"/>
  <c r="BY59" i="3"/>
  <c r="BY57" i="3"/>
  <c r="BY55" i="3"/>
  <c r="BY53" i="3"/>
  <c r="BY51" i="3"/>
  <c r="BY49" i="3"/>
  <c r="BY47" i="3"/>
  <c r="BY45" i="3"/>
  <c r="BY43" i="3"/>
  <c r="BY41" i="3"/>
  <c r="BF33" i="3"/>
  <c r="AZ29" i="3"/>
  <c r="BC18" i="3"/>
  <c r="BG32" i="3"/>
  <c r="BA28" i="3"/>
  <c r="BB19" i="3"/>
  <c r="BD14" i="3" a="1"/>
  <c r="BD14" i="3" s="1"/>
  <c r="BD34" i="3" a="1"/>
  <c r="BD34" i="3" s="1"/>
  <c r="BB30" i="3" a="1"/>
  <c r="BB30" i="3" s="1"/>
  <c r="AV36" i="3" a="1"/>
  <c r="AV36" i="3" s="1"/>
  <c r="BN16" i="3" a="1"/>
  <c r="BN16" i="3" s="1"/>
  <c r="AV26" i="3" a="1"/>
  <c r="AV26" i="3" s="1"/>
  <c r="AV22" i="3" a="1"/>
  <c r="AV22" i="3" s="1"/>
  <c r="BB24" i="3" a="1"/>
  <c r="BB24" i="3" s="1"/>
  <c r="AV20" i="3" a="1"/>
  <c r="AV20" i="3" s="1"/>
  <c r="AV38" i="3" a="1"/>
  <c r="AV38" i="3" s="1"/>
  <c r="AV12" i="3" a="1"/>
  <c r="AV12" i="3" s="1"/>
  <c r="AV37" i="3" a="1"/>
  <c r="AV23" i="3" a="1"/>
  <c r="AW20" i="3" a="1"/>
  <c r="BD35" i="3" a="1"/>
  <c r="AW22" i="3" a="1"/>
  <c r="AV39" i="3" a="1"/>
  <c r="BB31" i="3" a="1"/>
  <c r="BE34" i="3" a="1"/>
  <c r="AW38" i="3" a="1"/>
  <c r="BC30" i="3" a="1"/>
  <c r="BD15" i="3" a="1"/>
  <c r="AV27" i="3" a="1"/>
  <c r="AV21" i="3" a="1"/>
  <c r="BE14" i="3" a="1"/>
  <c r="AW36" i="3" a="1"/>
  <c r="AW26" i="3" a="1"/>
  <c r="BO16" i="3" a="1"/>
  <c r="BC24" i="3" a="1"/>
  <c r="BN17" i="3" a="1"/>
  <c r="BB25" i="3" a="1"/>
  <c r="AW12" i="3" a="1"/>
  <c r="AV13" i="3" a="1"/>
  <c r="O70" i="3" a="1"/>
  <c r="O68" i="3" a="1"/>
  <c r="O66" i="3" a="1"/>
  <c r="O64" i="3" a="1"/>
  <c r="O62" i="3" a="1"/>
  <c r="O60" i="3" a="1"/>
  <c r="O58" i="3" a="1"/>
  <c r="O56" i="3" a="1"/>
  <c r="O54" i="3" a="1"/>
  <c r="O52" i="3" a="1"/>
  <c r="O50" i="3" a="1"/>
  <c r="O48" i="3" a="1"/>
  <c r="O46" i="3" a="1"/>
  <c r="O44" i="3" a="1"/>
  <c r="O42" i="3" a="1"/>
  <c r="O40" i="3" a="1"/>
  <c r="O70" i="3" l="1"/>
  <c r="O68" i="3"/>
  <c r="O66" i="3"/>
  <c r="O64" i="3"/>
  <c r="O62" i="3"/>
  <c r="O60" i="3"/>
  <c r="O58" i="3"/>
  <c r="O56" i="3"/>
  <c r="O54" i="3"/>
  <c r="O52" i="3"/>
  <c r="O50" i="3"/>
  <c r="O48" i="3"/>
  <c r="O46" i="3"/>
  <c r="O44" i="3"/>
  <c r="O42" i="3"/>
  <c r="O40" i="3"/>
  <c r="AW39" i="3"/>
  <c r="BE35" i="3"/>
  <c r="BC31" i="3"/>
  <c r="AW27" i="3"/>
  <c r="BC25" i="3"/>
  <c r="AW23" i="3"/>
  <c r="AW21" i="3"/>
  <c r="BO17" i="3"/>
  <c r="BE15" i="3"/>
  <c r="AW13" i="3"/>
  <c r="AW37" i="3"/>
  <c r="BB25" i="3"/>
  <c r="BN17" i="3"/>
  <c r="BC24" i="3"/>
  <c r="BO16" i="3"/>
  <c r="AW26" i="3"/>
  <c r="AW36" i="3"/>
  <c r="BE14" i="3"/>
  <c r="AV21" i="3"/>
  <c r="AV27" i="3"/>
  <c r="BD15" i="3"/>
  <c r="BC30" i="3"/>
  <c r="AW38" i="3"/>
  <c r="BE34" i="3"/>
  <c r="BB31" i="3"/>
  <c r="AV39" i="3"/>
  <c r="AW22" i="3"/>
  <c r="BD35" i="3"/>
  <c r="AW20" i="3"/>
  <c r="AV23" i="3"/>
  <c r="AV37" i="3"/>
  <c r="BH32" i="3" a="1"/>
  <c r="BH32" i="3" s="1"/>
  <c r="BB28" i="3" a="1"/>
  <c r="BB28" i="3" s="1"/>
  <c r="BD18" i="3" a="1"/>
  <c r="BD18" i="3" s="1"/>
  <c r="AV13" i="3"/>
  <c r="AW12" i="3"/>
  <c r="BB29" i="3" a="1"/>
  <c r="BC28" i="3" a="1"/>
  <c r="BE18" i="3" a="1"/>
  <c r="BD19" i="3" a="1"/>
  <c r="BI32" i="3" a="1"/>
  <c r="BH33" i="3" a="1"/>
  <c r="BC29" i="3" l="1"/>
  <c r="BE19" i="3"/>
  <c r="BI33" i="3"/>
  <c r="BH33" i="3"/>
  <c r="BI32" i="3"/>
  <c r="BD19" i="3"/>
  <c r="BE18" i="3"/>
  <c r="BC28" i="3"/>
  <c r="BB29" i="3"/>
  <c r="BF14" i="3" a="1"/>
  <c r="BF14" i="3" s="1"/>
  <c r="BF34" i="3" a="1"/>
  <c r="BF34" i="3" s="1"/>
  <c r="AX26" i="3" a="1"/>
  <c r="AX26" i="3" s="1"/>
  <c r="AX38" i="3" a="1"/>
  <c r="AX38" i="3" s="1"/>
  <c r="BP16" i="3" a="1"/>
  <c r="BP16" i="3" s="1"/>
  <c r="AX22" i="3" a="1"/>
  <c r="AX22" i="3" s="1"/>
  <c r="AX36" i="3" a="1"/>
  <c r="AX36" i="3" s="1"/>
  <c r="BD30" i="3" a="1"/>
  <c r="BD30" i="3" s="1"/>
  <c r="BD24" i="3" a="1"/>
  <c r="BD24" i="3" s="1"/>
  <c r="AX20" i="3" a="1"/>
  <c r="AX20" i="3" s="1"/>
  <c r="AX12" i="3" a="1"/>
  <c r="AX12" i="3" s="1"/>
  <c r="AX39" i="3" a="1"/>
  <c r="BF35" i="3" a="1"/>
  <c r="AY36" i="3" a="1"/>
  <c r="AX21" i="3" a="1"/>
  <c r="BG34" i="3" a="1"/>
  <c r="BP17" i="3" a="1"/>
  <c r="AX37" i="3" a="1"/>
  <c r="AY20" i="3" a="1"/>
  <c r="BQ16" i="3" a="1"/>
  <c r="BD31" i="3" a="1"/>
  <c r="BE30" i="3" a="1"/>
  <c r="AX27" i="3" a="1"/>
  <c r="BF15" i="3" a="1"/>
  <c r="AY26" i="3" a="1"/>
  <c r="AX23" i="3" a="1"/>
  <c r="BE24" i="3" a="1"/>
  <c r="BG14" i="3" a="1"/>
  <c r="AY38" i="3" a="1"/>
  <c r="AY22" i="3" a="1"/>
  <c r="BD25" i="3" a="1"/>
  <c r="AX13" i="3" a="1"/>
  <c r="AY12" i="3" a="1"/>
  <c r="AY39" i="3" l="1"/>
  <c r="BG35" i="3"/>
  <c r="BE31" i="3"/>
  <c r="AY27" i="3"/>
  <c r="BE25" i="3"/>
  <c r="AY23" i="3"/>
  <c r="AY21" i="3"/>
  <c r="BQ17" i="3"/>
  <c r="BG15" i="3"/>
  <c r="AY13" i="3"/>
  <c r="AY37" i="3"/>
  <c r="BD25" i="3"/>
  <c r="AY22" i="3"/>
  <c r="AY38" i="3"/>
  <c r="BG14" i="3"/>
  <c r="BE24" i="3"/>
  <c r="AX23" i="3"/>
  <c r="AY26" i="3"/>
  <c r="BF15" i="3"/>
  <c r="AX27" i="3"/>
  <c r="BE30" i="3"/>
  <c r="BD31" i="3"/>
  <c r="BQ16" i="3"/>
  <c r="AY20" i="3"/>
  <c r="AX37" i="3"/>
  <c r="BP17" i="3"/>
  <c r="BG34" i="3"/>
  <c r="AX21" i="3"/>
  <c r="AY36" i="3"/>
  <c r="BF35" i="3"/>
  <c r="AX39" i="3"/>
  <c r="BD28" i="3" a="1"/>
  <c r="BD28" i="3" s="1"/>
  <c r="BF18" i="3" a="1"/>
  <c r="BF18" i="3" s="1"/>
  <c r="BJ32" i="3" a="1"/>
  <c r="BJ32" i="3" s="1"/>
  <c r="AY12" i="3"/>
  <c r="AX13" i="3"/>
  <c r="BG18" i="3" a="1"/>
  <c r="BJ33" i="3" a="1"/>
  <c r="BD29" i="3" a="1"/>
  <c r="BE28" i="3" a="1"/>
  <c r="BF19" i="3" a="1"/>
  <c r="BK32" i="3" a="1"/>
  <c r="BE29" i="3" l="1"/>
  <c r="BG19" i="3"/>
  <c r="BK33" i="3"/>
  <c r="BK32" i="3"/>
  <c r="BF19" i="3"/>
  <c r="BE28" i="3"/>
  <c r="BD29" i="3"/>
  <c r="BJ33" i="3"/>
  <c r="BG18" i="3"/>
  <c r="BH34" i="3" a="1"/>
  <c r="BH34" i="3" s="1"/>
  <c r="AZ26" i="3" a="1"/>
  <c r="AZ26" i="3" s="1"/>
  <c r="BR16" i="3" a="1"/>
  <c r="BR16" i="3" s="1"/>
  <c r="BH14" i="3" a="1"/>
  <c r="BH14" i="3" s="1"/>
  <c r="AZ38" i="3" a="1"/>
  <c r="AZ38" i="3" s="1"/>
  <c r="AZ36" i="3" a="1"/>
  <c r="AZ36" i="3" s="1"/>
  <c r="BF30" i="3" a="1"/>
  <c r="BF30" i="3" s="1"/>
  <c r="AZ22" i="3" a="1"/>
  <c r="AZ22" i="3" s="1"/>
  <c r="AZ20" i="3" a="1"/>
  <c r="AZ20" i="3" s="1"/>
  <c r="BF24" i="3" a="1"/>
  <c r="BF24" i="3" s="1"/>
  <c r="AZ12" i="3" a="1"/>
  <c r="AZ12" i="3" s="1"/>
  <c r="BH35" i="3" a="1"/>
  <c r="AZ21" i="3" a="1"/>
  <c r="BA20" i="3" a="1"/>
  <c r="AZ27" i="3" a="1"/>
  <c r="BI14" i="3" a="1"/>
  <c r="BG30" i="3" a="1"/>
  <c r="BA36" i="3" a="1"/>
  <c r="AZ23" i="3" a="1"/>
  <c r="AZ37" i="3" a="1"/>
  <c r="AZ39" i="3" a="1"/>
  <c r="BF31" i="3" a="1"/>
  <c r="BF25" i="3" a="1"/>
  <c r="BA26" i="3" a="1"/>
  <c r="BA38" i="3" a="1"/>
  <c r="BA22" i="3" a="1"/>
  <c r="BG24" i="3" a="1"/>
  <c r="BS16" i="3" a="1"/>
  <c r="BR17" i="3" a="1"/>
  <c r="BI34" i="3" a="1"/>
  <c r="BH15" i="3" a="1"/>
  <c r="AZ13" i="3" a="1"/>
  <c r="BA12" i="3" a="1"/>
  <c r="BA39" i="3" l="1"/>
  <c r="BI35" i="3"/>
  <c r="BG31" i="3"/>
  <c r="BA27" i="3"/>
  <c r="BG25" i="3"/>
  <c r="BA23" i="3"/>
  <c r="BA21" i="3"/>
  <c r="BS17" i="3"/>
  <c r="BI15" i="3"/>
  <c r="BA13" i="3"/>
  <c r="BA37" i="3"/>
  <c r="BH15" i="3"/>
  <c r="BI34" i="3"/>
  <c r="BR17" i="3"/>
  <c r="BS16" i="3"/>
  <c r="BG24" i="3"/>
  <c r="BA22" i="3"/>
  <c r="BA38" i="3"/>
  <c r="BA26" i="3"/>
  <c r="BF25" i="3"/>
  <c r="BF31" i="3"/>
  <c r="AZ39" i="3"/>
  <c r="AZ37" i="3"/>
  <c r="AZ23" i="3"/>
  <c r="BA36" i="3"/>
  <c r="BG30" i="3"/>
  <c r="BI14" i="3"/>
  <c r="AZ27" i="3"/>
  <c r="BA20" i="3"/>
  <c r="AZ21" i="3"/>
  <c r="BH35" i="3"/>
  <c r="BF28" i="3" a="1"/>
  <c r="BF28" i="3" s="1"/>
  <c r="BH18" i="3" a="1"/>
  <c r="BH18" i="3" s="1"/>
  <c r="BL32" i="3" a="1"/>
  <c r="BL32" i="3" s="1"/>
  <c r="BA12" i="3"/>
  <c r="AZ13" i="3"/>
  <c r="BH19" i="3" a="1"/>
  <c r="BL33" i="3" a="1"/>
  <c r="BM32" i="3" a="1"/>
  <c r="BG28" i="3" a="1"/>
  <c r="BF29" i="3" a="1"/>
  <c r="BI18" i="3" a="1"/>
  <c r="BG29" i="3" l="1"/>
  <c r="BI19" i="3"/>
  <c r="BM33" i="3"/>
  <c r="BI18" i="3"/>
  <c r="BF29" i="3"/>
  <c r="BG28" i="3"/>
  <c r="BM32" i="3"/>
  <c r="BL33" i="3"/>
  <c r="BH19" i="3"/>
  <c r="BJ14" i="3" a="1"/>
  <c r="BJ14" i="3" s="1"/>
  <c r="BB26" i="3" a="1"/>
  <c r="BB26" i="3" s="1"/>
  <c r="BH30" i="3" a="1"/>
  <c r="BH30" i="3" s="1"/>
  <c r="BB38" i="3" a="1"/>
  <c r="BB38" i="3" s="1"/>
  <c r="BB36" i="3" a="1"/>
  <c r="BB36" i="3" s="1"/>
  <c r="BB22" i="3" a="1"/>
  <c r="BB22" i="3" s="1"/>
  <c r="BB20" i="3" a="1"/>
  <c r="BB20" i="3" s="1"/>
  <c r="BJ34" i="3" a="1"/>
  <c r="BJ34" i="3" s="1"/>
  <c r="BH24" i="3" a="1"/>
  <c r="BH24" i="3" s="1"/>
  <c r="BT16" i="3" a="1"/>
  <c r="BT16" i="3" s="1"/>
  <c r="BB12" i="3" a="1"/>
  <c r="BB12" i="3" s="1"/>
  <c r="BC38" i="3" a="1"/>
  <c r="BC20" i="3" a="1"/>
  <c r="BB37" i="3" a="1"/>
  <c r="BJ35" i="3" a="1"/>
  <c r="BC26" i="3" a="1"/>
  <c r="BT17" i="3" a="1"/>
  <c r="BB21" i="3" a="1"/>
  <c r="BB27" i="3" a="1"/>
  <c r="BC36" i="3" a="1"/>
  <c r="BK34" i="3" a="1"/>
  <c r="BU16" i="3" a="1"/>
  <c r="BH31" i="3" a="1"/>
  <c r="BI30" i="3" a="1"/>
  <c r="BJ15" i="3" a="1"/>
  <c r="BB23" i="3" a="1"/>
  <c r="BH25" i="3" a="1"/>
  <c r="BK14" i="3" a="1"/>
  <c r="BB39" i="3" a="1"/>
  <c r="BC22" i="3" a="1"/>
  <c r="BI24" i="3" a="1"/>
  <c r="BB13" i="3" a="1"/>
  <c r="BC12" i="3" a="1"/>
  <c r="BC39" i="3" l="1"/>
  <c r="BK35" i="3"/>
  <c r="BI31" i="3"/>
  <c r="BC27" i="3"/>
  <c r="BI25" i="3"/>
  <c r="BC23" i="3"/>
  <c r="BC21" i="3"/>
  <c r="BU17" i="3"/>
  <c r="BK15" i="3"/>
  <c r="BC13" i="3"/>
  <c r="BC37" i="3"/>
  <c r="BI24" i="3"/>
  <c r="BC22" i="3"/>
  <c r="BB39" i="3"/>
  <c r="BK14" i="3"/>
  <c r="BH25" i="3"/>
  <c r="BB23" i="3"/>
  <c r="BJ15" i="3"/>
  <c r="BI30" i="3"/>
  <c r="BH31" i="3"/>
  <c r="BU16" i="3"/>
  <c r="BK34" i="3"/>
  <c r="BC36" i="3"/>
  <c r="BB27" i="3"/>
  <c r="BB21" i="3"/>
  <c r="BT17" i="3"/>
  <c r="BC26" i="3"/>
  <c r="BJ35" i="3"/>
  <c r="BB37" i="3"/>
  <c r="BC20" i="3"/>
  <c r="BC38" i="3"/>
  <c r="BN32" i="3" a="1"/>
  <c r="BN32" i="3" s="1"/>
  <c r="BH28" i="3" a="1"/>
  <c r="BH28" i="3" s="1"/>
  <c r="BJ18" i="3" a="1"/>
  <c r="BJ18" i="3" s="1"/>
  <c r="BC12" i="3"/>
  <c r="BB13" i="3"/>
  <c r="BI28" i="3" a="1"/>
  <c r="BJ19" i="3" a="1"/>
  <c r="BK18" i="3" a="1"/>
  <c r="BO32" i="3" a="1"/>
  <c r="BN33" i="3" a="1"/>
  <c r="BH29" i="3" a="1"/>
  <c r="BI29" i="3" l="1"/>
  <c r="BK19" i="3"/>
  <c r="BO33" i="3"/>
  <c r="BH29" i="3"/>
  <c r="BN33" i="3"/>
  <c r="BO32" i="3"/>
  <c r="BK18" i="3"/>
  <c r="BJ19" i="3"/>
  <c r="BI28" i="3"/>
  <c r="BD26" i="3" a="1"/>
  <c r="BD26" i="3" s="1"/>
  <c r="BJ30" i="3" a="1"/>
  <c r="BJ30" i="3" s="1"/>
  <c r="BL14" i="3" a="1"/>
  <c r="BL14" i="3" s="1"/>
  <c r="BV16" i="3" a="1"/>
  <c r="BV16" i="3" s="1"/>
  <c r="BD22" i="3" a="1"/>
  <c r="BD22" i="3" s="1"/>
  <c r="BD38" i="3" a="1"/>
  <c r="BD38" i="3" s="1"/>
  <c r="BD36" i="3" a="1"/>
  <c r="BD36" i="3" s="1"/>
  <c r="BD20" i="3" a="1"/>
  <c r="BD20" i="3" s="1"/>
  <c r="BL34" i="3" a="1"/>
  <c r="BL34" i="3" s="1"/>
  <c r="BJ24" i="3" a="1"/>
  <c r="BJ24" i="3" s="1"/>
  <c r="BD12" i="3" a="1"/>
  <c r="BD12" i="3" s="1"/>
  <c r="BD27" i="3" a="1"/>
  <c r="BW16" i="3" a="1"/>
  <c r="BE36" i="3" a="1"/>
  <c r="BL35" i="3" a="1"/>
  <c r="BJ25" i="3" a="1"/>
  <c r="BD23" i="3" a="1"/>
  <c r="BM34" i="3" a="1"/>
  <c r="BK30" i="3" a="1"/>
  <c r="BV17" i="3" a="1"/>
  <c r="BE22" i="3" a="1"/>
  <c r="BD37" i="3" a="1"/>
  <c r="BK24" i="3" a="1"/>
  <c r="BJ31" i="3" a="1"/>
  <c r="BE20" i="3" a="1"/>
  <c r="BL15" i="3" a="1"/>
  <c r="BE38" i="3" a="1"/>
  <c r="BD21" i="3" a="1"/>
  <c r="BE26" i="3" a="1"/>
  <c r="BM14" i="3" a="1"/>
  <c r="BD39" i="3" a="1"/>
  <c r="BD13" i="3" a="1"/>
  <c r="BE12" i="3" a="1"/>
  <c r="BE39" i="3" l="1"/>
  <c r="BM35" i="3"/>
  <c r="BK31" i="3"/>
  <c r="BE27" i="3"/>
  <c r="BK25" i="3"/>
  <c r="BE23" i="3"/>
  <c r="BE21" i="3"/>
  <c r="BW17" i="3"/>
  <c r="BM15" i="3"/>
  <c r="BE13" i="3"/>
  <c r="BE37" i="3"/>
  <c r="BD39" i="3"/>
  <c r="BM14" i="3"/>
  <c r="BE26" i="3"/>
  <c r="BD21" i="3"/>
  <c r="BE38" i="3"/>
  <c r="BL15" i="3"/>
  <c r="BE20" i="3"/>
  <c r="BJ31" i="3"/>
  <c r="BK24" i="3"/>
  <c r="BD37" i="3"/>
  <c r="BE22" i="3"/>
  <c r="BV17" i="3"/>
  <c r="BK30" i="3"/>
  <c r="BM34" i="3"/>
  <c r="BD23" i="3"/>
  <c r="BJ25" i="3"/>
  <c r="BL35" i="3"/>
  <c r="BE36" i="3"/>
  <c r="BW16" i="3"/>
  <c r="BD27" i="3"/>
  <c r="BJ28" i="3" a="1"/>
  <c r="BJ28" i="3" s="1"/>
  <c r="BL18" i="3" a="1"/>
  <c r="BL18" i="3" s="1"/>
  <c r="BP32" i="3" a="1"/>
  <c r="BP32" i="3" s="1"/>
  <c r="BE12" i="3"/>
  <c r="BD13" i="3"/>
  <c r="BL19" i="3" a="1"/>
  <c r="BM18" i="3" a="1"/>
  <c r="BK28" i="3" a="1"/>
  <c r="BP33" i="3" a="1"/>
  <c r="BJ29" i="3" a="1"/>
  <c r="BQ32" i="3" a="1"/>
  <c r="BK29" i="3" l="1"/>
  <c r="BM19" i="3"/>
  <c r="BQ33" i="3"/>
  <c r="BQ32" i="3"/>
  <c r="BJ29" i="3"/>
  <c r="BP33" i="3"/>
  <c r="BK28" i="3"/>
  <c r="BM18" i="3"/>
  <c r="BL19" i="3"/>
  <c r="BF20" i="3" a="1"/>
  <c r="BF20" i="3" s="1"/>
  <c r="BN34" i="3" a="1"/>
  <c r="BN34" i="3" s="1"/>
  <c r="BL30" i="3" a="1"/>
  <c r="BL30" i="3" s="1"/>
  <c r="BF38" i="3" a="1"/>
  <c r="BF38" i="3" s="1"/>
  <c r="BX16" i="3" a="1"/>
  <c r="BX16" i="3" s="1"/>
  <c r="BF36" i="3" a="1"/>
  <c r="BF36" i="3" s="1"/>
  <c r="BN14" i="3" a="1"/>
  <c r="BN14" i="3" s="1"/>
  <c r="BF22" i="3" a="1"/>
  <c r="BF22" i="3" s="1"/>
  <c r="BF26" i="3" a="1"/>
  <c r="BF26" i="3" s="1"/>
  <c r="BL24" i="3" a="1"/>
  <c r="BL24" i="3" s="1"/>
  <c r="BF12" i="3" a="1"/>
  <c r="BF12" i="3" s="1"/>
  <c r="BG20" i="3" a="1"/>
  <c r="BG36" i="3" a="1"/>
  <c r="BG26" i="3" a="1"/>
  <c r="BF37" i="3" a="1"/>
  <c r="BF23" i="3" a="1"/>
  <c r="BG38" i="3" a="1"/>
  <c r="BF21" i="3" a="1"/>
  <c r="BF39" i="3" a="1"/>
  <c r="BF27" i="3" a="1"/>
  <c r="BN15" i="3" a="1"/>
  <c r="BM24" i="3" a="1"/>
  <c r="BL31" i="3" a="1"/>
  <c r="BM30" i="3" a="1"/>
  <c r="BG22" i="3" a="1"/>
  <c r="BN35" i="3" a="1"/>
  <c r="BY16" i="3" a="1"/>
  <c r="BO14" i="3" a="1"/>
  <c r="BL25" i="3" a="1"/>
  <c r="BO34" i="3" a="1"/>
  <c r="BX17" i="3" a="1"/>
  <c r="BF13" i="3" a="1"/>
  <c r="BG12" i="3" a="1"/>
  <c r="BG39" i="3" l="1"/>
  <c r="BO35" i="3"/>
  <c r="BM31" i="3"/>
  <c r="BG27" i="3"/>
  <c r="BM25" i="3"/>
  <c r="BG23" i="3"/>
  <c r="BG21" i="3"/>
  <c r="BO15" i="3"/>
  <c r="BG13" i="3"/>
  <c r="BG37" i="3"/>
  <c r="BY17" i="3"/>
  <c r="BX17" i="3"/>
  <c r="BO34" i="3"/>
  <c r="BL25" i="3"/>
  <c r="BO14" i="3"/>
  <c r="BY16" i="3"/>
  <c r="BN35" i="3"/>
  <c r="BG22" i="3"/>
  <c r="BM30" i="3"/>
  <c r="BL31" i="3"/>
  <c r="BM24" i="3"/>
  <c r="BN15" i="3"/>
  <c r="BF27" i="3"/>
  <c r="BF39" i="3"/>
  <c r="BF21" i="3"/>
  <c r="BG38" i="3"/>
  <c r="BF23" i="3"/>
  <c r="BF37" i="3"/>
  <c r="BG26" i="3"/>
  <c r="BG36" i="3"/>
  <c r="BG20" i="3"/>
  <c r="BN18" i="3" a="1"/>
  <c r="BN18" i="3" s="1"/>
  <c r="BL28" i="3" a="1"/>
  <c r="BL28" i="3" s="1"/>
  <c r="BR32" i="3" a="1"/>
  <c r="BR32" i="3" s="1"/>
  <c r="BG12" i="3"/>
  <c r="BF13" i="3"/>
  <c r="BM28" i="3" a="1"/>
  <c r="BS32" i="3" a="1"/>
  <c r="BR33" i="3" a="1"/>
  <c r="BN19" i="3" a="1"/>
  <c r="BO18" i="3" a="1"/>
  <c r="BL29" i="3" a="1"/>
  <c r="O16" i="3" a="1"/>
  <c r="BM29" i="3" l="1"/>
  <c r="BO19" i="3"/>
  <c r="O16" i="3"/>
  <c r="I14" i="3"/>
  <c r="G14" i="3" s="1"/>
  <c r="BS33" i="3"/>
  <c r="BL29" i="3"/>
  <c r="BO18" i="3"/>
  <c r="BN19" i="3"/>
  <c r="BR33" i="3"/>
  <c r="BS32" i="3"/>
  <c r="BM28" i="3"/>
  <c r="BN30" i="3" a="1"/>
  <c r="BN30" i="3" s="1"/>
  <c r="BH38" i="3" a="1"/>
  <c r="BH38" i="3" s="1"/>
  <c r="BH22" i="3" a="1"/>
  <c r="BH22" i="3" s="1"/>
  <c r="BH20" i="3" a="1"/>
  <c r="BH20" i="3" s="1"/>
  <c r="BP14" i="3" a="1"/>
  <c r="BP14" i="3" s="1"/>
  <c r="BH36" i="3" a="1"/>
  <c r="BH36" i="3" s="1"/>
  <c r="BP34" i="3" a="1"/>
  <c r="BP34" i="3" s="1"/>
  <c r="BH26" i="3" a="1"/>
  <c r="BH26" i="3" s="1"/>
  <c r="BN24" i="3" a="1"/>
  <c r="BN24" i="3" s="1"/>
  <c r="BH12" i="3" a="1"/>
  <c r="BH12" i="3" s="1"/>
  <c r="BH21" i="3" a="1"/>
  <c r="BP35" i="3" a="1"/>
  <c r="BN25" i="3" a="1"/>
  <c r="BI38" i="3" a="1"/>
  <c r="BI20" i="3" a="1"/>
  <c r="BQ34" i="3" a="1"/>
  <c r="BH23" i="3" a="1"/>
  <c r="BO24" i="3" a="1"/>
  <c r="BH39" i="3" a="1"/>
  <c r="BP15" i="3" a="1"/>
  <c r="BI26" i="3" a="1"/>
  <c r="BQ14" i="3" a="1"/>
  <c r="BH27" i="3" a="1"/>
  <c r="BI22" i="3" a="1"/>
  <c r="BI36" i="3" a="1"/>
  <c r="BO30" i="3" a="1"/>
  <c r="BH37" i="3" a="1"/>
  <c r="BN31" i="3" a="1"/>
  <c r="BH13" i="3" a="1"/>
  <c r="BI12" i="3" a="1"/>
  <c r="BI39" i="3" l="1"/>
  <c r="BQ35" i="3"/>
  <c r="BO31" i="3"/>
  <c r="BI27" i="3"/>
  <c r="BO25" i="3"/>
  <c r="BI23" i="3"/>
  <c r="BI21" i="3"/>
  <c r="BQ15" i="3"/>
  <c r="BI13" i="3"/>
  <c r="E20" i="2" a="1"/>
  <c r="E20" i="2" s="1"/>
  <c r="D20" i="2" a="1"/>
  <c r="D20" i="2" s="1"/>
  <c r="BI37" i="3"/>
  <c r="BN31" i="3"/>
  <c r="BH37" i="3"/>
  <c r="BO30" i="3"/>
  <c r="BI36" i="3"/>
  <c r="BI22" i="3"/>
  <c r="BH27" i="3"/>
  <c r="BQ14" i="3"/>
  <c r="BI26" i="3"/>
  <c r="BP15" i="3"/>
  <c r="BH39" i="3"/>
  <c r="BO24" i="3"/>
  <c r="BH23" i="3"/>
  <c r="BQ34" i="3"/>
  <c r="BI20" i="3"/>
  <c r="BI38" i="3"/>
  <c r="BN25" i="3"/>
  <c r="BP35" i="3"/>
  <c r="BH21" i="3"/>
  <c r="BT32" i="3" a="1"/>
  <c r="BT32" i="3" s="1"/>
  <c r="BN28" i="3" a="1"/>
  <c r="BN28" i="3" s="1"/>
  <c r="BP18" i="3" a="1"/>
  <c r="BP18" i="3" s="1"/>
  <c r="BI12" i="3"/>
  <c r="BH13" i="3"/>
  <c r="BQ18" i="3" a="1"/>
  <c r="BP19" i="3" a="1"/>
  <c r="BT33" i="3" a="1"/>
  <c r="BU32" i="3" a="1"/>
  <c r="BO28" i="3" a="1"/>
  <c r="BN29" i="3" a="1"/>
  <c r="BO29" i="3" l="1"/>
  <c r="BQ19" i="3"/>
  <c r="BU33" i="3"/>
  <c r="BN29" i="3"/>
  <c r="BO28" i="3"/>
  <c r="BU32" i="3"/>
  <c r="BT33" i="3"/>
  <c r="BP19" i="3"/>
  <c r="BQ18" i="3"/>
  <c r="BJ26" i="3" a="1"/>
  <c r="BJ26" i="3" s="1"/>
  <c r="BJ38" i="3" a="1"/>
  <c r="BJ38" i="3" s="1"/>
  <c r="BR14" i="3" a="1"/>
  <c r="BR14" i="3" s="1"/>
  <c r="BJ20" i="3" a="1"/>
  <c r="BJ20" i="3" s="1"/>
  <c r="BR34" i="3" a="1"/>
  <c r="BR34" i="3" s="1"/>
  <c r="BJ22" i="3" a="1"/>
  <c r="BJ22" i="3" s="1"/>
  <c r="BJ36" i="3" a="1"/>
  <c r="BJ36" i="3" s="1"/>
  <c r="BP24" i="3" a="1"/>
  <c r="BP24" i="3" s="1"/>
  <c r="BP30" i="3" a="1"/>
  <c r="BP30" i="3" s="1"/>
  <c r="BJ12" i="3" a="1"/>
  <c r="BJ12" i="3" s="1"/>
  <c r="BJ37" i="3" a="1"/>
  <c r="BK38" i="3" a="1"/>
  <c r="BK20" i="3" a="1"/>
  <c r="BJ39" i="3" a="1"/>
  <c r="BS34" i="3" a="1"/>
  <c r="BK36" i="3" a="1"/>
  <c r="BR15" i="3" a="1"/>
  <c r="BR35" i="3" a="1"/>
  <c r="BP25" i="3" a="1"/>
  <c r="BQ24" i="3" a="1"/>
  <c r="BJ23" i="3" a="1"/>
  <c r="BJ27" i="3" a="1"/>
  <c r="BS14" i="3" a="1"/>
  <c r="BP31" i="3" a="1"/>
  <c r="BK26" i="3" a="1"/>
  <c r="BJ21" i="3" a="1"/>
  <c r="BK22" i="3" a="1"/>
  <c r="BQ30" i="3" a="1"/>
  <c r="BK12" i="3" a="1"/>
  <c r="BJ13" i="3" a="1"/>
  <c r="BK39" i="3" l="1"/>
  <c r="BS35" i="3"/>
  <c r="BQ31" i="3"/>
  <c r="BK27" i="3"/>
  <c r="BQ25" i="3"/>
  <c r="BK23" i="3"/>
  <c r="BK21" i="3"/>
  <c r="BS15" i="3"/>
  <c r="BK13" i="3"/>
  <c r="BK37" i="3"/>
  <c r="BQ30" i="3"/>
  <c r="BK22" i="3"/>
  <c r="BJ21" i="3"/>
  <c r="BK26" i="3"/>
  <c r="BP31" i="3"/>
  <c r="BS14" i="3"/>
  <c r="BJ27" i="3"/>
  <c r="BJ23" i="3"/>
  <c r="BQ24" i="3"/>
  <c r="BP25" i="3"/>
  <c r="BR35" i="3"/>
  <c r="BR15" i="3"/>
  <c r="BK36" i="3"/>
  <c r="BS34" i="3"/>
  <c r="BJ39" i="3"/>
  <c r="BK20" i="3"/>
  <c r="BK38" i="3"/>
  <c r="BJ37" i="3"/>
  <c r="BR18" i="3" a="1"/>
  <c r="BR18" i="3" s="1"/>
  <c r="BV32" i="3" a="1"/>
  <c r="BV32" i="3" s="1"/>
  <c r="BP28" i="3" a="1"/>
  <c r="BP28" i="3" s="1"/>
  <c r="BJ13" i="3"/>
  <c r="BK12" i="3"/>
  <c r="BQ28" i="3" a="1"/>
  <c r="BS18" i="3" a="1"/>
  <c r="BP29" i="3" a="1"/>
  <c r="BR19" i="3" a="1"/>
  <c r="BW32" i="3" a="1"/>
  <c r="BV33" i="3" a="1"/>
  <c r="BQ29" i="3" l="1"/>
  <c r="BS19" i="3"/>
  <c r="BW33" i="3"/>
  <c r="BV33" i="3"/>
  <c r="BW32" i="3"/>
  <c r="BR19" i="3"/>
  <c r="BP29" i="3"/>
  <c r="BS18" i="3"/>
  <c r="BQ28" i="3"/>
  <c r="BL20" i="3" a="1"/>
  <c r="BL20" i="3" s="1"/>
  <c r="BT34" i="3" a="1"/>
  <c r="BT34" i="3" s="1"/>
  <c r="BT14" i="3" a="1"/>
  <c r="BT14" i="3" s="1"/>
  <c r="BL36" i="3" a="1"/>
  <c r="BL36" i="3" s="1"/>
  <c r="BL22" i="3" a="1"/>
  <c r="BL22" i="3" s="1"/>
  <c r="BL26" i="3" a="1"/>
  <c r="BL26" i="3" s="1"/>
  <c r="BL38" i="3" a="1"/>
  <c r="BL38" i="3" s="1"/>
  <c r="BR24" i="3" a="1"/>
  <c r="BR24" i="3" s="1"/>
  <c r="BR30" i="3" a="1"/>
  <c r="BR30" i="3" s="1"/>
  <c r="BL12" i="3" a="1"/>
  <c r="BL12" i="3" s="1"/>
  <c r="BL21" i="3" a="1"/>
  <c r="BL37" i="3" a="1"/>
  <c r="BL39" i="3" a="1"/>
  <c r="BL23" i="3" a="1"/>
  <c r="BM38" i="3" a="1"/>
  <c r="BR25" i="3" a="1"/>
  <c r="BT15" i="3" a="1"/>
  <c r="BL27" i="3" a="1"/>
  <c r="BS30" i="3" a="1"/>
  <c r="BM20" i="3" a="1"/>
  <c r="BT35" i="3" a="1"/>
  <c r="BM36" i="3" a="1"/>
  <c r="BM26" i="3" a="1"/>
  <c r="BU34" i="3" a="1"/>
  <c r="BM22" i="3" a="1"/>
  <c r="BS24" i="3" a="1"/>
  <c r="BU14" i="3" a="1"/>
  <c r="BR31" i="3" a="1"/>
  <c r="BL13" i="3" a="1"/>
  <c r="BM12" i="3" a="1"/>
  <c r="BM39" i="3" l="1"/>
  <c r="BU35" i="3"/>
  <c r="BS31" i="3"/>
  <c r="BM27" i="3"/>
  <c r="BS25" i="3"/>
  <c r="BM23" i="3"/>
  <c r="BM21" i="3"/>
  <c r="BU15" i="3"/>
  <c r="BM13" i="3"/>
  <c r="BM37" i="3"/>
  <c r="BR31" i="3"/>
  <c r="BU14" i="3"/>
  <c r="BS24" i="3"/>
  <c r="BM22" i="3"/>
  <c r="BU34" i="3"/>
  <c r="BM26" i="3"/>
  <c r="BM36" i="3"/>
  <c r="BT35" i="3"/>
  <c r="BM20" i="3"/>
  <c r="BS30" i="3"/>
  <c r="BL27" i="3"/>
  <c r="BT15" i="3"/>
  <c r="BR25" i="3"/>
  <c r="BM38" i="3"/>
  <c r="BL23" i="3"/>
  <c r="BL39" i="3"/>
  <c r="BL37" i="3"/>
  <c r="BL21" i="3"/>
  <c r="BT18" i="3" a="1"/>
  <c r="BT18" i="3" s="1"/>
  <c r="BX32" i="3" a="1"/>
  <c r="BX32" i="3" s="1"/>
  <c r="BR28" i="3" a="1"/>
  <c r="BR28" i="3" s="1"/>
  <c r="BM12" i="3"/>
  <c r="BL13" i="3"/>
  <c r="BR29" i="3" a="1"/>
  <c r="BU18" i="3" a="1"/>
  <c r="BT19" i="3" a="1"/>
  <c r="BY32" i="3" a="1"/>
  <c r="BX33" i="3" a="1"/>
  <c r="BS28" i="3" a="1"/>
  <c r="BS29" i="3" l="1"/>
  <c r="BU19" i="3"/>
  <c r="BY33" i="3"/>
  <c r="BS28" i="3"/>
  <c r="BX33" i="3"/>
  <c r="BY32" i="3"/>
  <c r="BT19" i="3"/>
  <c r="BU18" i="3"/>
  <c r="BR29" i="3"/>
  <c r="BN36" i="3" a="1"/>
  <c r="BN36" i="3" s="1"/>
  <c r="BN38" i="3" a="1"/>
  <c r="BN38" i="3" s="1"/>
  <c r="BN26" i="3" a="1"/>
  <c r="BN26" i="3" s="1"/>
  <c r="BV34" i="3" a="1"/>
  <c r="BV34" i="3" s="1"/>
  <c r="BN22" i="3" a="1"/>
  <c r="BN22" i="3" s="1"/>
  <c r="BT30" i="3" a="1"/>
  <c r="BT30" i="3" s="1"/>
  <c r="BV14" i="3" a="1"/>
  <c r="BV14" i="3" s="1"/>
  <c r="BN20" i="3" a="1"/>
  <c r="BN20" i="3" s="1"/>
  <c r="BT24" i="3" a="1"/>
  <c r="BT24" i="3" s="1"/>
  <c r="BN12" i="3" a="1"/>
  <c r="BN12" i="3" s="1"/>
  <c r="BO38" i="3" a="1"/>
  <c r="BW14" i="3" a="1"/>
  <c r="BN27" i="3" a="1"/>
  <c r="BO26" i="3" a="1"/>
  <c r="BN23" i="3" a="1"/>
  <c r="BO20" i="3" a="1"/>
  <c r="BO22" i="3" a="1"/>
  <c r="BN21" i="3" a="1"/>
  <c r="BT31" i="3" a="1"/>
  <c r="BN37" i="3" a="1"/>
  <c r="BT25" i="3" a="1"/>
  <c r="BO36" i="3" a="1"/>
  <c r="BW34" i="3" a="1"/>
  <c r="BU30" i="3" a="1"/>
  <c r="BU24" i="3" a="1"/>
  <c r="BN39" i="3" a="1"/>
  <c r="BV35" i="3" a="1"/>
  <c r="BV15" i="3" a="1"/>
  <c r="BO12" i="3" a="1"/>
  <c r="BN13" i="3" a="1"/>
  <c r="O32" i="3" a="1"/>
  <c r="BO39" i="3" l="1"/>
  <c r="BW35" i="3"/>
  <c r="O32" i="3"/>
  <c r="BU31" i="3"/>
  <c r="BO27" i="3"/>
  <c r="BU25" i="3"/>
  <c r="BO23" i="3"/>
  <c r="BO21" i="3"/>
  <c r="BW15" i="3"/>
  <c r="BO13" i="3"/>
  <c r="BO37" i="3"/>
  <c r="BV15" i="3"/>
  <c r="BV35" i="3"/>
  <c r="BN39" i="3"/>
  <c r="BU24" i="3"/>
  <c r="BU30" i="3"/>
  <c r="BW34" i="3"/>
  <c r="BO36" i="3"/>
  <c r="BT25" i="3"/>
  <c r="BN37" i="3"/>
  <c r="BT31" i="3"/>
  <c r="BN21" i="3"/>
  <c r="BO22" i="3"/>
  <c r="BO20" i="3"/>
  <c r="BN23" i="3"/>
  <c r="BO26" i="3"/>
  <c r="BN27" i="3"/>
  <c r="BW14" i="3"/>
  <c r="BO38" i="3"/>
  <c r="BV18" i="3" a="1"/>
  <c r="BV18" i="3" s="1"/>
  <c r="BT28" i="3" a="1"/>
  <c r="BT28" i="3" s="1"/>
  <c r="BN13" i="3"/>
  <c r="BO12" i="3"/>
  <c r="BU28" i="3" a="1"/>
  <c r="BV19" i="3" a="1"/>
  <c r="BW18" i="3" a="1"/>
  <c r="BT29" i="3" a="1"/>
  <c r="BU29" i="3" l="1"/>
  <c r="BW19" i="3"/>
  <c r="I23" i="3"/>
  <c r="G23" i="3" s="1"/>
  <c r="D29" i="2" s="1" a="1"/>
  <c r="D29" i="2" s="1"/>
  <c r="BT29" i="3"/>
  <c r="BW18" i="3"/>
  <c r="BV19" i="3"/>
  <c r="BU28" i="3"/>
  <c r="BP20" i="3" a="1"/>
  <c r="BP20" i="3" s="1"/>
  <c r="BV30" i="3" a="1"/>
  <c r="BV30" i="3" s="1"/>
  <c r="BP26" i="3" a="1"/>
  <c r="BP26" i="3" s="1"/>
  <c r="BP36" i="3" a="1"/>
  <c r="BP36" i="3" s="1"/>
  <c r="BP22" i="3" a="1"/>
  <c r="BP22" i="3" s="1"/>
  <c r="BV24" i="3" a="1"/>
  <c r="BV24" i="3" s="1"/>
  <c r="BX34" i="3" a="1"/>
  <c r="BX34" i="3" s="1"/>
  <c r="BP38" i="3" a="1"/>
  <c r="BP38" i="3" s="1"/>
  <c r="BX14" i="3" a="1"/>
  <c r="BX14" i="3" s="1"/>
  <c r="BP12" i="3" a="1"/>
  <c r="BP12" i="3" s="1"/>
  <c r="BW30" i="3" a="1"/>
  <c r="BY14" i="3" a="1"/>
  <c r="BQ26" i="3" a="1"/>
  <c r="BQ22" i="3" a="1"/>
  <c r="BX15" i="3" a="1"/>
  <c r="BP27" i="3" a="1"/>
  <c r="BV31" i="3" a="1"/>
  <c r="BX35" i="3" a="1"/>
  <c r="BY34" i="3" a="1"/>
  <c r="BP21" i="3" a="1"/>
  <c r="BP23" i="3" a="1"/>
  <c r="BQ20" i="3" a="1"/>
  <c r="BW24" i="3" a="1"/>
  <c r="BQ36" i="3" a="1"/>
  <c r="BV25" i="3" a="1"/>
  <c r="BQ38" i="3" a="1"/>
  <c r="BP37" i="3" a="1"/>
  <c r="BP39" i="3" a="1"/>
  <c r="BP13" i="3" a="1"/>
  <c r="BQ12" i="3" a="1"/>
  <c r="BQ39" i="3" l="1"/>
  <c r="BW31" i="3"/>
  <c r="BQ27" i="3"/>
  <c r="BW25" i="3"/>
  <c r="BQ23" i="3"/>
  <c r="BQ21" i="3"/>
  <c r="BQ13" i="3"/>
  <c r="E29" i="2" a="1"/>
  <c r="E29" i="2" s="1"/>
  <c r="BY35" i="3"/>
  <c r="BY15" i="3"/>
  <c r="BQ37" i="3"/>
  <c r="BP39" i="3"/>
  <c r="BP37" i="3"/>
  <c r="BQ38" i="3"/>
  <c r="BV25" i="3"/>
  <c r="BQ36" i="3"/>
  <c r="BW24" i="3"/>
  <c r="BQ20" i="3"/>
  <c r="BP23" i="3"/>
  <c r="BP21" i="3"/>
  <c r="BY34" i="3"/>
  <c r="BX35" i="3"/>
  <c r="BV31" i="3"/>
  <c r="BP27" i="3"/>
  <c r="BX15" i="3"/>
  <c r="BQ22" i="3"/>
  <c r="BQ26" i="3"/>
  <c r="BY14" i="3"/>
  <c r="BW30" i="3"/>
  <c r="BV28" i="3" a="1"/>
  <c r="BV28" i="3" s="1"/>
  <c r="BX18" i="3" a="1"/>
  <c r="BX18" i="3" s="1"/>
  <c r="BQ12" i="3"/>
  <c r="BP13" i="3"/>
  <c r="BY18" i="3" a="1"/>
  <c r="BW28" i="3" a="1"/>
  <c r="BV29" i="3" a="1"/>
  <c r="BX19" i="3" a="1"/>
  <c r="O34" i="3" a="1"/>
  <c r="O14" i="3" a="1"/>
  <c r="O34" i="3" l="1"/>
  <c r="BW29" i="3"/>
  <c r="O14" i="3"/>
  <c r="I13" i="3"/>
  <c r="G13" i="3" s="1"/>
  <c r="BY19" i="3"/>
  <c r="BX19" i="3"/>
  <c r="BV29" i="3"/>
  <c r="BW28" i="3"/>
  <c r="BY18" i="3"/>
  <c r="BR22" i="3" a="1"/>
  <c r="BR22" i="3" s="1"/>
  <c r="BR20" i="3" a="1"/>
  <c r="BR20" i="3" s="1"/>
  <c r="BX30" i="3" a="1"/>
  <c r="BX30" i="3" s="1"/>
  <c r="BX24" i="3" a="1"/>
  <c r="BX24" i="3" s="1"/>
  <c r="BR36" i="3" a="1"/>
  <c r="BR36" i="3" s="1"/>
  <c r="BR38" i="3" a="1"/>
  <c r="BR38" i="3" s="1"/>
  <c r="BR26" i="3" a="1"/>
  <c r="BR26" i="3" s="1"/>
  <c r="BR12" i="3" a="1"/>
  <c r="BR12" i="3" s="1"/>
  <c r="BS20" i="3" a="1"/>
  <c r="BR39" i="3" a="1"/>
  <c r="BS26" i="3" a="1"/>
  <c r="BS22" i="3" a="1"/>
  <c r="BY30" i="3" a="1"/>
  <c r="BR21" i="3" a="1"/>
  <c r="BR37" i="3" a="1"/>
  <c r="BX31" i="3" a="1"/>
  <c r="BS36" i="3" a="1"/>
  <c r="BR27" i="3" a="1"/>
  <c r="BY24" i="3" a="1"/>
  <c r="BR23" i="3" a="1"/>
  <c r="BX25" i="3" a="1"/>
  <c r="BS38" i="3" a="1"/>
  <c r="BR13" i="3" a="1"/>
  <c r="BS12" i="3" a="1"/>
  <c r="O18" i="3" a="1"/>
  <c r="BS39" i="3" l="1"/>
  <c r="BS27" i="3"/>
  <c r="BS23" i="3"/>
  <c r="BS21" i="3"/>
  <c r="O18" i="3"/>
  <c r="BS13" i="3"/>
  <c r="I24" i="3"/>
  <c r="G24" i="3" s="1"/>
  <c r="D30" i="2" s="1" a="1"/>
  <c r="D30" i="2" s="1"/>
  <c r="D19" i="2" a="1"/>
  <c r="D19" i="2" s="1"/>
  <c r="BS37" i="3"/>
  <c r="BY25" i="3"/>
  <c r="BY31" i="3"/>
  <c r="BS38" i="3"/>
  <c r="BX25" i="3"/>
  <c r="BR23" i="3"/>
  <c r="BY24" i="3"/>
  <c r="BR27" i="3"/>
  <c r="BS36" i="3"/>
  <c r="BX31" i="3"/>
  <c r="BR37" i="3"/>
  <c r="BR21" i="3"/>
  <c r="BY30" i="3"/>
  <c r="BS22" i="3"/>
  <c r="BS26" i="3"/>
  <c r="BR39" i="3"/>
  <c r="BS20" i="3"/>
  <c r="BX28" i="3" a="1"/>
  <c r="BX28" i="3" s="1"/>
  <c r="BS12" i="3"/>
  <c r="BR13" i="3"/>
  <c r="BY28" i="3" a="1"/>
  <c r="BX29" i="3" a="1"/>
  <c r="O30" i="3" a="1"/>
  <c r="O24" i="3" a="1"/>
  <c r="O30" i="3" l="1"/>
  <c r="O24" i="3"/>
  <c r="I15" i="3"/>
  <c r="G15" i="3" s="1"/>
  <c r="D21" i="2" s="1" a="1"/>
  <c r="D21" i="2" s="1"/>
  <c r="E30" i="2" a="1"/>
  <c r="E30" i="2" s="1"/>
  <c r="E19" i="2" a="1"/>
  <c r="E19" i="2" s="1"/>
  <c r="BY29" i="3"/>
  <c r="BX29" i="3"/>
  <c r="BY28" i="3"/>
  <c r="BT20" i="3" a="1"/>
  <c r="BT20" i="3" s="1"/>
  <c r="BT36" i="3" a="1"/>
  <c r="BT36" i="3" s="1"/>
  <c r="BT26" i="3" a="1"/>
  <c r="BT26" i="3" s="1"/>
  <c r="BT22" i="3" a="1"/>
  <c r="BT22" i="3" s="1"/>
  <c r="BT38" i="3" a="1"/>
  <c r="BT38" i="3" s="1"/>
  <c r="BT12" i="3" a="1"/>
  <c r="BT12" i="3" s="1"/>
  <c r="BU26" i="3" a="1"/>
  <c r="BT21" i="3" a="1"/>
  <c r="BT27" i="3" a="1"/>
  <c r="BT23" i="3" a="1"/>
  <c r="BU36" i="3" a="1"/>
  <c r="BU22" i="3" a="1"/>
  <c r="BT39" i="3" a="1"/>
  <c r="BT37" i="3" a="1"/>
  <c r="BU38" i="3" a="1"/>
  <c r="BU20" i="3" a="1"/>
  <c r="BT13" i="3" a="1"/>
  <c r="BU12" i="3" a="1"/>
  <c r="O28" i="3" a="1"/>
  <c r="BU39" i="3" l="1"/>
  <c r="O28" i="3"/>
  <c r="BU27" i="3"/>
  <c r="BU23" i="3"/>
  <c r="BU21" i="3"/>
  <c r="BU13" i="3"/>
  <c r="E21" i="2" a="1"/>
  <c r="E21" i="2" s="1"/>
  <c r="I22" i="3"/>
  <c r="G22" i="3" s="1"/>
  <c r="D28" i="2" s="1" a="1"/>
  <c r="D28" i="2" s="1"/>
  <c r="I19" i="3"/>
  <c r="G19" i="3" s="1"/>
  <c r="D25" i="2" s="1" a="1"/>
  <c r="D25" i="2" s="1"/>
  <c r="BU37" i="3"/>
  <c r="BU20" i="3"/>
  <c r="BU38" i="3"/>
  <c r="BT37" i="3"/>
  <c r="BT39" i="3"/>
  <c r="BU22" i="3"/>
  <c r="BU36" i="3"/>
  <c r="BT23" i="3"/>
  <c r="BT27" i="3"/>
  <c r="BT21" i="3"/>
  <c r="BU26" i="3"/>
  <c r="BU12" i="3"/>
  <c r="BT13" i="3"/>
  <c r="E28" i="2" l="1" a="1"/>
  <c r="E28" i="2" s="1"/>
  <c r="E25" i="2" a="1"/>
  <c r="E25" i="2" s="1"/>
  <c r="I21" i="3"/>
  <c r="G21" i="3" s="1"/>
  <c r="D27" i="2" s="1" a="1"/>
  <c r="D27" i="2" s="1"/>
  <c r="BV36" i="3" a="1"/>
  <c r="BV36" i="3" s="1"/>
  <c r="BV22" i="3" a="1"/>
  <c r="BV22" i="3" s="1"/>
  <c r="BV26" i="3" a="1"/>
  <c r="BV26" i="3" s="1"/>
  <c r="BV38" i="3" a="1"/>
  <c r="BV38" i="3" s="1"/>
  <c r="BV20" i="3" a="1"/>
  <c r="BV20" i="3" s="1"/>
  <c r="BV12" i="3" a="1"/>
  <c r="BV12" i="3" s="1"/>
  <c r="BW36" i="3" a="1"/>
  <c r="BV39" i="3" a="1"/>
  <c r="BV37" i="3" a="1"/>
  <c r="BW38" i="3" a="1"/>
  <c r="BW20" i="3" a="1"/>
  <c r="BW22" i="3" a="1"/>
  <c r="BV23" i="3" a="1"/>
  <c r="BV21" i="3" a="1"/>
  <c r="BV27" i="3" a="1"/>
  <c r="BW26" i="3" a="1"/>
  <c r="BW12" i="3" a="1"/>
  <c r="BV13" i="3" a="1"/>
  <c r="BW39" i="3" l="1"/>
  <c r="BW27" i="3"/>
  <c r="BW23" i="3"/>
  <c r="BW21" i="3"/>
  <c r="BW13" i="3"/>
  <c r="E27" i="2" a="1"/>
  <c r="E27" i="2" s="1"/>
  <c r="BW37" i="3"/>
  <c r="BW26" i="3"/>
  <c r="BV27" i="3"/>
  <c r="BV21" i="3"/>
  <c r="BV23" i="3"/>
  <c r="BW22" i="3"/>
  <c r="BW20" i="3"/>
  <c r="BW38" i="3"/>
  <c r="BV37" i="3"/>
  <c r="BV39" i="3"/>
  <c r="BW36" i="3"/>
  <c r="BV13" i="3"/>
  <c r="BW12" i="3"/>
  <c r="BX22" i="3" l="1" a="1"/>
  <c r="BX22" i="3" s="1"/>
  <c r="BX36" i="3" a="1"/>
  <c r="BX36" i="3" s="1"/>
  <c r="BX38" i="3" a="1"/>
  <c r="BX38" i="3" s="1"/>
  <c r="BX20" i="3" a="1"/>
  <c r="BX20" i="3" s="1"/>
  <c r="BX26" i="3" a="1"/>
  <c r="BX26" i="3" s="1"/>
  <c r="BX12" i="3" a="1"/>
  <c r="BX12" i="3" s="1"/>
  <c r="BY36" i="3" a="1"/>
  <c r="BY20" i="3" a="1"/>
  <c r="BX21" i="3" a="1"/>
  <c r="BX37" i="3" a="1"/>
  <c r="BY22" i="3" a="1"/>
  <c r="BY26" i="3" a="1"/>
  <c r="BX23" i="3" a="1"/>
  <c r="BX39" i="3" a="1"/>
  <c r="BY38" i="3" a="1"/>
  <c r="BX27" i="3" a="1"/>
  <c r="BX13" i="3" a="1"/>
  <c r="BY12" i="3" a="1"/>
  <c r="BY27" i="3" l="1"/>
  <c r="BY23" i="3"/>
  <c r="BY21" i="3"/>
  <c r="BY37" i="3"/>
  <c r="BY13" i="3"/>
  <c r="BY39" i="3"/>
  <c r="BX27" i="3"/>
  <c r="BY38" i="3"/>
  <c r="BX39" i="3"/>
  <c r="BX23" i="3"/>
  <c r="BY26" i="3"/>
  <c r="BY22" i="3"/>
  <c r="BX37" i="3"/>
  <c r="BX21" i="3"/>
  <c r="BY20" i="3"/>
  <c r="BY36" i="3"/>
  <c r="BY12" i="3"/>
  <c r="BX13" i="3"/>
  <c r="O38" i="3" a="1"/>
  <c r="O36" i="3" a="1"/>
  <c r="O26" i="3" a="1"/>
  <c r="O22" i="3" a="1"/>
  <c r="O20" i="3" a="1"/>
  <c r="O12" i="3" a="1"/>
  <c r="O38" i="3" l="1"/>
  <c r="O36" i="3"/>
  <c r="O26" i="3"/>
  <c r="O22" i="3"/>
  <c r="O20" i="3"/>
  <c r="O12" i="3"/>
  <c r="I12" i="3"/>
  <c r="G12" i="3" s="1"/>
  <c r="I17" i="3" l="1"/>
  <c r="G17" i="3" s="1"/>
  <c r="D23" i="2" s="1" a="1"/>
  <c r="D23" i="2" s="1"/>
  <c r="I20" i="3"/>
  <c r="G20" i="3" s="1"/>
  <c r="D26" i="2" s="1" a="1"/>
  <c r="D26" i="2" s="1"/>
  <c r="I16" i="3"/>
  <c r="E22" i="2" s="1" a="1"/>
  <c r="E22" i="2" s="1"/>
  <c r="I28" i="3"/>
  <c r="E34" i="2" s="1" a="1"/>
  <c r="E34" i="2" s="1"/>
  <c r="I26" i="3"/>
  <c r="G26" i="3" s="1"/>
  <c r="D32" i="2" s="1" a="1"/>
  <c r="D32" i="2" s="1"/>
  <c r="D18" i="2" a="1"/>
  <c r="D18" i="2" s="1"/>
  <c r="E18" i="2" a="1"/>
  <c r="E18" i="2" s="1"/>
  <c r="G28" i="3" l="1"/>
  <c r="D34" i="2" s="1" a="1"/>
  <c r="D34" i="2" s="1"/>
  <c r="E26" i="2" a="1"/>
  <c r="E26" i="2" s="1"/>
  <c r="E32" i="2" a="1"/>
  <c r="E32" i="2" s="1"/>
  <c r="E23" i="2" a="1"/>
  <c r="E23" i="2" s="1"/>
  <c r="G16" i="3"/>
  <c r="D22" i="2" s="1" a="1"/>
  <c r="D2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<sst xmlns="http://schemas.openxmlformats.org/spreadsheetml/2006/main" count="33" uniqueCount="29">
  <si>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</si>
  <si>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</si>
  <si>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</si>
  <si>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</si>
  <si>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</si>
  <si>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</si>
  <si>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</si>
  <si>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</si>
  <si>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</si>
  <si>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</si>
  <si>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</si>
  <si>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</si>
  <si>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</si>
  <si>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乳児</t>
  </si>
  <si>
    <t>1・2歳児</t>
  </si>
  <si>
    <t>3・4歳児</t>
  </si>
  <si>
    <t>＋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</si>
  <si>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</si>
  <si>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</si>
  <si>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</si>
  <si>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</si>
  <si>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</si>
  <si>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</si>
  <si>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</si>
  <si>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</si>
  <si>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</si>
  <si>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通常保育</t>
  </si>
  <si>
    <t>みなし</t>
  </si>
  <si>
    <t>勤務時間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</si>
</sst>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9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177" fontId="12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" fontId="16" fillId="2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177" fontId="3" fillId="0" borderId="32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4" fontId="3" fillId="0" borderId="0" xfId="0" applyNumberFormat="1" applyFont="1"/>
    <xf numFmtId="0" fontId="3" fillId="0" borderId="0" xfId="0" applyFont="1"/>
    <xf numFmtId="0" fontId="9" fillId="0" borderId="3" xfId="0" applyFont="1" applyBorder="1" applyAlignment="1">
      <alignment horizontal="left" vertical="center"/>
    </xf>
    <xf numFmtId="0" fontId="0" fillId="0" borderId="28" xfId="0" applyBorder="1"/>
    <xf numFmtId="0" fontId="0" fillId="0" borderId="4" xfId="0" applyBorder="1"/>
    <xf numFmtId="0" fontId="11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6" xfId="0" applyBorder="1"/>
    <xf numFmtId="0" fontId="10" fillId="0" borderId="3" xfId="0" applyFont="1" applyBorder="1" applyAlignment="1">
      <alignment horizontal="center" vertical="center"/>
    </xf>
    <xf numFmtId="177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3" fillId="5" borderId="3" xfId="0" applyFont="1" applyFill="1" applyBorder="1" applyAlignment="1">
      <alignment horizontal="center"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637764</xdr:colOff>
      <xdr:row>41</xdr:row>
      <xdr:rowOff>28263</xdr:rowOff>
    </xdr:from>
    <xdr:to>
      <xdr:col>5</xdr:col>
      <xdr:colOff>93457</xdr:colOff>
      <xdr:row>42</xdr:row>
      <xdr:rowOff>173961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646" y="9015381"/>
          <a:ext cx="1439135" cy="341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64" customWidth="1" collapsed="1"/>
    <col min="2" max="2" width="24" style="64" customWidth="1"/>
    <col min="3" max="3" width="6" style="64" customWidth="1"/>
    <col min="4" max="4" width="7" style="64" customWidth="1"/>
    <col min="5" max="5" width="9" style="64" customWidth="1" collapsed="1"/>
    <col min="6" max="6" width="9" style="64" customWidth="1"/>
    <col min="7" max="36" width="9" customWidth="1"/>
    <col min="37" max="55" width="9" style="64" customWidth="1" collapsed="1"/>
    <col min="56" max="56" width="9" style="64" customWidth="1"/>
    <col min="57" max="61" width="9" style="64" customWidth="1" collapsed="1"/>
    <col min="62" max="16384" width="9" style="64" collapsed="1"/>
  </cols>
  <sheetData>
    <row r="1" spans="1:35" s="64" customFormat="1" ht="13.2" customHeight="1" x14ac:dyDescent="0.2"/>
    <row r="2" spans="1:35" s="64" customFormat="1" ht="10.8" customHeight="1" x14ac:dyDescent="0.2">
      <c r="A2" s="65"/>
      <c r="B2" s="66"/>
      <c r="C2" s="67"/>
      <c r="D2" s="67"/>
    </row>
    <row r="3" spans="1:35" s="64" customFormat="1" ht="10.8" customHeight="1" x14ac:dyDescent="0.2">
      <c r="A3" s="68"/>
      <c r="B3" s="68"/>
      <c r="C3" s="68"/>
      <c r="D3" s="68"/>
    </row>
    <row r="4" spans="1:35" s="64" customFormat="1" ht="10.8" customHeight="1" x14ac:dyDescent="0.2">
      <c r="A4" s="68"/>
      <c r="B4" s="68"/>
      <c r="C4" s="68"/>
      <c r="F4" s="69"/>
      <c r="G4" s="70"/>
      <c r="H4" s="70"/>
      <c r="I4" s="69"/>
      <c r="J4" s="71"/>
      <c r="K4" s="72"/>
      <c r="L4" s="69"/>
      <c r="M4" s="69"/>
    </row>
    <row r="5" spans="1:35" s="64" customFormat="1" ht="10.8" customHeight="1" x14ac:dyDescent="0.2">
      <c r="A5" s="66"/>
      <c r="B5" s="66"/>
    </row>
    <row r="6" spans="1:35" s="64" customFormat="1" ht="10.8" customHeight="1" x14ac:dyDescent="0.2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</row>
    <row r="7" spans="1:35" s="64" customFormat="1" ht="10.8" customHeight="1" x14ac:dyDescent="0.2">
      <c r="A7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</row>
    <row r="8" spans="1:35" s="64" customFormat="1" ht="10.8" customHeight="1" x14ac:dyDescent="0.2">
      <c r="A8" s="74"/>
      <c r="B8" s="75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</row>
    <row r="9" spans="1:35" s="64" customFormat="1" ht="10.8" customHeight="1" x14ac:dyDescent="0.2">
      <c r="A9"/>
      <c r="B9" s="75"/>
      <c r="C9"/>
      <c r="D9"/>
      <c r="E9"/>
      <c r="F9" s="76"/>
      <c r="G9" s="76"/>
      <c r="H9" s="76"/>
      <c r="I9" s="76"/>
      <c r="J9"/>
      <c r="K9"/>
      <c r="L9" s="76"/>
      <c r="M9" s="76"/>
      <c r="N9" s="76"/>
      <c r="O9" s="76"/>
      <c r="P9" s="76"/>
      <c r="Q9"/>
      <c r="R9"/>
      <c r="S9" s="76"/>
      <c r="T9" s="76"/>
      <c r="U9" s="76"/>
      <c r="V9" s="76"/>
      <c r="W9" s="76"/>
      <c r="X9"/>
      <c r="Y9"/>
      <c r="Z9" s="76"/>
      <c r="AA9" s="76"/>
      <c r="AB9" s="76"/>
      <c r="AC9" s="76"/>
      <c r="AD9" s="76"/>
      <c r="AE9"/>
      <c r="AF9"/>
      <c r="AG9" s="76"/>
      <c r="AH9"/>
      <c r="AI9" s="76"/>
    </row>
    <row r="10" spans="1:35" s="64" customFormat="1" ht="10.8" customHeight="1" x14ac:dyDescent="0.2">
      <c r="A10" s="74"/>
      <c r="B10" s="75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</row>
    <row r="11" spans="1:35" s="64" customFormat="1" ht="10.8" customHeight="1" x14ac:dyDescent="0.2">
      <c r="A11"/>
      <c r="B11" s="75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76"/>
      <c r="W11"/>
      <c r="X11"/>
      <c r="Y11"/>
      <c r="Z11"/>
      <c r="AA11"/>
      <c r="AB11"/>
      <c r="AC11"/>
      <c r="AD11"/>
      <c r="AE11"/>
      <c r="AF11"/>
      <c r="AG11" s="76"/>
      <c r="AH11"/>
      <c r="AI11"/>
    </row>
    <row r="12" spans="1:35" s="64" customFormat="1" ht="10.8" customHeight="1" x14ac:dyDescent="0.2">
      <c r="A12" s="74"/>
      <c r="B12" s="75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</row>
    <row r="13" spans="1:35" s="64" customFormat="1" ht="10.8" customHeight="1" x14ac:dyDescent="0.2">
      <c r="A13"/>
      <c r="B13" s="75"/>
      <c r="C13"/>
      <c r="D13"/>
      <c r="E13"/>
      <c r="F13"/>
      <c r="G13"/>
      <c r="H13"/>
      <c r="I13"/>
      <c r="J13"/>
      <c r="K13"/>
      <c r="L13"/>
      <c r="M13"/>
      <c r="N13"/>
      <c r="O13"/>
      <c r="P13" s="76"/>
      <c r="Q13"/>
      <c r="R13"/>
      <c r="S13" s="76"/>
      <c r="T13"/>
      <c r="U13" s="76"/>
      <c r="V13"/>
      <c r="W13" s="76"/>
      <c r="X13"/>
      <c r="Y13"/>
      <c r="Z13" s="76"/>
      <c r="AA13"/>
      <c r="AB13"/>
      <c r="AC13"/>
      <c r="AD13"/>
      <c r="AE13"/>
      <c r="AF13"/>
      <c r="AG13" s="76"/>
      <c r="AH13"/>
      <c r="AI13" s="76"/>
    </row>
    <row r="14" spans="1:35" s="64" customFormat="1" ht="10.8" customHeight="1" x14ac:dyDescent="0.2">
      <c r="A14" s="74"/>
      <c r="B14" s="75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</row>
    <row r="15" spans="1:35" s="64" customFormat="1" ht="10.8" customHeight="1" x14ac:dyDescent="0.2">
      <c r="A15"/>
      <c r="B15" s="75"/>
      <c r="C15"/>
      <c r="D15"/>
      <c r="E15"/>
      <c r="F15"/>
      <c r="G15"/>
      <c r="H15"/>
      <c r="I15"/>
      <c r="J15"/>
      <c r="K15"/>
      <c r="L15"/>
      <c r="M15"/>
      <c r="N15"/>
      <c r="O15"/>
      <c r="P15" s="76"/>
      <c r="Q15"/>
      <c r="R15"/>
      <c r="S15" s="76"/>
      <c r="T15"/>
      <c r="U15" s="76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76"/>
    </row>
    <row r="16" spans="1:35" s="64" customFormat="1" ht="10.8" customHeight="1" x14ac:dyDescent="0.2">
      <c r="A16" s="74"/>
      <c r="B16" s="75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</row>
    <row r="17" spans="1:35" s="64" customFormat="1" ht="10.8" customHeight="1" x14ac:dyDescent="0.2">
      <c r="A17"/>
      <c r="B17" s="75"/>
      <c r="C17"/>
      <c r="D17"/>
      <c r="E17"/>
      <c r="F17"/>
      <c r="G17"/>
      <c r="H17" s="76"/>
      <c r="I17" s="76"/>
      <c r="J17"/>
      <c r="K17"/>
      <c r="L17" s="76"/>
      <c r="M17" s="76"/>
      <c r="N17"/>
      <c r="O17" s="76"/>
      <c r="P17" s="76"/>
      <c r="Q17"/>
      <c r="R17"/>
      <c r="S17"/>
      <c r="T17" s="76"/>
      <c r="U17"/>
      <c r="V17" s="76"/>
      <c r="W17"/>
      <c r="X17"/>
      <c r="Y17"/>
      <c r="Z17"/>
      <c r="AA17"/>
      <c r="AB17" s="76"/>
      <c r="AC17" s="76"/>
      <c r="AD17" s="76"/>
      <c r="AE17"/>
      <c r="AF17"/>
      <c r="AG17" s="76"/>
      <c r="AH17"/>
      <c r="AI17" s="76"/>
    </row>
    <row r="18" spans="1:35" s="64" customFormat="1" ht="10.8" customHeight="1" x14ac:dyDescent="0.2">
      <c r="A18" s="74"/>
      <c r="B18" s="75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</row>
    <row r="19" spans="1:35" s="64" customFormat="1" ht="10.8" customHeight="1" x14ac:dyDescent="0.2">
      <c r="A19"/>
      <c r="B19" s="75"/>
      <c r="C19"/>
      <c r="D19"/>
      <c r="E19"/>
      <c r="F19" s="76"/>
      <c r="G19"/>
      <c r="H19"/>
      <c r="I19"/>
      <c r="J19"/>
      <c r="K19"/>
      <c r="L19" s="76"/>
      <c r="M19" s="76"/>
      <c r="N19" s="76"/>
      <c r="O19"/>
      <c r="P19"/>
      <c r="Q19"/>
      <c r="R19"/>
      <c r="S19" s="76"/>
      <c r="T19" s="76"/>
      <c r="U19"/>
      <c r="V19"/>
      <c r="W19"/>
      <c r="X19"/>
      <c r="Y19"/>
      <c r="Z19"/>
      <c r="AA19"/>
      <c r="AB19" s="76"/>
      <c r="AC19"/>
      <c r="AD19" s="76"/>
      <c r="AE19"/>
      <c r="AF19"/>
      <c r="AG19"/>
      <c r="AH19"/>
      <c r="AI19"/>
    </row>
    <row r="20" spans="1:35" s="64" customFormat="1" ht="10.8" customHeight="1" x14ac:dyDescent="0.2">
      <c r="A20" s="74"/>
      <c r="B20" s="75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</row>
    <row r="21" spans="1:35" s="64" customFormat="1" ht="10.8" customHeight="1" x14ac:dyDescent="0.2">
      <c r="A21"/>
      <c r="B21" s="75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 s="76"/>
      <c r="AA21"/>
      <c r="AB21"/>
      <c r="AC21"/>
      <c r="AD21"/>
      <c r="AE21"/>
      <c r="AF21"/>
      <c r="AG21" s="76"/>
      <c r="AH21"/>
      <c r="AI21"/>
    </row>
    <row r="22" spans="1:35" s="64" customFormat="1" ht="10.8" customHeight="1" x14ac:dyDescent="0.2">
      <c r="A22" s="74"/>
      <c r="B22" s="75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</row>
    <row r="23" spans="1:35" s="64" customFormat="1" ht="10.8" customHeight="1" x14ac:dyDescent="0.2">
      <c r="A23"/>
      <c r="B23" s="75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76"/>
      <c r="AA23"/>
      <c r="AB23"/>
      <c r="AC23"/>
      <c r="AD23"/>
      <c r="AE23"/>
      <c r="AF23"/>
      <c r="AG23"/>
      <c r="AH23"/>
      <c r="AI23"/>
    </row>
    <row r="24" spans="1:35" s="64" customFormat="1" ht="10.8" customHeight="1" x14ac:dyDescent="0.2">
      <c r="A24" s="74"/>
      <c r="B24" s="75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</row>
    <row r="25" spans="1:35" s="64" customFormat="1" ht="10.8" customHeight="1" x14ac:dyDescent="0.2">
      <c r="A25"/>
      <c r="B25" s="75"/>
      <c r="C25"/>
      <c r="D25"/>
      <c r="E25"/>
      <c r="F25" s="76"/>
      <c r="G25"/>
      <c r="H25"/>
      <c r="I25"/>
      <c r="J25"/>
      <c r="K25"/>
      <c r="L25"/>
      <c r="M25"/>
      <c r="N25"/>
      <c r="O25"/>
      <c r="P25"/>
      <c r="Q25"/>
      <c r="R25"/>
      <c r="S25" s="76"/>
      <c r="T25" s="76"/>
      <c r="U25"/>
      <c r="V25"/>
      <c r="W25"/>
      <c r="X25"/>
      <c r="Y25"/>
      <c r="Z25" s="76"/>
      <c r="AA25" s="76"/>
      <c r="AB25"/>
      <c r="AC25" s="76"/>
      <c r="AD25"/>
      <c r="AE25"/>
      <c r="AF25"/>
      <c r="AG25"/>
      <c r="AH25"/>
      <c r="AI25"/>
    </row>
    <row r="26" spans="1:35" s="64" customFormat="1" ht="10.8" customHeight="1" x14ac:dyDescent="0.2">
      <c r="A26" s="74"/>
      <c r="B26" s="75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</row>
    <row r="27" spans="1:35" s="64" customFormat="1" ht="10.8" customHeight="1" x14ac:dyDescent="0.2">
      <c r="A27"/>
      <c r="B27" s="75"/>
      <c r="C27"/>
      <c r="D27"/>
      <c r="E27"/>
      <c r="F27"/>
      <c r="G27"/>
      <c r="H27"/>
      <c r="I27"/>
      <c r="J27"/>
      <c r="K27"/>
      <c r="L27" s="76"/>
      <c r="M27"/>
      <c r="N27"/>
      <c r="O27" s="76"/>
      <c r="P27"/>
      <c r="Q27"/>
      <c r="R27"/>
      <c r="S27"/>
      <c r="T27"/>
      <c r="U27"/>
      <c r="V27"/>
      <c r="W27"/>
      <c r="X27"/>
      <c r="Y27"/>
      <c r="Z27"/>
      <c r="AA27" s="76"/>
      <c r="AB27"/>
      <c r="AC27" s="76"/>
      <c r="AD27"/>
      <c r="AE27"/>
      <c r="AF27"/>
      <c r="AG27" s="76"/>
      <c r="AH27"/>
      <c r="AI27"/>
    </row>
    <row r="28" spans="1:35" s="64" customFormat="1" ht="10.8" customHeight="1" x14ac:dyDescent="0.2">
      <c r="A28" s="74"/>
      <c r="B28" s="75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</row>
    <row r="29" spans="1:35" s="64" customFormat="1" ht="10.8" customHeight="1" x14ac:dyDescent="0.2">
      <c r="A29"/>
      <c r="B29" s="75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 s="76"/>
      <c r="AB29" s="76"/>
      <c r="AC29" s="76"/>
      <c r="AD29"/>
      <c r="AE29"/>
      <c r="AF29"/>
      <c r="AG29"/>
      <c r="AH29"/>
      <c r="AI29"/>
    </row>
    <row r="30" spans="1:35" s="64" customFormat="1" ht="10.8" customHeight="1" x14ac:dyDescent="0.2">
      <c r="A30" s="74"/>
      <c r="B30" s="75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</row>
    <row r="31" spans="1:35" s="64" customFormat="1" ht="10.8" customHeight="1" x14ac:dyDescent="0.2">
      <c r="A31"/>
      <c r="B31" s="75"/>
      <c r="C31"/>
      <c r="D31"/>
      <c r="E31"/>
      <c r="F31"/>
      <c r="G31" s="76"/>
      <c r="H31" s="76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s="64" customFormat="1" ht="10.8" customHeight="1" x14ac:dyDescent="0.2">
      <c r="A32" s="74"/>
      <c r="B32" s="75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</row>
    <row r="33" spans="1:35" s="64" customFormat="1" ht="10.8" customHeight="1" x14ac:dyDescent="0.2">
      <c r="A33"/>
      <c r="B33" s="75"/>
      <c r="C33"/>
      <c r="D33"/>
      <c r="E33"/>
      <c r="F33"/>
      <c r="G33"/>
      <c r="H33"/>
      <c r="I33" s="76"/>
      <c r="J33"/>
      <c r="K33"/>
      <c r="L33"/>
      <c r="M33"/>
      <c r="N33" s="76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64" customFormat="1" ht="10.8" customHeight="1" x14ac:dyDescent="0.2">
      <c r="A34" s="74"/>
      <c r="B34" s="75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</row>
    <row r="35" spans="1:35" s="64" customFormat="1" ht="10.8" customHeight="1" x14ac:dyDescent="0.2">
      <c r="A35"/>
      <c r="B35" s="75"/>
      <c r="C35"/>
      <c r="D35"/>
      <c r="E35"/>
      <c r="F35"/>
      <c r="G35" s="76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64" customFormat="1" ht="10.8" customHeight="1" x14ac:dyDescent="0.2">
      <c r="A36" s="74"/>
      <c r="B36" s="75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</row>
    <row r="37" spans="1:35" s="64" customFormat="1" ht="10.8" customHeight="1" x14ac:dyDescent="0.2">
      <c r="A37"/>
      <c r="B37" s="75"/>
      <c r="C37"/>
      <c r="D37"/>
      <c r="E37"/>
      <c r="F37"/>
      <c r="G37"/>
      <c r="H37"/>
      <c r="I37"/>
      <c r="J37"/>
      <c r="K37"/>
      <c r="L37" s="76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64" customFormat="1" ht="10.8" customHeight="1" x14ac:dyDescent="0.2">
      <c r="A38" s="74"/>
      <c r="B38" s="75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</row>
    <row r="39" spans="1:35" s="64" customFormat="1" ht="10.8" customHeight="1" x14ac:dyDescent="0.2">
      <c r="A39"/>
      <c r="B39" s="75"/>
      <c r="C39"/>
      <c r="D39"/>
      <c r="E39"/>
      <c r="F39"/>
      <c r="G39"/>
      <c r="H39"/>
      <c r="I39"/>
      <c r="J39"/>
      <c r="K39"/>
      <c r="L39"/>
      <c r="M39"/>
      <c r="N39" s="76"/>
      <c r="O39" s="76"/>
      <c r="P39"/>
      <c r="Q39"/>
      <c r="R39"/>
      <c r="S39"/>
      <c r="T39"/>
      <c r="U39"/>
      <c r="V39"/>
      <c r="W39"/>
      <c r="X39"/>
      <c r="Y39"/>
      <c r="Z39"/>
      <c r="AA39"/>
      <c r="AB39"/>
      <c r="AC39" s="76"/>
      <c r="AD39" s="76"/>
      <c r="AE39"/>
      <c r="AF39"/>
      <c r="AG39"/>
      <c r="AH39"/>
      <c r="AI39"/>
    </row>
    <row r="40" spans="1:35" s="64" customFormat="1" ht="10.8" customHeight="1" x14ac:dyDescent="0.2">
      <c r="A40" s="74"/>
      <c r="B40" s="75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</row>
    <row r="41" spans="1:35" s="64" customFormat="1" ht="10.8" customHeight="1" x14ac:dyDescent="0.2">
      <c r="A41"/>
      <c r="B41" s="75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s="64" customFormat="1" ht="10.8" customHeight="1" x14ac:dyDescent="0.2">
      <c r="A42" s="74"/>
      <c r="B42" s="75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</row>
    <row r="43" spans="1:35" s="64" customFormat="1" ht="10.8" customHeight="1" x14ac:dyDescent="0.2">
      <c r="A43"/>
      <c r="B43" s="75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76"/>
      <c r="W43" s="76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s="64" customFormat="1" ht="10.8" customHeight="1" x14ac:dyDescent="0.2">
      <c r="A44" s="74"/>
      <c r="B44" s="75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</row>
    <row r="45" spans="1:35" s="64" customFormat="1" ht="10.8" customHeight="1" x14ac:dyDescent="0.2">
      <c r="A45"/>
      <c r="B45" s="7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 s="76"/>
      <c r="AA45" s="76"/>
      <c r="AB45"/>
      <c r="AC45"/>
      <c r="AD45"/>
      <c r="AE45"/>
      <c r="AF45"/>
      <c r="AG45"/>
      <c r="AH45"/>
      <c r="AI45"/>
    </row>
    <row r="46" spans="1:35" s="64" customFormat="1" ht="10.8" customHeight="1" x14ac:dyDescent="0.2">
      <c r="A46" s="74"/>
      <c r="B46" s="75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</row>
    <row r="47" spans="1:35" s="64" customFormat="1" ht="10.8" customHeight="1" x14ac:dyDescent="0.2">
      <c r="A47"/>
      <c r="B47" s="75"/>
      <c r="C47"/>
      <c r="D47"/>
      <c r="E47"/>
      <c r="F47"/>
      <c r="G47"/>
      <c r="H47"/>
      <c r="I47"/>
      <c r="J47"/>
      <c r="K47"/>
      <c r="L47"/>
      <c r="M47" s="76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 s="76"/>
      <c r="AC47"/>
      <c r="AD47"/>
      <c r="AE47"/>
      <c r="AF47"/>
      <c r="AG47"/>
      <c r="AH47"/>
      <c r="AI47"/>
    </row>
    <row r="48" spans="1:35" s="64" customFormat="1" ht="10.8" customHeight="1" x14ac:dyDescent="0.2">
      <c r="A48" s="74"/>
      <c r="B48" s="75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</row>
    <row r="49" spans="1:35" s="64" customFormat="1" ht="10.8" customHeight="1" x14ac:dyDescent="0.2">
      <c r="A49"/>
      <c r="B49" s="75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76"/>
      <c r="U49" s="76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s="64" customFormat="1" ht="10.8" customHeight="1" x14ac:dyDescent="0.2">
      <c r="A50" s="74"/>
      <c r="B50" s="75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</row>
    <row r="51" spans="1:35" s="64" customFormat="1" ht="10.8" customHeight="1" x14ac:dyDescent="0.2">
      <c r="A51"/>
      <c r="B51" s="75"/>
      <c r="C51"/>
      <c r="D51"/>
      <c r="E51"/>
      <c r="F51" s="76"/>
      <c r="G51"/>
      <c r="H51"/>
      <c r="I51"/>
      <c r="J51"/>
      <c r="K51"/>
      <c r="L51"/>
      <c r="M51"/>
      <c r="N51"/>
      <c r="O51"/>
      <c r="P51" s="76"/>
      <c r="Q51"/>
      <c r="R51"/>
      <c r="S51"/>
      <c r="T51"/>
      <c r="U51"/>
      <c r="V51"/>
      <c r="W51"/>
      <c r="X51"/>
      <c r="Y51"/>
      <c r="Z51"/>
      <c r="AA51"/>
      <c r="AB51"/>
      <c r="AC51"/>
      <c r="AD51" s="76"/>
      <c r="AE51"/>
      <c r="AF51"/>
      <c r="AG51"/>
      <c r="AH51"/>
      <c r="AI51"/>
    </row>
    <row r="52" spans="1:35" s="64" customFormat="1" ht="10.8" customHeight="1" x14ac:dyDescent="0.2">
      <c r="A52" s="74"/>
      <c r="B52" s="75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</row>
    <row r="53" spans="1:35" s="64" customFormat="1" ht="10.8" customHeight="1" x14ac:dyDescent="0.2">
      <c r="A53"/>
      <c r="B53" s="75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s="64" customFormat="1" ht="13.2" customHeight="1" x14ac:dyDescent="0.2">
      <c r="A54" s="74"/>
      <c r="B54" s="75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</row>
    <row r="55" spans="1:35" s="64" customFormat="1" ht="13.2" customHeight="1" x14ac:dyDescent="0.2">
      <c r="A55"/>
      <c r="B55" s="7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 s="76"/>
      <c r="AB55"/>
      <c r="AC55" s="76"/>
      <c r="AD55"/>
      <c r="AE55"/>
      <c r="AF55"/>
      <c r="AG55"/>
      <c r="AH55"/>
      <c r="AI55" s="76"/>
    </row>
    <row r="56" spans="1:35" s="64" customFormat="1" ht="10.8" customHeight="1" x14ac:dyDescent="0.2">
      <c r="A56" s="74"/>
      <c r="B56" s="75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</row>
    <row r="57" spans="1:35" s="64" customFormat="1" ht="13.2" customHeight="1" x14ac:dyDescent="0.2">
      <c r="A57"/>
      <c r="B57" s="75"/>
      <c r="C57"/>
      <c r="D57"/>
      <c r="E57"/>
      <c r="F57" s="76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76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s="64" customFormat="1" ht="10.8" customHeight="1" x14ac:dyDescent="0.2">
      <c r="A58" s="74"/>
      <c r="B58" s="75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</row>
    <row r="59" spans="1:35" s="64" customFormat="1" ht="10.8" customHeight="1" x14ac:dyDescent="0.2">
      <c r="A59"/>
      <c r="B59" s="75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s="64" customFormat="1" ht="10.8" customHeight="1" x14ac:dyDescent="0.2">
      <c r="A60" s="74"/>
      <c r="B60" s="75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</row>
    <row r="61" spans="1:35" s="64" customFormat="1" ht="10.8" customHeight="1" x14ac:dyDescent="0.2">
      <c r="A61"/>
      <c r="B61" s="75"/>
      <c r="C61"/>
      <c r="D61"/>
      <c r="E61"/>
      <c r="F61"/>
      <c r="G61" s="76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s="64" customFormat="1" ht="10.8" customHeight="1" x14ac:dyDescent="0.2">
      <c r="A62" s="74"/>
      <c r="B62" s="75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</row>
    <row r="63" spans="1:35" s="64" customFormat="1" ht="10.8" customHeight="1" x14ac:dyDescent="0.2">
      <c r="A63"/>
      <c r="B63" s="75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76"/>
      <c r="W63"/>
      <c r="X63"/>
      <c r="Y63"/>
      <c r="Z63"/>
      <c r="AA63"/>
      <c r="AB63" s="76"/>
      <c r="AC63"/>
      <c r="AD63"/>
      <c r="AE63"/>
      <c r="AF63"/>
      <c r="AG63"/>
      <c r="AH63"/>
      <c r="AI63"/>
    </row>
    <row r="64" spans="1:35" s="64" customFormat="1" ht="10.8" customHeight="1" x14ac:dyDescent="0.2">
      <c r="A64" s="74"/>
      <c r="B64" s="75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</row>
    <row r="65" spans="1:36" ht="10.8" customHeight="1" x14ac:dyDescent="0.2">
      <c r="A65"/>
      <c r="B65" s="75"/>
      <c r="C65"/>
      <c r="D65"/>
      <c r="E65"/>
      <c r="F65"/>
      <c r="H65" s="76"/>
      <c r="I65" s="76"/>
      <c r="W65" s="76"/>
      <c r="AJ65" s="64"/>
    </row>
    <row r="66" spans="1:36" ht="10.8" customHeight="1" x14ac:dyDescent="0.2">
      <c r="A66" s="74"/>
      <c r="B66" s="75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64"/>
    </row>
    <row r="67" spans="1:36" ht="10.8" customHeight="1" x14ac:dyDescent="0.2">
      <c r="A67"/>
      <c r="B67" s="75"/>
      <c r="C67"/>
      <c r="D67"/>
      <c r="E67"/>
      <c r="F67"/>
      <c r="P67" s="76"/>
      <c r="AJ67" s="64"/>
    </row>
    <row r="68" spans="1:36" ht="10.8" customHeight="1" x14ac:dyDescent="0.2">
      <c r="A68" s="74"/>
      <c r="B68" s="75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64"/>
    </row>
    <row r="69" spans="1:36" ht="10.8" customHeight="1" x14ac:dyDescent="0.2">
      <c r="A69"/>
      <c r="B69" s="75"/>
      <c r="C69"/>
      <c r="D69"/>
      <c r="E69"/>
      <c r="F69"/>
      <c r="AJ69" s="64"/>
    </row>
    <row r="70" spans="1:36" ht="10.8" customHeight="1" x14ac:dyDescent="0.2">
      <c r="A70" s="74"/>
      <c r="B70" s="75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64"/>
    </row>
    <row r="71" spans="1:36" ht="10.8" customHeight="1" x14ac:dyDescent="0.2">
      <c r="A71"/>
      <c r="B71" s="75"/>
      <c r="C71"/>
      <c r="D71"/>
      <c r="E71"/>
      <c r="F71"/>
      <c r="T71" s="76"/>
      <c r="U71" s="76"/>
      <c r="AJ71" s="64"/>
    </row>
    <row r="72" spans="1:36" ht="10.8" customHeight="1" x14ac:dyDescent="0.2">
      <c r="A72" s="74"/>
      <c r="B72" s="75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64"/>
    </row>
    <row r="73" spans="1:36" ht="10.8" customHeight="1" x14ac:dyDescent="0.2">
      <c r="A73"/>
      <c r="B73" s="75"/>
      <c r="C73"/>
      <c r="D73"/>
      <c r="E73"/>
      <c r="F73"/>
      <c r="AJ73" s="64"/>
    </row>
    <row r="74" spans="1:36" ht="10.8" customHeight="1" x14ac:dyDescent="0.2">
      <c r="A74" s="74"/>
      <c r="B74" s="75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64"/>
    </row>
    <row r="75" spans="1:36" ht="10.8" customHeight="1" x14ac:dyDescent="0.2">
      <c r="A75"/>
      <c r="B75" s="75"/>
      <c r="C75"/>
      <c r="D75"/>
      <c r="E75"/>
      <c r="F75"/>
      <c r="AD75" s="76"/>
      <c r="AJ75" s="64"/>
    </row>
    <row r="76" spans="1:36" ht="13.2" x14ac:dyDescent="0.2"/>
    <row r="77" spans="1:36" ht="13.2" x14ac:dyDescent="0.2"/>
    <row r="78" spans="1:36" ht="10.8" customHeight="1" x14ac:dyDescent="0.2">
      <c r="F78" s="69"/>
      <c r="G78" s="69"/>
      <c r="H78" s="69"/>
      <c r="I78" s="69"/>
      <c r="J78" s="69"/>
      <c r="K78" s="69"/>
      <c r="L78" s="69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</row>
    <row r="79" spans="1:36" ht="13.2" x14ac:dyDescent="0.2"/>
    <row r="80" spans="1:36" ht="10.8" customHeight="1" x14ac:dyDescent="0.2">
      <c r="A80" s="73"/>
      <c r="B80"/>
      <c r="C80" s="73"/>
      <c r="D80" s="73"/>
      <c r="E80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64"/>
    </row>
    <row r="81" spans="1:35" s="64" customFormat="1" ht="10.8" customHeight="1" x14ac:dyDescent="0.2">
      <c r="A81"/>
      <c r="B81"/>
      <c r="C81" s="73"/>
      <c r="D81"/>
      <c r="E81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</row>
    <row r="82" spans="1:35" s="64" customFormat="1" ht="10.8" customHeight="1" x14ac:dyDescent="0.2">
      <c r="A82" s="74"/>
      <c r="B82"/>
      <c r="C82" s="76"/>
      <c r="D82" s="74"/>
      <c r="E82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</row>
    <row r="83" spans="1:35" s="64" customFormat="1" ht="10.8" customHeight="1" x14ac:dyDescent="0.2">
      <c r="A83"/>
      <c r="B83"/>
      <c r="C83"/>
      <c r="D83"/>
      <c r="E83"/>
      <c r="F83" s="76"/>
      <c r="G83" s="76"/>
      <c r="H83" s="76"/>
      <c r="I83" s="76"/>
      <c r="J83"/>
      <c r="K83"/>
      <c r="L83" s="76"/>
      <c r="M83" s="76"/>
      <c r="N83"/>
      <c r="O83" s="76"/>
      <c r="P83" s="76"/>
      <c r="Q83"/>
      <c r="R83"/>
      <c r="S83" s="76"/>
      <c r="T83"/>
      <c r="U83" s="76"/>
      <c r="V83"/>
      <c r="W83" s="76"/>
      <c r="X83"/>
      <c r="Y83"/>
      <c r="Z83" s="76"/>
      <c r="AA83" s="76"/>
      <c r="AB83" s="76"/>
      <c r="AC83"/>
      <c r="AD83" s="76"/>
      <c r="AE83"/>
      <c r="AF83"/>
      <c r="AG83" s="76"/>
      <c r="AH83"/>
      <c r="AI83" s="76"/>
    </row>
    <row r="84" spans="1:35" s="64" customFormat="1" ht="10.8" customHeight="1" x14ac:dyDescent="0.2">
      <c r="A84" s="74"/>
      <c r="B84"/>
      <c r="C84" s="76"/>
      <c r="D84" s="74"/>
      <c r="E84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</row>
    <row r="85" spans="1:35" s="64" customFormat="1" ht="10.8" customHeight="1" x14ac:dyDescent="0.2">
      <c r="A85"/>
      <c r="B85"/>
      <c r="C85"/>
      <c r="D85"/>
      <c r="E85"/>
      <c r="F85" s="76"/>
      <c r="G85" s="76"/>
      <c r="H85" s="76"/>
      <c r="I85" s="76"/>
      <c r="J85"/>
      <c r="K85"/>
      <c r="L85" s="76"/>
      <c r="M85" s="76"/>
      <c r="N85" s="76"/>
      <c r="O85" s="76"/>
      <c r="P85" s="76"/>
      <c r="Q85"/>
      <c r="R85"/>
      <c r="S85" s="76"/>
      <c r="T85" s="76"/>
      <c r="U85" s="76"/>
      <c r="V85" s="76"/>
      <c r="W85" s="76"/>
      <c r="X85"/>
      <c r="Y85"/>
      <c r="Z85" s="76"/>
      <c r="AA85" s="76"/>
      <c r="AB85" s="76"/>
      <c r="AC85" s="76"/>
      <c r="AD85"/>
      <c r="AE85"/>
      <c r="AF85"/>
      <c r="AG85"/>
      <c r="AH85"/>
      <c r="AI85" s="76"/>
    </row>
    <row r="86" spans="1:35" s="64" customFormat="1" ht="10.8" customHeight="1" x14ac:dyDescent="0.2">
      <c r="A86" s="74"/>
      <c r="B86"/>
      <c r="C86" s="76"/>
      <c r="D86" s="74"/>
      <c r="E8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</row>
    <row r="87" spans="1:35" s="64" customFormat="1" ht="10.8" customHeight="1" x14ac:dyDescent="0.2">
      <c r="A87"/>
      <c r="B87"/>
      <c r="C87"/>
      <c r="D87"/>
      <c r="E87"/>
      <c r="F87" s="76"/>
      <c r="G87" s="76"/>
      <c r="H87"/>
      <c r="I87" s="76"/>
      <c r="J87"/>
      <c r="K87"/>
      <c r="L87"/>
      <c r="M87" s="76"/>
      <c r="N87" s="76"/>
      <c r="O87" s="76"/>
      <c r="P87"/>
      <c r="Q87"/>
      <c r="R87"/>
      <c r="S87" s="76"/>
      <c r="T87"/>
      <c r="U87" s="76"/>
      <c r="V87" s="76"/>
      <c r="W87" s="76"/>
      <c r="X87"/>
      <c r="Y87"/>
      <c r="Z87" s="76"/>
      <c r="AA87" s="76"/>
      <c r="AB87"/>
      <c r="AC87" s="76"/>
      <c r="AD87" s="76"/>
      <c r="AE87"/>
      <c r="AF87"/>
      <c r="AG87" s="76"/>
      <c r="AH87"/>
      <c r="AI87" s="76"/>
    </row>
    <row r="88" spans="1:35" s="64" customFormat="1" ht="10.8" customHeight="1" x14ac:dyDescent="0.2">
      <c r="A88" s="74"/>
      <c r="B88"/>
      <c r="C88" s="76"/>
      <c r="D88" s="74"/>
      <c r="E88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6"/>
    </row>
    <row r="89" spans="1:35" s="64" customFormat="1" ht="10.8" customHeight="1" x14ac:dyDescent="0.2">
      <c r="A89"/>
      <c r="B89"/>
      <c r="C89"/>
      <c r="D89"/>
      <c r="E89"/>
      <c r="F89" s="76"/>
      <c r="G89" s="76"/>
      <c r="H89" s="76"/>
      <c r="I89"/>
      <c r="J89"/>
      <c r="K89"/>
      <c r="L89" s="76"/>
      <c r="M89" s="76"/>
      <c r="N89" s="76"/>
      <c r="O89" s="76"/>
      <c r="P89" s="76"/>
      <c r="Q89"/>
      <c r="R89"/>
      <c r="S89" s="76"/>
      <c r="T89" s="76"/>
      <c r="U89" s="76"/>
      <c r="V89" s="76"/>
      <c r="W89" s="76"/>
      <c r="X89"/>
      <c r="Y89"/>
      <c r="Z89" s="76"/>
      <c r="AA89" s="76"/>
      <c r="AB89" s="76"/>
      <c r="AC89" s="76"/>
      <c r="AD89" s="76"/>
      <c r="AE89"/>
      <c r="AF89"/>
      <c r="AG89" s="76"/>
      <c r="AH89"/>
      <c r="AI89" s="76"/>
    </row>
    <row r="90" spans="1:35" s="64" customFormat="1" ht="10.8" customHeight="1" x14ac:dyDescent="0.2">
      <c r="A90" s="74"/>
      <c r="B90"/>
      <c r="C90" s="76"/>
      <c r="D90" s="74"/>
      <c r="E90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6"/>
    </row>
    <row r="91" spans="1:35" s="64" customFormat="1" ht="10.8" customHeight="1" x14ac:dyDescent="0.2">
      <c r="A91"/>
      <c r="B91"/>
      <c r="C91"/>
      <c r="D91"/>
      <c r="E91"/>
      <c r="F91" s="76"/>
      <c r="G91" s="76"/>
      <c r="H91" s="76"/>
      <c r="I91" s="76"/>
      <c r="J91"/>
      <c r="K91"/>
      <c r="L91" s="76"/>
      <c r="M91" s="76"/>
      <c r="N91" s="76"/>
      <c r="O91" s="76"/>
      <c r="P91"/>
      <c r="Q91"/>
      <c r="R91"/>
      <c r="S91" s="76"/>
      <c r="T91" s="76"/>
      <c r="U91" s="76"/>
      <c r="V91" s="76"/>
      <c r="W91" s="76"/>
      <c r="X91"/>
      <c r="Y91"/>
      <c r="Z91" s="76"/>
      <c r="AA91" s="76"/>
      <c r="AB91" s="76"/>
      <c r="AC91" s="76"/>
      <c r="AD91" s="76"/>
      <c r="AE91"/>
      <c r="AF91"/>
      <c r="AG91"/>
      <c r="AH91"/>
      <c r="AI91" s="76"/>
    </row>
    <row r="92" spans="1:35" s="64" customFormat="1" ht="10.8" customHeight="1" x14ac:dyDescent="0.2">
      <c r="A92" s="74"/>
      <c r="B92"/>
      <c r="C92" s="76"/>
      <c r="D92" s="74"/>
      <c r="E92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6"/>
    </row>
    <row r="93" spans="1:35" s="64" customFormat="1" ht="10.8" customHeight="1" x14ac:dyDescent="0.2">
      <c r="A93"/>
      <c r="B93"/>
      <c r="C93"/>
      <c r="D93"/>
      <c r="E93"/>
      <c r="F93" s="76"/>
      <c r="G93" s="76"/>
      <c r="H93" s="76"/>
      <c r="I93" s="76"/>
      <c r="J93"/>
      <c r="K93"/>
      <c r="L93" s="76"/>
      <c r="M93" s="76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40"/>
  <sheetViews>
    <sheetView view="pageBreakPreview" zoomScale="85" zoomScaleNormal="100" zoomScaleSheetLayoutView="85" zoomScalePageLayoutView="70" workbookViewId="0">
      <selection activeCell="E24" sqref="E24"/>
    </sheetView>
  </sheetViews>
  <sheetFormatPr defaultRowHeight="15" x14ac:dyDescent="0.3"/>
  <cols>
    <col min="1" max="1" width="2.6640625" style="43" customWidth="1"/>
    <col min="2" max="2" width="7.33203125" style="43" customWidth="1"/>
    <col min="3" max="3" width="14.5546875" style="62" customWidth="1"/>
    <col min="4" max="4" width="13" style="43" customWidth="1"/>
    <col min="5" max="5" width="15.77734375" style="43" customWidth="1"/>
    <col min="6" max="7" width="8.88671875" style="43" customWidth="1"/>
    <col min="8" max="8" width="12.77734375" style="43" bestFit="1" customWidth="1"/>
    <col min="9" max="9" width="5.77734375" style="43" customWidth="1"/>
    <col min="10" max="14" width="8.88671875" style="43" customWidth="1"/>
    <col min="15" max="16384" width="8.88671875" style="43"/>
  </cols>
  <sheetData>
    <row r="1" spans="2:9" ht="16.8" customHeight="1" x14ac:dyDescent="0.3">
      <c r="H1" s="77">
        <f ca="1">TODAY()</f>
        <v>45779</v>
      </c>
      <c r="I1" s="78"/>
    </row>
    <row r="2" spans="2:9" ht="16.8" customHeight="1" x14ac:dyDescent="0.3">
      <c r="B2" s="43" t="s">
        <v>3</v>
      </c>
    </row>
    <row r="3" spans="2:9" ht="16.8" customHeight="1" x14ac:dyDescent="0.3">
      <c r="B3" s="43" t="s">
        <v>0</v>
      </c>
    </row>
    <row r="4" spans="2:9" ht="16.8" customHeight="1" x14ac:dyDescent="0.3">
      <c r="B4" s="43" t="s">
        <v>4</v>
      </c>
    </row>
    <row r="5" spans="2:9" ht="16.8" customHeight="1" x14ac:dyDescent="0.3">
      <c r="G5" s="83" t="s">
        <v>5</v>
      </c>
      <c r="H5" s="78"/>
      <c r="I5" s="78"/>
    </row>
    <row r="6" spans="2:9" ht="16.8" customHeight="1" x14ac:dyDescent="0.3">
      <c r="G6" s="83" t="s">
        <v>6</v>
      </c>
      <c r="H6" s="78"/>
      <c r="I6" s="78"/>
    </row>
    <row r="7" spans="2:9" ht="10.199999999999999" customHeight="1" x14ac:dyDescent="0.3"/>
    <row r="8" spans="2:9" s="47" customFormat="1" ht="24" customHeight="1" x14ac:dyDescent="0.2">
      <c r="C8" s="86" t="s">
        <v>7</v>
      </c>
      <c r="D8" s="87"/>
      <c r="E8" s="87"/>
      <c r="F8" s="87"/>
      <c r="G8" s="87"/>
      <c r="H8" s="87"/>
    </row>
    <row r="9" spans="2:9" s="47" customFormat="1" ht="9.6" customHeight="1" x14ac:dyDescent="0.2">
      <c r="C9" s="60"/>
      <c r="D9" s="48"/>
      <c r="E9" s="48"/>
      <c r="F9" s="48"/>
      <c r="G9" s="48"/>
      <c r="H9" s="48"/>
    </row>
    <row r="10" spans="2:9" s="1" customFormat="1" ht="21" customHeight="1" x14ac:dyDescent="0.2">
      <c r="C10" s="84" t="s">
        <v>8</v>
      </c>
      <c r="D10" s="85"/>
      <c r="E10" s="85"/>
      <c r="F10" s="85"/>
      <c r="G10" s="85"/>
      <c r="H10" s="85"/>
    </row>
    <row r="11" spans="2:9" s="1" customFormat="1" ht="21" customHeight="1" x14ac:dyDescent="0.2">
      <c r="C11" s="85"/>
      <c r="D11" s="85"/>
      <c r="E11" s="85"/>
      <c r="F11" s="85"/>
      <c r="G11" s="85"/>
      <c r="H11" s="85"/>
    </row>
    <row r="12" spans="2:9" s="1" customFormat="1" ht="21" customHeight="1" x14ac:dyDescent="0.2">
      <c r="C12" s="85"/>
      <c r="D12" s="85"/>
      <c r="E12" s="85"/>
      <c r="F12" s="85"/>
      <c r="G12" s="85"/>
      <c r="H12" s="85"/>
    </row>
    <row r="13" spans="2:9" s="1" customFormat="1" ht="21" customHeight="1" x14ac:dyDescent="0.2">
      <c r="C13" s="85"/>
      <c r="D13" s="85"/>
      <c r="E13" s="85"/>
      <c r="F13" s="85"/>
      <c r="G13" s="85"/>
      <c r="H13" s="85"/>
    </row>
    <row r="14" spans="2:9" s="1" customFormat="1" ht="21" customHeight="1" x14ac:dyDescent="0.2">
      <c r="C14" s="85"/>
      <c r="D14" s="85"/>
      <c r="E14" s="85"/>
      <c r="F14" s="85"/>
      <c r="G14" s="85"/>
      <c r="H14" s="85"/>
    </row>
    <row r="15" spans="2:9" s="1" customFormat="1" ht="21" customHeight="1" x14ac:dyDescent="0.2">
      <c r="C15" s="85"/>
      <c r="D15" s="85"/>
      <c r="E15" s="85"/>
      <c r="F15" s="85"/>
      <c r="G15" s="85"/>
      <c r="H15" s="85"/>
    </row>
    <row r="16" spans="2:9" ht="9" customHeight="1" x14ac:dyDescent="0.3"/>
    <row r="17" spans="3:8" ht="31.8" customHeight="1" x14ac:dyDescent="0.3">
      <c r="C17" s="61" t="s">
        <v>9</v>
      </c>
      <c r="D17" s="45" t="s">
        <v>10</v>
      </c>
      <c r="E17" s="45" t="s">
        <v>11</v>
      </c>
      <c r="F17" s="82" t="s">
        <v>12</v>
      </c>
      <c r="G17" s="80"/>
      <c r="H17" s="81"/>
    </row>
    <row r="18" spans="3:8" ht="16.8" customHeight="1" x14ac:dyDescent="0.3">
      <c r="C18" s="44" t="str">
        <f>IF(まとめ!B12&lt;&gt;"",まとめ!B12,"")</f>
        <v/>
      </c>
      <c r="D18" s="46" t="str" cm="1">
        <f t="array" ref="D18">IF(C18&lt;&gt;"",
_xlfn._xlws.FILTER(まとめ!$G$12:$G$41,まとめ!$B$12:$B$41=C18,""),"")</f>
        <v/>
      </c>
      <c r="E18" s="46" t="str">
        <f t="array" ref="E18">IF(C18&lt;&gt;"",
_xlfn._xlws.FILTER(まとめ!$I$12:$I$41,まとめ!$B$12:$B$41=C18,""),"")</f>
        <v/>
      </c>
      <c r="F18" s="79" t="str">
        <f t="array" ref="F18">IF(C18&lt;&gt;"",
IF(_xlfn._xlws.FILTER(まとめ!$K$12:$K$41,まとめ!$B$12:$B$41=C18,"")=0,"",
_xlfn._xlws.FILTER(まとめ!$K$12:$K$41,まとめ!$B$12:$B$41=C18,"")),"")</f>
        <v/>
      </c>
      <c r="G18" s="80"/>
      <c r="H18" s="81"/>
    </row>
    <row r="19" spans="3:8" ht="16.8" customHeight="1" x14ac:dyDescent="0.3">
      <c r="C19" s="44" t="str">
        <f>IF(まとめ!B13&lt;&gt;"",まとめ!B13,"")</f>
        <v/>
      </c>
      <c r="D19" s="46" t="str" cm="1">
        <f t="array" ref="D19">IF(C19&lt;&gt;"",
_xlfn._xlws.FILTER(まとめ!$G$12:$G$41,まとめ!$B$12:$B$41=C19,""),"")</f>
        <v/>
      </c>
      <c r="E19" s="46" t="str">
        <f t="array" ref="E19">IF(C19&lt;&gt;"",
_xlfn._xlws.FILTER(まとめ!$I$12:$I$41,まとめ!$B$12:$B$41=C19,""),"")</f>
        <v/>
      </c>
      <c r="F19" s="79" t="str">
        <f t="array" ref="F19">IF(C19&lt;&gt;"",
IF(_xlfn._xlws.FILTER(まとめ!$K$12:$K$41,まとめ!$B$12:$B$41=C19,"")=0,"",
_xlfn._xlws.FILTER(まとめ!$K$12:$K$41,まとめ!$B$12:$B$41=C19,"")),"")</f>
        <v/>
      </c>
      <c r="G19" s="80"/>
      <c r="H19" s="81"/>
    </row>
    <row r="20" spans="3:8" ht="16.8" customHeight="1" x14ac:dyDescent="0.3">
      <c r="C20" s="44" t="str">
        <f>IF(まとめ!B14&lt;&gt;"",まとめ!B14,"")</f>
        <v/>
      </c>
      <c r="D20" s="46" t="str" cm="1">
        <f t="array" ref="D20">IF(C20&lt;&gt;"",
_xlfn._xlws.FILTER(まとめ!$G$12:$G$41,まとめ!$B$12:$B$41=C20,""),"")</f>
        <v/>
      </c>
      <c r="E20" s="46" t="str">
        <f t="array" ref="E20">IF(C20&lt;&gt;"",
_xlfn._xlws.FILTER(まとめ!$I$12:$I$41,まとめ!$B$12:$B$41=C20,""),"")</f>
        <v/>
      </c>
      <c r="F20" s="79" t="str">
        <f t="array" ref="F20">IF(C20&lt;&gt;"",
IF(_xlfn._xlws.FILTER(まとめ!$K$12:$K$41,まとめ!$B$12:$B$41=C20,"")=0,"",
_xlfn._xlws.FILTER(まとめ!$K$12:$K$41,まとめ!$B$12:$B$41=C20,"")),"")</f>
        <v/>
      </c>
      <c r="G20" s="80"/>
      <c r="H20" s="81"/>
    </row>
    <row r="21" spans="3:8" ht="16.8" customHeight="1" x14ac:dyDescent="0.3">
      <c r="C21" s="44" t="str">
        <f>IF(まとめ!B15&lt;&gt;"",まとめ!B15,"")</f>
        <v/>
      </c>
      <c r="D21" s="46" t="str" cm="1">
        <f t="array" ref="D21">IF(C21&lt;&gt;"",
_xlfn._xlws.FILTER(まとめ!$G$12:$G$41,まとめ!$B$12:$B$41=C21,""),"")</f>
        <v/>
      </c>
      <c r="E21" s="46" t="str">
        <f t="array" ref="E21">IF(C21&lt;&gt;"",
_xlfn._xlws.FILTER(まとめ!$I$12:$I$41,まとめ!$B$12:$B$41=C21,""),"")</f>
        <v/>
      </c>
      <c r="F21" s="79" t="str">
        <f t="array" ref="F21">IF(C21&lt;&gt;"",
IF(_xlfn._xlws.FILTER(まとめ!$K$12:$K$41,まとめ!$B$12:$B$41=C21,"")=0,"",
_xlfn._xlws.FILTER(まとめ!$K$12:$K$41,まとめ!$B$12:$B$41=C21,"")),"")</f>
        <v/>
      </c>
      <c r="G21" s="80"/>
      <c r="H21" s="81"/>
    </row>
    <row r="22" spans="3:8" ht="16.8" customHeight="1" x14ac:dyDescent="0.3">
      <c r="C22" s="44" t="str">
        <f>IF(まとめ!B16&lt;&gt;"",まとめ!B16,"")</f>
        <v/>
      </c>
      <c r="D22" s="46" t="str" cm="1">
        <f t="array" ref="D22">IF(C22&lt;&gt;"",
_xlfn._xlws.FILTER(まとめ!$G$12:$G$41,まとめ!$B$12:$B$41=C22,""),"")</f>
        <v/>
      </c>
      <c r="E22" s="46" t="str">
        <f t="array" ref="E22">IF(C22&lt;&gt;"",
_xlfn._xlws.FILTER(まとめ!$I$12:$I$41,まとめ!$B$12:$B$41=C22,""),"")</f>
        <v/>
      </c>
      <c r="F22" s="79" t="str">
        <f t="array" ref="F22">IF(C22&lt;&gt;"",
IF(_xlfn._xlws.FILTER(まとめ!$K$12:$K$41,まとめ!$B$12:$B$41=C22,"")=0,"",
_xlfn._xlws.FILTER(まとめ!$K$12:$K$41,まとめ!$B$12:$B$41=C22,"")),"")</f>
        <v/>
      </c>
      <c r="G22" s="80"/>
      <c r="H22" s="81"/>
    </row>
    <row r="23" spans="3:8" ht="16.8" customHeight="1" x14ac:dyDescent="0.3">
      <c r="C23" s="44" t="str">
        <f>IF(まとめ!B17&lt;&gt;"",まとめ!B17,"")</f>
        <v/>
      </c>
      <c r="D23" s="46" t="str" cm="1">
        <f t="array" ref="D23">IF(C23&lt;&gt;"",
_xlfn._xlws.FILTER(まとめ!$G$12:$G$41,まとめ!$B$12:$B$41=C23,""),"")</f>
        <v/>
      </c>
      <c r="E23" s="46" t="str">
        <f t="array" ref="E23">IF(C23&lt;&gt;"",
_xlfn._xlws.FILTER(まとめ!$I$12:$I$41,まとめ!$B$12:$B$41=C23,""),"")</f>
        <v/>
      </c>
      <c r="F23" s="79" t="str">
        <f t="array" ref="F23">IF(C23&lt;&gt;"",
IF(_xlfn._xlws.FILTER(まとめ!$K$12:$K$41,まとめ!$B$12:$B$41=C23,"")=0,"",
_xlfn._xlws.FILTER(まとめ!$K$12:$K$41,まとめ!$B$12:$B$41=C23,"")),"")</f>
        <v/>
      </c>
      <c r="G23" s="80"/>
      <c r="H23" s="81"/>
    </row>
    <row r="24" spans="3:8" ht="16.8" customHeight="1" x14ac:dyDescent="0.3">
      <c r="C24" s="44" t="str">
        <f>IF(まとめ!B18&lt;&gt;"",まとめ!B18,"")</f>
        <v/>
      </c>
      <c r="D24" s="46" t="str" cm="1">
        <f t="array" ref="D24">IF(C24&lt;&gt;"",
_xlfn._xlws.FILTER(まとめ!$G$12:$G$41,まとめ!$B$12:$B$41=C24,""),"")</f>
        <v/>
      </c>
      <c r="E24" s="46" t="str">
        <f t="array" ref="E24">IF(C24&lt;&gt;"",
_xlfn._xlws.FILTER(まとめ!$I$12:$I$41,まとめ!$B$12:$B$41=C24,""),"")</f>
        <v/>
      </c>
      <c r="F24" s="79" t="str">
        <f t="array" ref="F24">IF(C24&lt;&gt;"",
IF(_xlfn._xlws.FILTER(まとめ!$K$12:$K$41,まとめ!$B$12:$B$41=C24,"")=0,"",
_xlfn._xlws.FILTER(まとめ!$K$12:$K$41,まとめ!$B$12:$B$41=C24,"")),"")</f>
        <v/>
      </c>
      <c r="G24" s="80"/>
      <c r="H24" s="81"/>
    </row>
    <row r="25" spans="3:8" ht="16.8" customHeight="1" x14ac:dyDescent="0.3">
      <c r="C25" s="44" t="str">
        <f>IF(まとめ!B19&lt;&gt;"",まとめ!B19,"")</f>
        <v/>
      </c>
      <c r="D25" s="46" t="str" cm="1">
        <f t="array" ref="D25">IF(C25&lt;&gt;"",
_xlfn._xlws.FILTER(まとめ!$G$12:$G$41,まとめ!$B$12:$B$41=C25,""),"")</f>
        <v/>
      </c>
      <c r="E25" s="46" t="str">
        <f t="array" ref="E25">IF(C25&lt;&gt;"",
_xlfn._xlws.FILTER(まとめ!$I$12:$I$41,まとめ!$B$12:$B$41=C25,""),"")</f>
        <v/>
      </c>
      <c r="F25" s="79" t="str">
        <f t="array" ref="F25">IF(C25&lt;&gt;"",
IF(_xlfn._xlws.FILTER(まとめ!$K$12:$K$41,まとめ!$B$12:$B$41=C25,"")=0,"",
_xlfn._xlws.FILTER(まとめ!$K$12:$K$41,まとめ!$B$12:$B$41=C25,"")),"")</f>
        <v/>
      </c>
      <c r="G25" s="80"/>
      <c r="H25" s="81"/>
    </row>
    <row r="26" spans="3:8" ht="16.8" customHeight="1" x14ac:dyDescent="0.3">
      <c r="C26" s="44" t="str">
        <f>IF(まとめ!B20&lt;&gt;"",まとめ!B20,"")</f>
        <v/>
      </c>
      <c r="D26" s="46" t="str" cm="1">
        <f t="array" ref="D26">IF(C26&lt;&gt;"",
_xlfn._xlws.FILTER(まとめ!$G$12:$G$41,まとめ!$B$12:$B$41=C26,""),"")</f>
        <v/>
      </c>
      <c r="E26" s="46" t="str">
        <f t="array" ref="E26">IF(C26&lt;&gt;"",
_xlfn._xlws.FILTER(まとめ!$I$12:$I$41,まとめ!$B$12:$B$41=C26,""),"")</f>
        <v/>
      </c>
      <c r="F26" s="79" t="str">
        <f t="array" ref="F26">IF(C26&lt;&gt;"",
IF(_xlfn._xlws.FILTER(まとめ!$K$12:$K$41,まとめ!$B$12:$B$41=C26,"")=0,"",
_xlfn._xlws.FILTER(まとめ!$K$12:$K$41,まとめ!$B$12:$B$41=C26,"")),"")</f>
        <v/>
      </c>
      <c r="G26" s="80"/>
      <c r="H26" s="81"/>
    </row>
    <row r="27" spans="3:8" ht="16.8" customHeight="1" x14ac:dyDescent="0.3">
      <c r="C27" s="44" t="str">
        <f>IF(まとめ!B21&lt;&gt;"",まとめ!B21,"")</f>
        <v/>
      </c>
      <c r="D27" s="46" t="str" cm="1">
        <f t="array" ref="D27">IF(C27&lt;&gt;"",
_xlfn._xlws.FILTER(まとめ!$G$12:$G$41,まとめ!$B$12:$B$41=C27,""),"")</f>
        <v/>
      </c>
      <c r="E27" s="46" t="str">
        <f t="array" ref="E27">IF(C27&lt;&gt;"",
_xlfn._xlws.FILTER(まとめ!$I$12:$I$41,まとめ!$B$12:$B$41=C27,""),"")</f>
        <v/>
      </c>
      <c r="F27" s="79" t="str">
        <f t="array" ref="F27">IF(C27&lt;&gt;"",
IF(_xlfn._xlws.FILTER(まとめ!$K$12:$K$41,まとめ!$B$12:$B$41=C27,"")=0,"",
_xlfn._xlws.FILTER(まとめ!$K$12:$K$41,まとめ!$B$12:$B$41=C27,"")),"")</f>
        <v/>
      </c>
      <c r="G27" s="80"/>
      <c r="H27" s="81"/>
    </row>
    <row r="28" spans="3:8" ht="16.8" customHeight="1" x14ac:dyDescent="0.3">
      <c r="C28" s="44" t="str">
        <f>IF(まとめ!B22&lt;&gt;"",まとめ!B22,"")</f>
        <v/>
      </c>
      <c r="D28" s="46" t="str" cm="1">
        <f t="array" ref="D28">IF(C28&lt;&gt;"",
_xlfn._xlws.FILTER(まとめ!$G$12:$G$41,まとめ!$B$12:$B$41=C28,""),"")</f>
        <v/>
      </c>
      <c r="E28" s="46" t="str">
        <f t="array" ref="E28">IF(C28&lt;&gt;"",
_xlfn._xlws.FILTER(まとめ!$I$12:$I$41,まとめ!$B$12:$B$41=C28,""),"")</f>
        <v/>
      </c>
      <c r="F28" s="79" t="str">
        <f t="array" ref="F28">IF(C28&lt;&gt;"",
IF(_xlfn._xlws.FILTER(まとめ!$K$12:$K$41,まとめ!$B$12:$B$41=C28,"")=0,"",
_xlfn._xlws.FILTER(まとめ!$K$12:$K$41,まとめ!$B$12:$B$41=C28,"")),"")</f>
        <v/>
      </c>
      <c r="G28" s="80"/>
      <c r="H28" s="81"/>
    </row>
    <row r="29" spans="3:8" ht="16.8" customHeight="1" x14ac:dyDescent="0.3">
      <c r="C29" s="44" t="str">
        <f>IF(まとめ!B23&lt;&gt;"",まとめ!B23,"")</f>
        <v/>
      </c>
      <c r="D29" s="46" t="str" cm="1">
        <f t="array" ref="D29">IF(C29&lt;&gt;"",
_xlfn._xlws.FILTER(まとめ!$G$12:$G$41,まとめ!$B$12:$B$41=C29,""),"")</f>
        <v/>
      </c>
      <c r="E29" s="46" t="str">
        <f t="array" ref="E29">IF(C29&lt;&gt;"",
_xlfn._xlws.FILTER(まとめ!$I$12:$I$41,まとめ!$B$12:$B$41=C29,""),"")</f>
        <v/>
      </c>
      <c r="F29" s="79" t="str">
        <f t="array" ref="F29">IF(C29&lt;&gt;"",
IF(_xlfn._xlws.FILTER(まとめ!$K$12:$K$41,まとめ!$B$12:$B$41=C29,"")=0,"",
_xlfn._xlws.FILTER(まとめ!$K$12:$K$41,まとめ!$B$12:$B$41=C29,"")),"")</f>
        <v/>
      </c>
      <c r="G29" s="80"/>
      <c r="H29" s="81"/>
    </row>
    <row r="30" spans="3:8" ht="16.8" customHeight="1" x14ac:dyDescent="0.3">
      <c r="C30" s="44" t="str">
        <f>IF(まとめ!B24&lt;&gt;"",まとめ!B24,"")</f>
        <v/>
      </c>
      <c r="D30" s="46" t="str" cm="1">
        <f t="array" ref="D30">IF(C30&lt;&gt;"",
_xlfn._xlws.FILTER(まとめ!$G$12:$G$41,まとめ!$B$12:$B$41=C30,""),"")</f>
        <v/>
      </c>
      <c r="E30" s="46" t="str">
        <f t="array" ref="E30">IF(C30&lt;&gt;"",
_xlfn._xlws.FILTER(まとめ!$I$12:$I$41,まとめ!$B$12:$B$41=C30,""),"")</f>
        <v/>
      </c>
      <c r="F30" s="79" t="str">
        <f t="array" ref="F30">IF(C30&lt;&gt;"",
IF(_xlfn._xlws.FILTER(まとめ!$K$12:$K$41,まとめ!$B$12:$B$41=C30,"")=0,"",
_xlfn._xlws.FILTER(まとめ!$K$12:$K$41,まとめ!$B$12:$B$41=C30,"")),"")</f>
        <v/>
      </c>
      <c r="G30" s="80"/>
      <c r="H30" s="81"/>
    </row>
    <row r="31" spans="3:8" ht="16.8" customHeight="1" x14ac:dyDescent="0.3">
      <c r="C31" s="44" t="str">
        <f>IF(まとめ!B25&lt;&gt;"",まとめ!B25,"")</f>
        <v/>
      </c>
      <c r="D31" s="46" t="str" cm="1">
        <f t="array" ref="D31">IF(C31&lt;&gt;"",
_xlfn._xlws.FILTER(まとめ!$G$12:$G$41,まとめ!$B$12:$B$41=C31,""),"")</f>
        <v/>
      </c>
      <c r="E31" s="46" t="str">
        <f t="array" ref="E31">IF(C31&lt;&gt;"",
_xlfn._xlws.FILTER(まとめ!$I$12:$I$41,まとめ!$B$12:$B$41=C31,""),"")</f>
        <v/>
      </c>
      <c r="F31" s="79" t="str">
        <f t="array" ref="F31">IF(C31&lt;&gt;"",
IF(_xlfn._xlws.FILTER(まとめ!$K$12:$K$41,まとめ!$B$12:$B$41=C31,"")=0,"",
_xlfn._xlws.FILTER(まとめ!$K$12:$K$41,まとめ!$B$12:$B$41=C31,"")),"")</f>
        <v/>
      </c>
      <c r="G31" s="80"/>
      <c r="H31" s="81"/>
    </row>
    <row r="32" spans="3:8" ht="16.8" customHeight="1" x14ac:dyDescent="0.3">
      <c r="C32" s="44" t="str">
        <f>IF(まとめ!B26&lt;&gt;"",まとめ!B26,"")</f>
        <v/>
      </c>
      <c r="D32" s="46" t="str" cm="1">
        <f t="array" ref="D32">IF(C32&lt;&gt;"",
_xlfn._xlws.FILTER(まとめ!$G$12:$G$41,まとめ!$B$12:$B$41=C32,""),"")</f>
        <v/>
      </c>
      <c r="E32" s="46" t="str">
        <f t="array" ref="E32">IF(C32&lt;&gt;"",
_xlfn._xlws.FILTER(まとめ!$I$12:$I$41,まとめ!$B$12:$B$41=C32,""),"")</f>
        <v/>
      </c>
      <c r="F32" s="79" t="str">
        <f t="array" ref="F32">IF(C32&lt;&gt;"",
IF(_xlfn._xlws.FILTER(まとめ!$K$12:$K$41,まとめ!$B$12:$B$41=C32,"")=0,"",
_xlfn._xlws.FILTER(まとめ!$K$12:$K$41,まとめ!$B$12:$B$41=C32,"")),"")</f>
        <v/>
      </c>
      <c r="G32" s="80"/>
      <c r="H32" s="81"/>
    </row>
    <row r="33" spans="3:8" ht="16.8" customHeight="1" x14ac:dyDescent="0.3">
      <c r="C33" s="44" t="str">
        <f>IF(まとめ!B27&lt;&gt;"",まとめ!B27,"")</f>
        <v/>
      </c>
      <c r="D33" s="46" t="str" cm="1">
        <f t="array" ref="D33">IF(C33&lt;&gt;"",
_xlfn._xlws.FILTER(まとめ!$G$12:$G$41,まとめ!$B$12:$B$41=C33,""),"")</f>
        <v/>
      </c>
      <c r="E33" s="46" t="str">
        <f t="array" ref="E33">IF(C33&lt;&gt;"",
_xlfn._xlws.FILTER(まとめ!$I$12:$I$41,まとめ!$B$12:$B$41=C33,""),"")</f>
        <v/>
      </c>
      <c r="F33" s="79" t="str">
        <f t="array" ref="F33">IF(C33&lt;&gt;"",
IF(_xlfn._xlws.FILTER(まとめ!$K$12:$K$41,まとめ!$B$12:$B$41=C33,"")=0,"",
_xlfn._xlws.FILTER(まとめ!$K$12:$K$41,まとめ!$B$12:$B$41=C33,"")),"")</f>
        <v/>
      </c>
      <c r="G33" s="80"/>
      <c r="H33" s="81"/>
    </row>
    <row r="34" spans="3:8" ht="16.8" customHeight="1" x14ac:dyDescent="0.3">
      <c r="C34" s="44" t="str">
        <f>IF(まとめ!B28&lt;&gt;"",まとめ!B28,"")</f>
        <v/>
      </c>
      <c r="D34" s="46" t="str" cm="1">
        <f t="array" ref="D34">IF(C34&lt;&gt;"",
_xlfn._xlws.FILTER(まとめ!$G$12:$G$41,まとめ!$B$12:$B$41=C34,""),"")</f>
        <v/>
      </c>
      <c r="E34" s="46" t="str">
        <f t="array" ref="E34">IF(C34&lt;&gt;"",
_xlfn._xlws.FILTER(まとめ!$I$12:$I$41,まとめ!$B$12:$B$41=C34,""),"")</f>
        <v/>
      </c>
      <c r="F34" s="79" t="str">
        <f t="array" ref="F34">IF(C34&lt;&gt;"",
IF(_xlfn._xlws.FILTER(まとめ!$K$12:$K$41,まとめ!$B$12:$B$41=C34,"")=0,"",
_xlfn._xlws.FILTER(まとめ!$K$12:$K$41,まとめ!$B$12:$B$41=C34,"")),"")</f>
        <v/>
      </c>
      <c r="G34" s="80"/>
      <c r="H34" s="81"/>
    </row>
    <row r="35" spans="3:8" ht="16.8" customHeight="1" x14ac:dyDescent="0.3">
      <c r="C35" s="44" t="str">
        <f>IF(まとめ!B29&lt;&gt;"",まとめ!B29,"")</f>
        <v/>
      </c>
      <c r="D35" s="46" t="str" cm="1">
        <f t="array" ref="D35">IF(C35&lt;&gt;"",
_xlfn._xlws.FILTER(まとめ!$G$12:$G$41,まとめ!$B$12:$B$41=C35,""),"")</f>
        <v/>
      </c>
      <c r="E35" s="46" t="str">
        <f t="array" ref="E35">IF(C35&lt;&gt;"",
_xlfn._xlws.FILTER(まとめ!$I$12:$I$41,まとめ!$B$12:$B$41=C35,""),"")</f>
        <v/>
      </c>
      <c r="F35" s="79" t="str">
        <f t="array" ref="F35">IF(C35&lt;&gt;"",
IF(_xlfn._xlws.FILTER(まとめ!$K$12:$K$41,まとめ!$B$12:$B$41=C35,"")=0,"",
_xlfn._xlws.FILTER(まとめ!$K$12:$K$41,まとめ!$B$12:$B$41=C35,"")),"")</f>
        <v/>
      </c>
      <c r="G35" s="80"/>
      <c r="H35" s="81"/>
    </row>
    <row r="36" spans="3:8" ht="16.8" customHeight="1" x14ac:dyDescent="0.3">
      <c r="C36" s="44" t="str">
        <f>IF(まとめ!B30&lt;&gt;"",まとめ!B30,"")</f>
        <v/>
      </c>
      <c r="D36" s="46" t="str">
        <f t="array" ref="D36">IF(C36&lt;&gt;"",
_xlfn._xlws.FILTER(まとめ!$F$12:$F$41,まとめ!$B$12:$B$41=C36,""),"")</f>
        <v/>
      </c>
      <c r="E36" s="46" t="str">
        <f t="array" ref="E36">IF(C36&lt;&gt;"",
_xlfn._xlws.FILTER(まとめ!$I$12:$I$41,まとめ!$B$12:$B$41=C36,""),"")</f>
        <v/>
      </c>
      <c r="F36" s="79" t="str">
        <f t="array" ref="F36">IF(C36&lt;&gt;"",
IF(_xlfn._xlws.FILTER(まとめ!$K$12:$K$41,まとめ!$B$12:$B$41=C36,"")=0,"",
_xlfn._xlws.FILTER(まとめ!$K$12:$K$41,まとめ!$B$12:$B$41=C36,"")),"")</f>
        <v/>
      </c>
      <c r="G36" s="80"/>
      <c r="H36" s="81"/>
    </row>
    <row r="37" spans="3:8" ht="16.8" customHeight="1" x14ac:dyDescent="0.3">
      <c r="C37" s="44" t="str">
        <f>IF(まとめ!B31&lt;&gt;"",まとめ!B31,"")</f>
        <v/>
      </c>
      <c r="D37" s="46" t="str">
        <f t="array" ref="D37">IF(C37&lt;&gt;"",
_xlfn._xlws.FILTER(まとめ!$F$12:$F$41,まとめ!$B$12:$B$41=C37,""),"")</f>
        <v/>
      </c>
      <c r="E37" s="46" t="str">
        <f t="array" ref="E37">IF(C37&lt;&gt;"",
_xlfn._xlws.FILTER(まとめ!$I$12:$I$41,まとめ!$B$12:$B$41=C37,""),"")</f>
        <v/>
      </c>
      <c r="F37" s="79" t="str">
        <f t="array" ref="F37">IF(C37&lt;&gt;"",
IF(_xlfn._xlws.FILTER(まとめ!$K$12:$K$41,まとめ!$B$12:$B$41=C37,"")=0,"",
_xlfn._xlws.FILTER(まとめ!$K$12:$K$41,まとめ!$B$12:$B$41=C37,"")),"")</f>
        <v/>
      </c>
      <c r="G37" s="80"/>
      <c r="H37" s="81"/>
    </row>
    <row r="38" spans="3:8" x14ac:dyDescent="0.3">
      <c r="C38" s="44" t="str">
        <f>IF(まとめ!B32&lt;&gt;"",まとめ!B32,"")</f>
        <v/>
      </c>
      <c r="D38" s="46" t="str">
        <f t="array" ref="D38">IF(C38&lt;&gt;"",
_xlfn._xlws.FILTER(まとめ!$F$12:$F$41,まとめ!$B$12:$B$41=C38,""),"")</f>
        <v/>
      </c>
      <c r="E38" s="46" t="str">
        <f t="array" ref="E38">IF(C38&lt;&gt;"",
_xlfn._xlws.FILTER(まとめ!$I$12:$I$41,まとめ!$B$12:$B$41=C38,""),"")</f>
        <v/>
      </c>
      <c r="F38" s="79" t="str">
        <f t="array" ref="F38">IF(C38&lt;&gt;"",
IF(_xlfn._xlws.FILTER(まとめ!$K$12:$K$41,まとめ!$B$12:$B$41=C38,"")=0,"",
_xlfn._xlws.FILTER(まとめ!$K$12:$K$41,まとめ!$B$12:$B$41=C38,"")),"")</f>
        <v/>
      </c>
      <c r="G38" s="80"/>
      <c r="H38" s="81"/>
    </row>
    <row r="39" spans="3:8" x14ac:dyDescent="0.3">
      <c r="C39" s="44" t="str">
        <f>IF(まとめ!B33&lt;&gt;"",まとめ!B33,"")</f>
        <v/>
      </c>
      <c r="D39" s="46" t="str">
        <f t="array" ref="D39">IF(C39&lt;&gt;"",
_xlfn._xlws.FILTER(まとめ!$F$12:$F$41,まとめ!$B$12:$B$41=C39,""),"")</f>
        <v/>
      </c>
      <c r="E39" s="46" t="str">
        <f t="array" ref="E39">IF(C39&lt;&gt;"",
_xlfn._xlws.FILTER(まとめ!$I$12:$I$41,まとめ!$B$12:$B$41=C39,""),"")</f>
        <v/>
      </c>
      <c r="F39" s="79" t="str">
        <f t="array" ref="F39">IF(C39&lt;&gt;"",
IF(_xlfn._xlws.FILTER(まとめ!$K$12:$K$41,まとめ!$B$12:$B$41=C39,"")=0,"",
_xlfn._xlws.FILTER(まとめ!$K$12:$K$41,まとめ!$B$12:$B$41=C39,"")),"")</f>
        <v/>
      </c>
      <c r="G39" s="80"/>
      <c r="H39" s="81"/>
    </row>
    <row r="40" spans="3:8" x14ac:dyDescent="0.3">
      <c r="C40" s="44" t="str">
        <f>IF(まとめ!B34&lt;&gt;"",まとめ!B34,"")</f>
        <v/>
      </c>
      <c r="D40" s="46" t="str">
        <f t="array" ref="D40">IF(C40&lt;&gt;"",
_xlfn._xlws.FILTER(まとめ!$F$12:$F$41,まとめ!$B$12:$B$41=C40,""),"")</f>
        <v/>
      </c>
      <c r="E40" s="46" t="str">
        <f t="array" ref="E40">IF(C40&lt;&gt;"",
_xlfn._xlws.FILTER(まとめ!$I$12:$I$41,まとめ!$B$12:$B$41=C40,""),"")</f>
        <v/>
      </c>
      <c r="F40" s="79" t="str">
        <f t="array" ref="F40">IF(C40&lt;&gt;"",
IF(_xlfn._xlws.FILTER(まとめ!$K$12:$K$41,まとめ!$B$12:$B$41=C40,"")=0,"",
_xlfn._xlws.FILTER(まとめ!$K$12:$K$41,まとめ!$B$12:$B$41=C40,"")),"")</f>
        <v/>
      </c>
      <c r="G40" s="80"/>
      <c r="H40" s="81"/>
    </row>
  </sheetData>
  <mergeCells count="29">
    <mergeCell ref="F38:H38"/>
    <mergeCell ref="F39:H39"/>
    <mergeCell ref="F40:H40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tabSelected="1" zoomScale="80" zoomScaleNormal="80" workbookViewId="0">
      <selection activeCell="I9" sqref="I9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1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86" width="9" style="1" customWidth="1"/>
    <col min="87" max="16384" width="9" style="1"/>
  </cols>
  <sheetData>
    <row r="1" spans="1:77" ht="25.2" customHeight="1" thickBot="1" x14ac:dyDescent="0.25">
      <c r="B1" s="51">
        <f>'シフト一覧（転載）'!$B$2</f>
        <v>0</v>
      </c>
      <c r="C1" s="42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52" t="s">
        <v>13</v>
      </c>
      <c r="D3" s="50" t="s">
        <v>14</v>
      </c>
      <c r="E3" s="50"/>
      <c r="F3" s="50" t="s">
        <v>15</v>
      </c>
      <c r="G3" s="50"/>
      <c r="H3" s="5"/>
      <c r="I3" s="5"/>
      <c r="K3" s="4"/>
      <c r="L3" s="4"/>
      <c r="M3" s="4"/>
    </row>
    <row r="4" spans="1:77" s="3" customFormat="1" ht="28.8" customHeight="1" thickBot="1" x14ac:dyDescent="0.25">
      <c r="B4" s="11">
        <v>1</v>
      </c>
      <c r="C4" s="3" t="s">
        <v>16</v>
      </c>
      <c r="D4" s="11">
        <v>5</v>
      </c>
      <c r="E4" s="5" t="s">
        <v>17</v>
      </c>
      <c r="F4" s="11">
        <v>0</v>
      </c>
      <c r="G4" s="6" t="s">
        <v>17</v>
      </c>
      <c r="H4" s="6">
        <v>1</v>
      </c>
      <c r="I4" s="5" t="s">
        <v>18</v>
      </c>
      <c r="J4" s="7">
        <f>B5+D5+F5+1</f>
        <v>2.1</v>
      </c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53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19</v>
      </c>
      <c r="H6" s="3"/>
      <c r="I6" s="3"/>
      <c r="J6" s="49">
        <f>J4</f>
        <v>2.1</v>
      </c>
      <c r="M6" s="4"/>
    </row>
    <row r="7" spans="1:77" ht="11.4" customHeight="1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20</v>
      </c>
      <c r="C8" s="3" t="s">
        <v>21</v>
      </c>
      <c r="D8" s="3" t="s">
        <v>22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/>
      <c r="J9" s="3"/>
      <c r="M9" s="92" t="str">
        <f>D9</f>
        <v>病児</v>
      </c>
      <c r="N9" s="81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23</v>
      </c>
      <c r="C11" s="88" t="s">
        <v>1</v>
      </c>
      <c r="D11" s="81"/>
      <c r="E11" s="14" t="s">
        <v>24</v>
      </c>
      <c r="F11" s="14" t="s">
        <v>25</v>
      </c>
      <c r="G11" s="63" t="s">
        <v>26</v>
      </c>
      <c r="H11" s="95" t="s">
        <v>22</v>
      </c>
      <c r="I11" s="81"/>
      <c r="J11" s="14" t="s">
        <v>27</v>
      </c>
      <c r="K11" s="14" t="s">
        <v>12</v>
      </c>
      <c r="L11" s="54"/>
      <c r="M11" s="88" t="s">
        <v>23</v>
      </c>
      <c r="N11" s="81"/>
      <c r="O11" s="13" t="s">
        <v>28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str" cm="1">
        <f t="array" ref="B12">_xlfn._xlws.FILTER(
'シフト一覧（転載）'!$A$8:$A$100,
'シフト一覧（転載）'!$C$8:$C$100="日勤","")</f>
        <v/>
      </c>
      <c r="C12" s="29" t="str">
        <f t="array" aca="1" ref="C12" ca="1">IF(B12&lt;&gt;"",INDIRECT("'シフト一覧（転載）'!B"&amp;MATCH(B12,'シフト一覧（転載）'!$A:$A,0)+1),"")</f>
        <v/>
      </c>
      <c r="D12" s="57" t="str">
        <f t="array" aca="1" ref="D12" ca="1">IF(B12&lt;&gt;"",INDIRECT("'シフト一覧（転載）'!B"&amp;MATCH(B12,'シフト一覧（転載）'!$A:$A,0)),"")</f>
        <v/>
      </c>
      <c r="E12" s="22" t="str">
        <f t="array" aca="1" ref="E12" ca="1">IF(B12&lt;&gt;"",INDIRECT("'シフト一覧（転載）'!E"&amp;MATCH(B12,'シフト一覧（転載）'!$A:$A,0)),"")</f>
        <v/>
      </c>
      <c r="F12" s="56" t="str">
        <f t="shared" ref="F12:F41" ca="1" si="0">IF(E12&lt;&gt;"",IF(INT(E12*24)&gt;=$C$9,$C$9,INT(E12*24)+ROUND(MINUTE(E12)/60,2)),"")</f>
        <v/>
      </c>
      <c r="G12" s="19" t="str">
        <f>IF(B12&lt;&gt;"",
INT(IFERROR(VALUE(F12)-SUM(I12:J12),"")) &amp; ":" &amp; TEXT((IFERROR(VALUE(F12)-SUM(I12:J12),"")-INT(IFERROR(VALUE(F12)-SUM(I12:J12),"")))*60,"00"),"")</f>
        <v/>
      </c>
      <c r="H12" s="39" t="str">
        <f t="array" ref="H12">IF(B12&lt;&gt;"",IFERROR(INDEX('シフト一覧（転載）'!$C$8:$C$100,
MATCH(1, (ISNUMBER(SEARCH(B12,'シフト一覧（転載）'!$A$8:$A$100)))
*(ISNUMBER(SEARCH($D$9,'シフト一覧（転載）'!$B$8:$B$100))), 0)),""),"")</f>
        <v/>
      </c>
      <c r="I12" s="33" t="str">
        <f t="shared" ref="I12:I13" si="1">IF(B12&lt;&gt;"",
INT(IFERROR(VLOOKUP(B12,$M$12:$O$100,3,FALSE),0)) &amp; ":" &amp; TEXT((IFERROR(VLOOKUP(B12,$M$12:$O$100,3,FALSE),0)-INT(IFERROR(VLOOKUP(B12,$M$12:$O$100,3,FALSE),0)))*60,"00"),"")</f>
        <v/>
      </c>
      <c r="J12" s="19" t="str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/>
      </c>
      <c r="K12" s="36"/>
      <c r="L12" s="55"/>
      <c r="M12" s="88" t="str">
        <f t="array" ref="M1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2" s="89"/>
      <c r="O12" s="93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>
        <f t="array" ref="P12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0</v>
      </c>
      <c r="Q12" s="17">
        <f t="array" ref="Q12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>0</v>
      </c>
      <c r="R12" s="17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>0</v>
      </c>
      <c r="S12" s="17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>0</v>
      </c>
      <c r="T12" s="17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>0</v>
      </c>
      <c r="U12" s="17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>0</v>
      </c>
      <c r="V12" s="17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>0</v>
      </c>
      <c r="W12" s="17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>0</v>
      </c>
      <c r="X12" s="17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>0</v>
      </c>
      <c r="Y12" s="17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>0</v>
      </c>
      <c r="Z12" s="17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>0</v>
      </c>
      <c r="AA12" s="17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>0</v>
      </c>
      <c r="AB12" s="17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>0</v>
      </c>
      <c r="AC12" s="17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>0</v>
      </c>
      <c r="AD12" s="17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>0</v>
      </c>
      <c r="AE12" s="17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>0</v>
      </c>
      <c r="AF12" s="17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>0</v>
      </c>
      <c r="AG12" s="17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>0</v>
      </c>
      <c r="AH12" s="17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>0</v>
      </c>
      <c r="AI12" s="17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>0</v>
      </c>
      <c r="AJ12" s="17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>0</v>
      </c>
      <c r="AK12" s="17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>0</v>
      </c>
      <c r="AL12" s="17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>0</v>
      </c>
      <c r="AM12" s="17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>0</v>
      </c>
      <c r="AN12" s="17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>0</v>
      </c>
      <c r="AO12" s="17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>0</v>
      </c>
      <c r="AP12" s="17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>0</v>
      </c>
      <c r="AQ12" s="17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>0</v>
      </c>
      <c r="AR12" s="17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>0</v>
      </c>
      <c r="AS12" s="17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>0</v>
      </c>
      <c r="AT12" s="17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>0</v>
      </c>
      <c r="AU12" s="17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>0</v>
      </c>
      <c r="AV12" s="17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>0</v>
      </c>
      <c r="AW12" s="17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>0</v>
      </c>
      <c r="AX12" s="17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>0</v>
      </c>
      <c r="AY12" s="17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>0</v>
      </c>
      <c r="AZ12" s="17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>0</v>
      </c>
      <c r="BA12" s="17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>0</v>
      </c>
      <c r="BB12" s="17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>0</v>
      </c>
      <c r="BC12" s="17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>0</v>
      </c>
      <c r="BD12" s="17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>0</v>
      </c>
      <c r="BE12" s="17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>0</v>
      </c>
      <c r="BF12" s="17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>0</v>
      </c>
      <c r="BG12" s="17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>0</v>
      </c>
      <c r="BH12" s="17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>0</v>
      </c>
      <c r="BI12" s="17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>0</v>
      </c>
      <c r="BJ12" s="17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>0</v>
      </c>
      <c r="BK12" s="17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>0</v>
      </c>
      <c r="BL12" s="17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>0</v>
      </c>
      <c r="BM12" s="17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>0</v>
      </c>
      <c r="BN12" s="17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>0</v>
      </c>
      <c r="BO12" s="17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>0</v>
      </c>
      <c r="BP12" s="17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>0</v>
      </c>
      <c r="BQ12" s="17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>0</v>
      </c>
      <c r="BR12" s="17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>0</v>
      </c>
      <c r="BS12" s="17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>0</v>
      </c>
      <c r="BT12" s="17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>0</v>
      </c>
      <c r="BU12" s="17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>0</v>
      </c>
      <c r="BV12" s="17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>0</v>
      </c>
      <c r="BW12" s="17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>0</v>
      </c>
      <c r="BX12" s="17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>0</v>
      </c>
      <c r="BY12" s="17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>0</v>
      </c>
    </row>
    <row r="13" spans="1:77" ht="19.8" customHeight="1" x14ac:dyDescent="0.2">
      <c r="A13" s="27" t="str">
        <f t="shared" ref="A13:A41" si="2">IF(B13&lt;&gt;"",A12+1,"")</f>
        <v/>
      </c>
      <c r="B13" s="30"/>
      <c r="C13" s="30" t="str">
        <f t="array" aca="1" ref="C13" ca="1">IF(B13&lt;&gt;"",INDIRECT("'シフト一覧（転載）'!B"&amp;MATCH(B13,'シフト一覧（転載）'!$A:$A,0)+1),"")</f>
        <v/>
      </c>
      <c r="D13" s="58" t="str">
        <f t="array" aca="1" ref="D13" ca="1">IF(B13&lt;&gt;"",INDIRECT("'シフト一覧（転載）'!B"&amp;MATCH(B13,'シフト一覧（転載）'!$A:$A,0)),"")</f>
        <v/>
      </c>
      <c r="E13" s="23" t="str">
        <f t="array" aca="1" ref="E13" ca="1">IF(B13&lt;&gt;"",INDIRECT("'シフト一覧（転載）'!E"&amp;MATCH(B13,'シフト一覧（転載）'!$A:$A,0)),"")</f>
        <v/>
      </c>
      <c r="F13" s="20" t="str">
        <f t="shared" ca="1" si="0"/>
        <v/>
      </c>
      <c r="G13" s="20" t="str">
        <f>IF(B13&lt;&gt;"",
INT(IFERROR(VALUE(F13)-SUM(I13:J13),"")) &amp; ":" &amp; TEXT((IFERROR(VALUE(F13)-SUM(I13:J13),"")-INT(IFERROR(VALUE(F13)-SUM(I13:J13),"")))*60,"00"),"")</f>
        <v/>
      </c>
      <c r="H13" s="40" t="str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 t="shared" si="1"/>
        <v/>
      </c>
      <c r="J13" s="20" t="str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/>
      </c>
      <c r="K13" s="37"/>
      <c r="L13" s="55"/>
      <c r="M13" s="90"/>
      <c r="N13" s="91"/>
      <c r="O13" s="94"/>
      <c r="P13" s="18">
        <f t="array" ref="P13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>0</v>
      </c>
      <c r="Q13" s="18">
        <f>IF(P12=0,0,
IF(OR(P12="",COUNTIF(P12,"*保育無し*")),"",
IF(MOD(P13-P12,1)*24&gt;=8,1,
IF(MOD(P13-P12,1)*24&gt;=6,0.75,0))))</f>
        <v>0</v>
      </c>
      <c r="R13" s="18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>0</v>
      </c>
      <c r="S13" s="18">
        <f ca="1">IF(R12=0,0,
IF(OR(R12="",COUNTIF(R12,"*保育無し*")),"",
IF(MOD(R13-R12,1)*24&gt;=8,1,
IF(MOD(R13-R12,1)*24&gt;=6,0.75,0))))</f>
        <v>0</v>
      </c>
      <c r="T13" s="18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>0</v>
      </c>
      <c r="U13" s="18">
        <f ca="1">IF(T12=0,0,
IF(OR(T12="",COUNTIF(T12,"*保育無し*")),"",
IF(MOD(T13-T12,1)*24&gt;=8,1,
IF(MOD(T13-T12,1)*24&gt;=6,0.75,0))))</f>
        <v>0</v>
      </c>
      <c r="V13" s="18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>0</v>
      </c>
      <c r="W13" s="18">
        <f ca="1">IF(V12=0,0,
IF(OR(V12="",COUNTIF(V12,"*保育無し*")),"",
IF(MOD(V13-V12,1)*24&gt;=8,1,
IF(MOD(V13-V12,1)*24&gt;=6,0.75,0))))</f>
        <v>0</v>
      </c>
      <c r="X13" s="18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>0</v>
      </c>
      <c r="Y13" s="18">
        <f ca="1">IF(X12=0,0,
IF(OR(X12="",COUNTIF(X12,"*保育無し*")),"",
IF(MOD(X13-X12,1)*24&gt;=8,1,
IF(MOD(X13-X12,1)*24&gt;=6,0.75,0))))</f>
        <v>0</v>
      </c>
      <c r="Z13" s="18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>0</v>
      </c>
      <c r="AA13" s="18">
        <f ca="1">IF(Z12=0,0,
IF(OR(Z12="",COUNTIF(Z12,"*保育無し*")),"",
IF(MOD(Z13-Z12,1)*24&gt;=8,1,
IF(MOD(Z13-Z12,1)*24&gt;=6,0.75,0))))</f>
        <v>0</v>
      </c>
      <c r="AB13" s="18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>0</v>
      </c>
      <c r="AC13" s="18">
        <f ca="1">IF(AB12=0,0,
IF(OR(AB12="",COUNTIF(AB12,"*保育無し*")),"",
IF(MOD(AB13-AB12,1)*24&gt;=8,1,
IF(MOD(AB13-AB12,1)*24&gt;=6,0.75,0))))</f>
        <v>0</v>
      </c>
      <c r="AD13" s="18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>0</v>
      </c>
      <c r="AE13" s="18">
        <f ca="1">IF(AD12=0,0,
IF(OR(AD12="",COUNTIF(AD12,"*保育無し*")),"",
IF(MOD(AD13-AD12,1)*24&gt;=8,1,
IF(MOD(AD13-AD12,1)*24&gt;=6,0.75,0))))</f>
        <v>0</v>
      </c>
      <c r="AF13" s="18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>0</v>
      </c>
      <c r="AG13" s="18">
        <f ca="1">IF(AF12=0,0,
IF(OR(AF12="",COUNTIF(AF12,"*保育無し*")),"",
IF(MOD(AF13-AF12,1)*24&gt;=8,1,
IF(MOD(AF13-AF12,1)*24&gt;=6,0.75,0))))</f>
        <v>0</v>
      </c>
      <c r="AH13" s="18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>0</v>
      </c>
      <c r="AI13" s="18">
        <f ca="1">IF(AH12=0,0,
IF(OR(AH12="",COUNTIF(AH12,"*保育無し*")),"",
IF(MOD(AH13-AH12,1)*24&gt;=8,1,
IF(MOD(AH13-AH12,1)*24&gt;=6,0.75,0))))</f>
        <v>0</v>
      </c>
      <c r="AJ13" s="18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>0</v>
      </c>
      <c r="AK13" s="18">
        <f ca="1">IF(AJ12=0,0,
IF(OR(AJ12="",COUNTIF(AJ12,"*保育無し*")),"",
IF(MOD(AJ13-AJ12,1)*24&gt;=8,1,
IF(MOD(AJ13-AJ12,1)*24&gt;=6,0.75,0))))</f>
        <v>0</v>
      </c>
      <c r="AL13" s="18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>0</v>
      </c>
      <c r="AM13" s="18">
        <f ca="1">IF(AL12=0,0,
IF(OR(AL12="",COUNTIF(AL12,"*保育無し*")),"",
IF(MOD(AL13-AL12,1)*24&gt;=8,1,
IF(MOD(AL13-AL12,1)*24&gt;=6,0.75,0))))</f>
        <v>0</v>
      </c>
      <c r="AN13" s="18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>0</v>
      </c>
      <c r="AO13" s="18">
        <f ca="1">IF(AN12=0,0,
IF(OR(AN12="",COUNTIF(AN12,"*保育無し*")),"",
IF(MOD(AN13-AN12,1)*24&gt;=8,1,
IF(MOD(AN13-AN12,1)*24&gt;=6,0.75,0))))</f>
        <v>0</v>
      </c>
      <c r="AP13" s="18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>0</v>
      </c>
      <c r="AQ13" s="18">
        <f ca="1">IF(AP12=0,0,
IF(OR(AP12="",COUNTIF(AP12,"*保育無し*")),"",
IF(MOD(AP13-AP12,1)*24&gt;=8,1,
IF(MOD(AP13-AP12,1)*24&gt;=6,0.75,0))))</f>
        <v>0</v>
      </c>
      <c r="AR13" s="18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>0</v>
      </c>
      <c r="AS13" s="18">
        <f ca="1">IF(AR12=0,0,
IF(OR(AR12="",COUNTIF(AR12,"*保育無し*")),"",
IF(MOD(AR13-AR12,1)*24&gt;=8,1,
IF(MOD(AR13-AR12,1)*24&gt;=6,0.75,0))))</f>
        <v>0</v>
      </c>
      <c r="AT13" s="18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>0</v>
      </c>
      <c r="AU13" s="18">
        <f ca="1">IF(AT12=0,0,
IF(OR(AT12="",COUNTIF(AT12,"*保育無し*")),"",
IF(MOD(AT13-AT12,1)*24&gt;=8,1,
IF(MOD(AT13-AT12,1)*24&gt;=6,0.75,0))))</f>
        <v>0</v>
      </c>
      <c r="AV13" s="18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>0</v>
      </c>
      <c r="AW13" s="18">
        <f ca="1">IF(AV12=0,0,
IF(OR(AV12="",COUNTIF(AV12,"*保育無し*")),"",
IF(MOD(AV13-AV12,1)*24&gt;=8,1,
IF(MOD(AV13-AV12,1)*24&gt;=6,0.75,0))))</f>
        <v>0</v>
      </c>
      <c r="AX13" s="18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>0</v>
      </c>
      <c r="AY13" s="18">
        <f ca="1">IF(AX12=0,0,
IF(OR(AX12="",COUNTIF(AX12,"*保育無し*")),"",
IF(MOD(AX13-AX12,1)*24&gt;=8,1,
IF(MOD(AX13-AX12,1)*24&gt;=6,0.75,0))))</f>
        <v>0</v>
      </c>
      <c r="AZ13" s="18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>0</v>
      </c>
      <c r="BA13" s="18">
        <f ca="1">IF(AZ12=0,0,
IF(OR(AZ12="",COUNTIF(AZ12,"*保育無し*")),"",
IF(MOD(AZ13-AZ12,1)*24&gt;=8,1,
IF(MOD(AZ13-AZ12,1)*24&gt;=6,0.75,0))))</f>
        <v>0</v>
      </c>
      <c r="BB13" s="18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>0</v>
      </c>
      <c r="BC13" s="18">
        <f ca="1">IF(BB12=0,0,
IF(OR(BB12="",COUNTIF(BB12,"*保育無し*")),"",
IF(MOD(BB13-BB12,1)*24&gt;=8,1,
IF(MOD(BB13-BB12,1)*24&gt;=6,0.75,0))))</f>
        <v>0</v>
      </c>
      <c r="BD13" s="18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>0</v>
      </c>
      <c r="BE13" s="18">
        <f ca="1">IF(BD12=0,0,
IF(OR(BD12="",COUNTIF(BD12,"*保育無し*")),"",
IF(MOD(BD13-BD12,1)*24&gt;=8,1,
IF(MOD(BD13-BD12,1)*24&gt;=6,0.75,0))))</f>
        <v>0</v>
      </c>
      <c r="BF13" s="18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>0</v>
      </c>
      <c r="BG13" s="18">
        <f ca="1">IF(BF12=0,0,
IF(OR(BF12="",COUNTIF(BF12,"*保育無し*")),"",
IF(MOD(BF13-BF12,1)*24&gt;=8,1,
IF(MOD(BF13-BF12,1)*24&gt;=6,0.75,0))))</f>
        <v>0</v>
      </c>
      <c r="BH13" s="18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>0</v>
      </c>
      <c r="BI13" s="18">
        <f ca="1">IF(BH12=0,0,
IF(OR(BH12="",COUNTIF(BH12,"*保育無し*")),"",
IF(MOD(BH13-BH12,1)*24&gt;=8,1,
IF(MOD(BH13-BH12,1)*24&gt;=6,0.75,0))))</f>
        <v>0</v>
      </c>
      <c r="BJ13" s="18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>0</v>
      </c>
      <c r="BK13" s="18">
        <f ca="1">IF(BJ12=0,0,
IF(OR(BJ12="",COUNTIF(BJ12,"*保育無し*")),"",
IF(MOD(BJ13-BJ12,1)*24&gt;=8,1,
IF(MOD(BJ13-BJ12,1)*24&gt;=6,0.75,0))))</f>
        <v>0</v>
      </c>
      <c r="BL13" s="18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>0</v>
      </c>
      <c r="BM13" s="18">
        <f ca="1">IF(BL12=0,0,
IF(OR(BL12="",COUNTIF(BL12,"*保育無し*")),"",
IF(MOD(BL13-BL12,1)*24&gt;=8,1,
IF(MOD(BL13-BL12,1)*24&gt;=6,0.75,0))))</f>
        <v>0</v>
      </c>
      <c r="BN13" s="18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>0</v>
      </c>
      <c r="BO13" s="18">
        <f ca="1">IF(BN12=0,0,
IF(OR(BN12="",COUNTIF(BN12,"*保育無し*")),"",
IF(MOD(BN13-BN12,1)*24&gt;=8,1,
IF(MOD(BN13-BN12,1)*24&gt;=6,0.75,0))))</f>
        <v>0</v>
      </c>
      <c r="BP13" s="18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>0</v>
      </c>
      <c r="BQ13" s="18">
        <f ca="1">IF(BP12=0,0,
IF(OR(BP12="",COUNTIF(BP12,"*保育無し*")),"",
IF(MOD(BP13-BP12,1)*24&gt;=8,1,
IF(MOD(BP13-BP12,1)*24&gt;=6,0.75,0))))</f>
        <v>0</v>
      </c>
      <c r="BR13" s="18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>0</v>
      </c>
      <c r="BS13" s="18">
        <f ca="1">IF(BR12=0,0,
IF(OR(BR12="",COUNTIF(BR12,"*保育無し*")),"",
IF(MOD(BR13-BR12,1)*24&gt;=8,1,
IF(MOD(BR13-BR12,1)*24&gt;=6,0.75,0))))</f>
        <v>0</v>
      </c>
      <c r="BT13" s="18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>0</v>
      </c>
      <c r="BU13" s="18">
        <f ca="1">IF(BT12=0,0,
IF(OR(BT12="",COUNTIF(BT12,"*保育無し*")),"",
IF(MOD(BT13-BT12,1)*24&gt;=8,1,
IF(MOD(BT13-BT12,1)*24&gt;=6,0.75,0))))</f>
        <v>0</v>
      </c>
      <c r="BV13" s="18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>0</v>
      </c>
      <c r="BW13" s="18">
        <f ca="1">IF(BV12=0,0,
IF(OR(BV12="",COUNTIF(BV12,"*保育無し*")),"",
IF(MOD(BV13-BV12,1)*24&gt;=8,1,
IF(MOD(BV13-BV12,1)*24&gt;=6,0.75,0))))</f>
        <v>0</v>
      </c>
      <c r="BX13" s="18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>0</v>
      </c>
      <c r="BY13" s="18">
        <f ca="1">IF(BX12=0,0,
IF(OR(BX12="",COUNTIF(BX12,"*保育無し*")),"",
IF(MOD(BX13-BX12,1)*24&gt;=8,1,
IF(MOD(BX13-BX12,1)*24&gt;=6,0.75,0))))</f>
        <v>0</v>
      </c>
    </row>
    <row r="14" spans="1:77" ht="19.8" customHeight="1" x14ac:dyDescent="0.2">
      <c r="A14" s="27" t="str">
        <f t="shared" si="2"/>
        <v/>
      </c>
      <c r="B14" s="30"/>
      <c r="C14" s="30" t="str">
        <f t="array" aca="1" ref="C14" ca="1">IF(B14&lt;&gt;"",INDIRECT("'シフト一覧（転載）'!B"&amp;MATCH(B14,'シフト一覧（転載）'!$A:$A,0)+1),"")</f>
        <v/>
      </c>
      <c r="D14" s="58" t="str">
        <f t="array" aca="1" ref="D14" ca="1">IF(B14&lt;&gt;"",INDIRECT("'シフト一覧（転載）'!B"&amp;MATCH(B14,'シフト一覧（転載）'!$A:$A,0)),"")</f>
        <v/>
      </c>
      <c r="E14" s="23" t="str">
        <f t="array" aca="1" ref="E14" ca="1">IF(B14&lt;&gt;"",INDIRECT("'シフト一覧（転載）'!E"&amp;MATCH(B14,'シフト一覧（転載）'!$A:$A,0)),"")</f>
        <v/>
      </c>
      <c r="F14" s="20" t="str">
        <f t="shared" ca="1" si="0"/>
        <v/>
      </c>
      <c r="G14" s="20" t="str">
        <f t="shared" ref="G14:G41" si="3">IF(B14&lt;&gt;"",
INT(IFERROR(VALUE(F14)-SUM(I14:J14),"")) &amp; ":" &amp; TEXT((IFERROR(VALUE(F14)-SUM(I14:J14),"")-INT(IFERROR(VALUE(F14)-SUM(I14:J14),"")))*60,"00"),"")</f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>IF(B14&lt;&gt;"",
INT(IFERROR(VLOOKUP(B14,$M$12:$O$100,3,FALSE),0)) &amp; ":" &amp; TEXT((IFERROR(VLOOKUP(B14,$M$12:$O$100,3,FALSE),0)-INT(IFERROR(VLOOKUP(B14,$M$12:$O$100,3,FALSE),0)))*60,"00"),"")</f>
        <v/>
      </c>
      <c r="J14" s="20" t="str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/>
      </c>
      <c r="K14" s="37"/>
      <c r="L14" s="55"/>
      <c r="M14" s="88" t="str">
        <f t="array" ref="M1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89"/>
      <c r="O14" s="93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>
        <f t="array" ref="P14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>
        <f t="array" ref="Q14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2"/>
        <v/>
      </c>
      <c r="B15" s="30"/>
      <c r="C15" s="30" t="str">
        <f t="array" aca="1" ref="C15" ca="1">IF(B15&lt;&gt;"",INDIRECT("'シフト一覧（転載）'!B"&amp;MATCH(B15,'シフト一覧（転載）'!$A:$A,0)+1),"")</f>
        <v/>
      </c>
      <c r="D15" s="58" t="str">
        <f t="array" aca="1" ref="D15" ca="1">IF(B15&lt;&gt;"",INDIRECT("'シフト一覧（転載）'!B"&amp;MATCH(B15,'シフト一覧（転載）'!$A:$A,0)),"")</f>
        <v/>
      </c>
      <c r="E15" s="23" t="str">
        <f t="array" aca="1" ref="E15" ca="1">IF(B15&lt;&gt;"",INDIRECT("'シフト一覧（転載）'!E"&amp;MATCH(B15,'シフト一覧（転載）'!$A:$A,0)),"")</f>
        <v/>
      </c>
      <c r="F15" s="20" t="str">
        <f t="shared" ca="1" si="0"/>
        <v/>
      </c>
      <c r="G15" s="20" t="str">
        <f>IF(B15&lt;&gt;"",
INT(IFERROR(VALUE(F15)-SUM(I15:J15),"")) &amp; ":" &amp; TEXT((IFERROR(VALUE(F15)-SUM(I15:J15),"")-INT(IFERROR(VALUE(F15)-SUM(I15:J15),"")))*60,"00"),"")</f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ref="I15:I41" si="4">IF(B15&lt;&gt;"",
INT(IFERROR(VLOOKUP(B15,$M$12:$O$100,3,FALSE),0)) &amp; ":" &amp; TEXT((IFERROR(VLOOKUP(B15,$M$12:$O$100,3,FALSE),0)-INT(IFERROR(VLOOKUP(B15,$M$12:$O$100,3,FALSE),0)))*60,"00"),"")</f>
        <v/>
      </c>
      <c r="J15" s="20" t="str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/>
      </c>
      <c r="K15" s="37"/>
      <c r="L15" s="55"/>
      <c r="M15" s="90"/>
      <c r="N15" s="91"/>
      <c r="O15" s="94"/>
      <c r="P15" s="18">
        <f t="array" ref="P15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>IF(P14=0,0,
IF(OR(P14="",COUNTIF(P14,"*保育無し*")),"",
IF(MOD(P15-P14,1)*24&gt;=8,1,
IF(MOD(P15-P14,1)*24&gt;=6,0.75,0))))</f>
        <v>0</v>
      </c>
      <c r="R15" s="18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ca="1">IF(T14=0,0,
IF(OR(T14="",COUNTIF(T14,"*保育無し*")),"",
IF(MOD(T15-T14,1)*24&gt;=8,1,
IF(MOD(T15-T14,1)*24&gt;=6,0.75,0))))</f>
        <v>0</v>
      </c>
      <c r="V15" s="18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ca="1">IF(V14=0,0,
IF(OR(V14="",COUNTIF(V14,"*保育無し*")),"",
IF(MOD(V15-V14,1)*24&gt;=8,1,
IF(MOD(V15-V14,1)*24&gt;=6,0.75,0))))</f>
        <v>0</v>
      </c>
      <c r="X15" s="18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ca="1">IF(X14=0,0,
IF(OR(X14="",COUNTIF(X14,"*保育無し*")),"",
IF(MOD(X15-X14,1)*24&gt;=8,1,
IF(MOD(X15-X14,1)*24&gt;=6,0.75,0))))</f>
        <v>0</v>
      </c>
      <c r="Z15" s="18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ca="1">IF(Z14=0,0,
IF(OR(Z14="",COUNTIF(Z14,"*保育無し*")),"",
IF(MOD(Z15-Z14,1)*24&gt;=8,1,
IF(MOD(Z15-Z14,1)*24&gt;=6,0.75,0))))</f>
        <v>0</v>
      </c>
      <c r="AB15" s="18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ca="1">IF(AB14=0,0,
IF(OR(AB14="",COUNTIF(AB14,"*保育無し*")),"",
IF(MOD(AB15-AB14,1)*24&gt;=8,1,
IF(MOD(AB15-AB14,1)*24&gt;=6,0.75,0))))</f>
        <v>0</v>
      </c>
      <c r="AD15" s="18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ca="1">IF(AD14=0,0,
IF(OR(AD14="",COUNTIF(AD14,"*保育無し*")),"",
IF(MOD(AD15-AD14,1)*24&gt;=8,1,
IF(MOD(AD15-AD14,1)*24&gt;=6,0.75,0))))</f>
        <v>0</v>
      </c>
      <c r="AF15" s="18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ca="1">IF(AF14=0,0,
IF(OR(AF14="",COUNTIF(AF14,"*保育無し*")),"",
IF(MOD(AF15-AF14,1)*24&gt;=8,1,
IF(MOD(AF15-AF14,1)*24&gt;=6,0.75,0))))</f>
        <v>0</v>
      </c>
      <c r="AH15" s="18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ca="1">IF(AH14=0,0,
IF(OR(AH14="",COUNTIF(AH14,"*保育無し*")),"",
IF(MOD(AH15-AH14,1)*24&gt;=8,1,
IF(MOD(AH15-AH14,1)*24&gt;=6,0.75,0))))</f>
        <v>0</v>
      </c>
      <c r="AJ15" s="18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ca="1">IF(AJ14=0,0,
IF(OR(AJ14="",COUNTIF(AJ14,"*保育無し*")),"",
IF(MOD(AJ15-AJ14,1)*24&gt;=8,1,
IF(MOD(AJ15-AJ14,1)*24&gt;=6,0.75,0))))</f>
        <v>0</v>
      </c>
      <c r="AL15" s="18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ca="1">IF(AL14=0,0,
IF(OR(AL14="",COUNTIF(AL14,"*保育無し*")),"",
IF(MOD(AL15-AL14,1)*24&gt;=8,1,
IF(MOD(AL15-AL14,1)*24&gt;=6,0.75,0))))</f>
        <v>0</v>
      </c>
      <c r="AN15" s="18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ca="1">IF(AN14=0,0,
IF(OR(AN14="",COUNTIF(AN14,"*保育無し*")),"",
IF(MOD(AN15-AN14,1)*24&gt;=8,1,
IF(MOD(AN15-AN14,1)*24&gt;=6,0.75,0))))</f>
        <v>0</v>
      </c>
      <c r="AP15" s="18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ca="1">IF(AP14=0,0,
IF(OR(AP14="",COUNTIF(AP14,"*保育無し*")),"",
IF(MOD(AP15-AP14,1)*24&gt;=8,1,
IF(MOD(AP15-AP14,1)*24&gt;=6,0.75,0))))</f>
        <v>0</v>
      </c>
      <c r="AR15" s="18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ca="1">IF(AR14=0,0,
IF(OR(AR14="",COUNTIF(AR14,"*保育無し*")),"",
IF(MOD(AR15-AR14,1)*24&gt;=8,1,
IF(MOD(AR15-AR14,1)*24&gt;=6,0.75,0))))</f>
        <v>0</v>
      </c>
      <c r="AT15" s="18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ca="1">IF(AT14=0,0,
IF(OR(AT14="",COUNTIF(AT14,"*保育無し*")),"",
IF(MOD(AT15-AT14,1)*24&gt;=8,1,
IF(MOD(AT15-AT14,1)*24&gt;=6,0.75,0))))</f>
        <v>0</v>
      </c>
      <c r="AV15" s="18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ca="1">IF(AV14=0,0,
IF(OR(AV14="",COUNTIF(AV14,"*保育無し*")),"",
IF(MOD(AV15-AV14,1)*24&gt;=8,1,
IF(MOD(AV15-AV14,1)*24&gt;=6,0.75,0))))</f>
        <v>0</v>
      </c>
      <c r="AX15" s="18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ca="1">IF(AX14=0,0,
IF(OR(AX14="",COUNTIF(AX14,"*保育無し*")),"",
IF(MOD(AX15-AX14,1)*24&gt;=8,1,
IF(MOD(AX15-AX14,1)*24&gt;=6,0.75,0))))</f>
        <v>0</v>
      </c>
      <c r="AZ15" s="18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ca="1">IF(AZ14=0,0,
IF(OR(AZ14="",COUNTIF(AZ14,"*保育無し*")),"",
IF(MOD(AZ15-AZ14,1)*24&gt;=8,1,
IF(MOD(AZ15-AZ14,1)*24&gt;=6,0.75,0))))</f>
        <v>0</v>
      </c>
      <c r="BB15" s="18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ca="1">IF(BB14=0,0,
IF(OR(BB14="",COUNTIF(BB14,"*保育無し*")),"",
IF(MOD(BB15-BB14,1)*24&gt;=8,1,
IF(MOD(BB15-BB14,1)*24&gt;=6,0.75,0))))</f>
        <v>0</v>
      </c>
      <c r="BD15" s="18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ca="1">IF(BD14=0,0,
IF(OR(BD14="",COUNTIF(BD14,"*保育無し*")),"",
IF(MOD(BD15-BD14,1)*24&gt;=8,1,
IF(MOD(BD15-BD14,1)*24&gt;=6,0.75,0))))</f>
        <v>0</v>
      </c>
      <c r="BF15" s="18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ca="1">IF(BF14=0,0,
IF(OR(BF14="",COUNTIF(BF14,"*保育無し*")),"",
IF(MOD(BF15-BF14,1)*24&gt;=8,1,
IF(MOD(BF15-BF14,1)*24&gt;=6,0.75,0))))</f>
        <v>0</v>
      </c>
      <c r="BH15" s="18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ca="1">IF(BH14=0,0,
IF(OR(BH14="",COUNTIF(BH14,"*保育無し*")),"",
IF(MOD(BH15-BH14,1)*24&gt;=8,1,
IF(MOD(BH15-BH14,1)*24&gt;=6,0.75,0))))</f>
        <v>0</v>
      </c>
      <c r="BJ15" s="18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ca="1">IF(BJ14=0,0,
IF(OR(BJ14="",COUNTIF(BJ14,"*保育無し*")),"",
IF(MOD(BJ15-BJ14,1)*24&gt;=8,1,
IF(MOD(BJ15-BJ14,1)*24&gt;=6,0.75,0))))</f>
        <v>0</v>
      </c>
      <c r="BL15" s="18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ca="1">IF(BL14=0,0,
IF(OR(BL14="",COUNTIF(BL14,"*保育無し*")),"",
IF(MOD(BL15-BL14,1)*24&gt;=8,1,
IF(MOD(BL15-BL14,1)*24&gt;=6,0.75,0))))</f>
        <v>0</v>
      </c>
      <c r="BN15" s="18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ca="1">IF(BN14=0,0,
IF(OR(BN14="",COUNTIF(BN14,"*保育無し*")),"",
IF(MOD(BN15-BN14,1)*24&gt;=8,1,
IF(MOD(BN15-BN14,1)*24&gt;=6,0.75,0))))</f>
        <v>0</v>
      </c>
      <c r="BP15" s="18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ca="1">IF(BP14=0,0,
IF(OR(BP14="",COUNTIF(BP14,"*保育無し*")),"",
IF(MOD(BP15-BP14,1)*24&gt;=8,1,
IF(MOD(BP15-BP14,1)*24&gt;=6,0.75,0))))</f>
        <v>0</v>
      </c>
      <c r="BR15" s="18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ca="1">IF(BR14=0,0,
IF(OR(BR14="",COUNTIF(BR14,"*保育無し*")),"",
IF(MOD(BR15-BR14,1)*24&gt;=8,1,
IF(MOD(BR15-BR14,1)*24&gt;=6,0.75,0))))</f>
        <v>0</v>
      </c>
      <c r="BT15" s="18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ca="1">IF(BT14=0,0,
IF(OR(BT14="",COUNTIF(BT14,"*保育無し*")),"",
IF(MOD(BT15-BT14,1)*24&gt;=8,1,
IF(MOD(BT15-BT14,1)*24&gt;=6,0.75,0))))</f>
        <v>0</v>
      </c>
      <c r="BV15" s="18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ca="1">IF(BV14=0,0,
IF(OR(BV14="",COUNTIF(BV14,"*保育無し*")),"",
IF(MOD(BV15-BV14,1)*24&gt;=8,1,
IF(MOD(BV15-BV14,1)*24&gt;=6,0.75,0))))</f>
        <v>0</v>
      </c>
      <c r="BX15" s="18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27" t="str">
        <f t="shared" si="2"/>
        <v/>
      </c>
      <c r="B16" s="30"/>
      <c r="C16" s="30" t="str">
        <f t="array" aca="1" ref="C16" ca="1">IF(B16&lt;&gt;"",INDIRECT("'シフト一覧（転載）'!B"&amp;MATCH(B16,'シフト一覧（転載）'!$A:$A,0)+1),"")</f>
        <v/>
      </c>
      <c r="D16" s="58" t="str">
        <f t="array" aca="1" ref="D16" ca="1">IF(B16&lt;&gt;"",INDIRECT("'シフト一覧（転載）'!B"&amp;MATCH(B16,'シフト一覧（転載）'!$A:$A,0)),"")</f>
        <v/>
      </c>
      <c r="E16" s="23" t="str">
        <f t="array" aca="1" ref="E16" ca="1">IF(B16&lt;&gt;"",INDIRECT("'シフト一覧（転載）'!E"&amp;MATCH(B16,'シフト一覧（転載）'!$A:$A,0)),"")</f>
        <v/>
      </c>
      <c r="F16" s="20" t="str">
        <f t="shared" ca="1" si="0"/>
        <v/>
      </c>
      <c r="G16" s="20" t="str">
        <f t="shared" si="3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 t="shared" si="4"/>
        <v/>
      </c>
      <c r="J16" s="20" t="str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/>
      </c>
      <c r="K16" s="37"/>
      <c r="L16" s="55"/>
      <c r="M16" s="88" t="str">
        <f t="array" ref="M1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89"/>
      <c r="O16" s="93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>
        <f t="array" ref="P16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>
        <f t="array" ref="Q16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2"/>
        <v/>
      </c>
      <c r="B17" s="30"/>
      <c r="C17" s="30" t="str">
        <f t="array" aca="1" ref="C17" ca="1">IF(B17&lt;&gt;"",INDIRECT("'シフト一覧（転載）'!B"&amp;MATCH(B17,'シフト一覧（転載）'!$A:$A,0)+1),"")</f>
        <v/>
      </c>
      <c r="D17" s="58" t="str">
        <f t="array" aca="1" ref="D17" ca="1">IF(B17&lt;&gt;"",INDIRECT("'シフト一覧（転載）'!B"&amp;MATCH(B17,'シフト一覧（転載）'!$A:$A,0)),"")</f>
        <v/>
      </c>
      <c r="E17" s="23" t="str">
        <f t="array" aca="1" ref="E17" ca="1">IF(B17&lt;&gt;"",INDIRECT("'シフト一覧（転載）'!E"&amp;MATCH(B17,'シフト一覧（転載）'!$A:$A,0)),"")</f>
        <v/>
      </c>
      <c r="F17" s="20" t="str">
        <f t="shared" ca="1" si="0"/>
        <v/>
      </c>
      <c r="G17" s="20" t="str">
        <f>IF(B17&lt;&gt;"",
INT(IFERROR(VALUE(F17)-SUM(I17:J17),"")) &amp; ":" &amp; TEXT((IFERROR(VALUE(F17)-SUM(I17:J17),"")-INT(IFERROR(VALUE(F17)-SUM(I17:J17),"")))*60,"00"),"")</f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4"/>
        <v/>
      </c>
      <c r="J17" s="20" t="str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/>
      </c>
      <c r="K17" s="37"/>
      <c r="L17" s="55"/>
      <c r="M17" s="90"/>
      <c r="N17" s="91"/>
      <c r="O17" s="94"/>
      <c r="P17" s="18">
        <f t="array" ref="P17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>IF(P16=0,0,
IF(OR(P16="",COUNTIF(P16,"*保育無し*")),"",
IF(MOD(P17-P16,1)*24&gt;=8,1,
IF(MOD(P17-P16,1)*24&gt;=6,0.75,0))))</f>
        <v>0</v>
      </c>
      <c r="R17" s="18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ca="1">IF(T16=0,0,
IF(OR(T16="",COUNTIF(T16,"*保育無し*")),"",
IF(MOD(T17-T16,1)*24&gt;=8,1,
IF(MOD(T17-T16,1)*24&gt;=6,0.75,0))))</f>
        <v>0</v>
      </c>
      <c r="V17" s="18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ca="1">IF(V16=0,0,
IF(OR(V16="",COUNTIF(V16,"*保育無し*")),"",
IF(MOD(V17-V16,1)*24&gt;=8,1,
IF(MOD(V17-V16,1)*24&gt;=6,0.75,0))))</f>
        <v>0</v>
      </c>
      <c r="X17" s="18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ca="1">IF(X16=0,0,
IF(OR(X16="",COUNTIF(X16,"*保育無し*")),"",
IF(MOD(X17-X16,1)*24&gt;=8,1,
IF(MOD(X17-X16,1)*24&gt;=6,0.75,0))))</f>
        <v>0</v>
      </c>
      <c r="Z17" s="18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ca="1">IF(Z16=0,0,
IF(OR(Z16="",COUNTIF(Z16,"*保育無し*")),"",
IF(MOD(Z17-Z16,1)*24&gt;=8,1,
IF(MOD(Z17-Z16,1)*24&gt;=6,0.75,0))))</f>
        <v>0</v>
      </c>
      <c r="AB17" s="18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ca="1">IF(AB16=0,0,
IF(OR(AB16="",COUNTIF(AB16,"*保育無し*")),"",
IF(MOD(AB17-AB16,1)*24&gt;=8,1,
IF(MOD(AB17-AB16,1)*24&gt;=6,0.75,0))))</f>
        <v>0</v>
      </c>
      <c r="AD17" s="18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ca="1">IF(AD16=0,0,
IF(OR(AD16="",COUNTIF(AD16,"*保育無し*")),"",
IF(MOD(AD17-AD16,1)*24&gt;=8,1,
IF(MOD(AD17-AD16,1)*24&gt;=6,0.75,0))))</f>
        <v>0</v>
      </c>
      <c r="AF17" s="18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ca="1">IF(AF16=0,0,
IF(OR(AF16="",COUNTIF(AF16,"*保育無し*")),"",
IF(MOD(AF17-AF16,1)*24&gt;=8,1,
IF(MOD(AF17-AF16,1)*24&gt;=6,0.75,0))))</f>
        <v>0</v>
      </c>
      <c r="AH17" s="18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ca="1">IF(AH16=0,0,
IF(OR(AH16="",COUNTIF(AH16,"*保育無し*")),"",
IF(MOD(AH17-AH16,1)*24&gt;=8,1,
IF(MOD(AH17-AH16,1)*24&gt;=6,0.75,0))))</f>
        <v>0</v>
      </c>
      <c r="AJ17" s="18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ca="1">IF(AJ16=0,0,
IF(OR(AJ16="",COUNTIF(AJ16,"*保育無し*")),"",
IF(MOD(AJ17-AJ16,1)*24&gt;=8,1,
IF(MOD(AJ17-AJ16,1)*24&gt;=6,0.75,0))))</f>
        <v>0</v>
      </c>
      <c r="AL17" s="18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ca="1">IF(AL16=0,0,
IF(OR(AL16="",COUNTIF(AL16,"*保育無し*")),"",
IF(MOD(AL17-AL16,1)*24&gt;=8,1,
IF(MOD(AL17-AL16,1)*24&gt;=6,0.75,0))))</f>
        <v>0</v>
      </c>
      <c r="AN17" s="18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ca="1">IF(AN16=0,0,
IF(OR(AN16="",COUNTIF(AN16,"*保育無し*")),"",
IF(MOD(AN17-AN16,1)*24&gt;=8,1,
IF(MOD(AN17-AN16,1)*24&gt;=6,0.75,0))))</f>
        <v>0</v>
      </c>
      <c r="AP17" s="18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ca="1">IF(AP16=0,0,
IF(OR(AP16="",COUNTIF(AP16,"*保育無し*")),"",
IF(MOD(AP17-AP16,1)*24&gt;=8,1,
IF(MOD(AP17-AP16,1)*24&gt;=6,0.75,0))))</f>
        <v>0</v>
      </c>
      <c r="AR17" s="18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ca="1">IF(AR16=0,0,
IF(OR(AR16="",COUNTIF(AR16,"*保育無し*")),"",
IF(MOD(AR17-AR16,1)*24&gt;=8,1,
IF(MOD(AR17-AR16,1)*24&gt;=6,0.75,0))))</f>
        <v>0</v>
      </c>
      <c r="AT17" s="18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ca="1">IF(AT16=0,0,
IF(OR(AT16="",COUNTIF(AT16,"*保育無し*")),"",
IF(MOD(AT17-AT16,1)*24&gt;=8,1,
IF(MOD(AT17-AT16,1)*24&gt;=6,0.75,0))))</f>
        <v>0</v>
      </c>
      <c r="AV17" s="18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ca="1">IF(AV16=0,0,
IF(OR(AV16="",COUNTIF(AV16,"*保育無し*")),"",
IF(MOD(AV17-AV16,1)*24&gt;=8,1,
IF(MOD(AV17-AV16,1)*24&gt;=6,0.75,0))))</f>
        <v>0</v>
      </c>
      <c r="AX17" s="18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ca="1">IF(AX16=0,0,
IF(OR(AX16="",COUNTIF(AX16,"*保育無し*")),"",
IF(MOD(AX17-AX16,1)*24&gt;=8,1,
IF(MOD(AX17-AX16,1)*24&gt;=6,0.75,0))))</f>
        <v>0</v>
      </c>
      <c r="AZ17" s="18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ca="1">IF(AZ16=0,0,
IF(OR(AZ16="",COUNTIF(AZ16,"*保育無し*")),"",
IF(MOD(AZ17-AZ16,1)*24&gt;=8,1,
IF(MOD(AZ17-AZ16,1)*24&gt;=6,0.75,0))))</f>
        <v>0</v>
      </c>
      <c r="BB17" s="18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ca="1">IF(BB16=0,0,
IF(OR(BB16="",COUNTIF(BB16,"*保育無し*")),"",
IF(MOD(BB17-BB16,1)*24&gt;=8,1,
IF(MOD(BB17-BB16,1)*24&gt;=6,0.75,0))))</f>
        <v>0</v>
      </c>
      <c r="BD17" s="18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ca="1">IF(BD16=0,0,
IF(OR(BD16="",COUNTIF(BD16,"*保育無し*")),"",
IF(MOD(BD17-BD16,1)*24&gt;=8,1,
IF(MOD(BD17-BD16,1)*24&gt;=6,0.75,0))))</f>
        <v>0</v>
      </c>
      <c r="BF17" s="18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ca="1">IF(BF16=0,0,
IF(OR(BF16="",COUNTIF(BF16,"*保育無し*")),"",
IF(MOD(BF17-BF16,1)*24&gt;=8,1,
IF(MOD(BF17-BF16,1)*24&gt;=6,0.75,0))))</f>
        <v>0</v>
      </c>
      <c r="BH17" s="18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ca="1">IF(BH16=0,0,
IF(OR(BH16="",COUNTIF(BH16,"*保育無し*")),"",
IF(MOD(BH17-BH16,1)*24&gt;=8,1,
IF(MOD(BH17-BH16,1)*24&gt;=6,0.75,0))))</f>
        <v>0</v>
      </c>
      <c r="BJ17" s="18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ca="1">IF(BJ16=0,0,
IF(OR(BJ16="",COUNTIF(BJ16,"*保育無し*")),"",
IF(MOD(BJ17-BJ16,1)*24&gt;=8,1,
IF(MOD(BJ17-BJ16,1)*24&gt;=6,0.75,0))))</f>
        <v>0</v>
      </c>
      <c r="BL17" s="18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ca="1">IF(BL16=0,0,
IF(OR(BL16="",COUNTIF(BL16,"*保育無し*")),"",
IF(MOD(BL17-BL16,1)*24&gt;=8,1,
IF(MOD(BL17-BL16,1)*24&gt;=6,0.75,0))))</f>
        <v>0</v>
      </c>
      <c r="BN17" s="18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ca="1">IF(BN16=0,0,
IF(OR(BN16="",COUNTIF(BN16,"*保育無し*")),"",
IF(MOD(BN17-BN16,1)*24&gt;=8,1,
IF(MOD(BN17-BN16,1)*24&gt;=6,0.75,0))))</f>
        <v>0</v>
      </c>
      <c r="BP17" s="18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ca="1">IF(BP16=0,0,
IF(OR(BP16="",COUNTIF(BP16,"*保育無し*")),"",
IF(MOD(BP17-BP16,1)*24&gt;=8,1,
IF(MOD(BP17-BP16,1)*24&gt;=6,0.75,0))))</f>
        <v>0</v>
      </c>
      <c r="BR17" s="18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ca="1">IF(BR16=0,0,
IF(OR(BR16="",COUNTIF(BR16,"*保育無し*")),"",
IF(MOD(BR17-BR16,1)*24&gt;=8,1,
IF(MOD(BR17-BR16,1)*24&gt;=6,0.75,0))))</f>
        <v>0</v>
      </c>
      <c r="BT17" s="18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ca="1">IF(BT16=0,0,
IF(OR(BT16="",COUNTIF(BT16,"*保育無し*")),"",
IF(MOD(BT17-BT16,1)*24&gt;=8,1,
IF(MOD(BT17-BT16,1)*24&gt;=6,0.75,0))))</f>
        <v>0</v>
      </c>
      <c r="BV17" s="18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ca="1">IF(BV16=0,0,
IF(OR(BV16="",COUNTIF(BV16,"*保育無し*")),"",
IF(MOD(BV17-BV16,1)*24&gt;=8,1,
IF(MOD(BV17-BV16,1)*24&gt;=6,0.75,0))))</f>
        <v>0</v>
      </c>
      <c r="BX17" s="18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27" t="str">
        <f t="shared" si="2"/>
        <v/>
      </c>
      <c r="B18" s="30"/>
      <c r="C18" s="30" t="str">
        <f t="array" aca="1" ref="C18" ca="1">IF(B18&lt;&gt;"",INDIRECT("'シフト一覧（転載）'!B"&amp;MATCH(B18,'シフト一覧（転載）'!$A:$A,0)+1),"")</f>
        <v/>
      </c>
      <c r="D18" s="58" t="str">
        <f t="array" aca="1" ref="D18" ca="1">IF(B18&lt;&gt;"",INDIRECT("'シフト一覧（転載）'!B"&amp;MATCH(B18,'シフト一覧（転載）'!$A:$A,0)),"")</f>
        <v/>
      </c>
      <c r="E18" s="23" t="str">
        <f t="array" aca="1" ref="E18" ca="1">IF(B18&lt;&gt;"",INDIRECT("'シフト一覧（転載）'!E"&amp;MATCH(B18,'シフト一覧（転載）'!$A:$A,0)),"")</f>
        <v/>
      </c>
      <c r="F18" s="20" t="str">
        <f t="shared" ca="1" si="0"/>
        <v/>
      </c>
      <c r="G18" s="20" t="str">
        <f t="shared" si="3"/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4"/>
        <v/>
      </c>
      <c r="J18" s="20" t="str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/>
      </c>
      <c r="K18" s="37"/>
      <c r="L18" s="55"/>
      <c r="M18" s="88" t="str">
        <f t="array" ref="M1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89"/>
      <c r="O18" s="93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>
        <f t="array" ref="P18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>
        <f t="array" ref="Q18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2"/>
        <v/>
      </c>
      <c r="B19" s="30"/>
      <c r="C19" s="30" t="str">
        <f t="array" aca="1" ref="C19" ca="1">IF(B19&lt;&gt;"",INDIRECT("'シフト一覧（転載）'!B"&amp;MATCH(B19,'シフト一覧（転載）'!$A:$A,0)+1),"")</f>
        <v/>
      </c>
      <c r="D19" s="58" t="str">
        <f t="array" aca="1" ref="D19" ca="1">IF(B19&lt;&gt;"",INDIRECT("'シフト一覧（転載）'!B"&amp;MATCH(B19,'シフト一覧（転載）'!$A:$A,0)),"")</f>
        <v/>
      </c>
      <c r="E19" s="23" t="str">
        <f t="array" aca="1" ref="E19" ca="1">IF(B19&lt;&gt;"",INDIRECT("'シフト一覧（転載）'!E"&amp;MATCH(B19,'シフト一覧（転載）'!$A:$A,0)),"")</f>
        <v/>
      </c>
      <c r="F19" s="20" t="str">
        <f t="shared" ca="1" si="0"/>
        <v/>
      </c>
      <c r="G19" s="20" t="str">
        <f t="shared" si="3"/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4"/>
        <v/>
      </c>
      <c r="J19" s="20" t="str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/>
      </c>
      <c r="K19" s="37"/>
      <c r="L19" s="55"/>
      <c r="M19" s="90"/>
      <c r="N19" s="91"/>
      <c r="O19" s="94"/>
      <c r="P19" s="18">
        <f t="array" ref="P19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>IF(P18=0,0,
IF(OR(P18="",COUNTIF(P18,"*保育無し*")),"",
IF(MOD(P19-P18,1)*24&gt;=8,1,
IF(MOD(P19-P18,1)*24&gt;=6,0.75,0))))</f>
        <v>0</v>
      </c>
      <c r="R19" s="18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ca="1">IF(T18=0,0,
IF(OR(T18="",COUNTIF(T18,"*保育無し*")),"",
IF(MOD(T19-T18,1)*24&gt;=8,1,
IF(MOD(T19-T18,1)*24&gt;=6,0.75,0))))</f>
        <v>0</v>
      </c>
      <c r="V19" s="18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ca="1">IF(V18=0,0,
IF(OR(V18="",COUNTIF(V18,"*保育無し*")),"",
IF(MOD(V19-V18,1)*24&gt;=8,1,
IF(MOD(V19-V18,1)*24&gt;=6,0.75,0))))</f>
        <v>0</v>
      </c>
      <c r="X19" s="18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ca="1">IF(X18=0,0,
IF(OR(X18="",COUNTIF(X18,"*保育無し*")),"",
IF(MOD(X19-X18,1)*24&gt;=8,1,
IF(MOD(X19-X18,1)*24&gt;=6,0.75,0))))</f>
        <v>0</v>
      </c>
      <c r="Z19" s="18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ca="1">IF(Z18=0,0,
IF(OR(Z18="",COUNTIF(Z18,"*保育無し*")),"",
IF(MOD(Z19-Z18,1)*24&gt;=8,1,
IF(MOD(Z19-Z18,1)*24&gt;=6,0.75,0))))</f>
        <v>0</v>
      </c>
      <c r="AB19" s="18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ca="1">IF(AB18=0,0,
IF(OR(AB18="",COUNTIF(AB18,"*保育無し*")),"",
IF(MOD(AB19-AB18,1)*24&gt;=8,1,
IF(MOD(AB19-AB18,1)*24&gt;=6,0.75,0))))</f>
        <v>0</v>
      </c>
      <c r="AD19" s="18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ca="1">IF(AD18=0,0,
IF(OR(AD18="",COUNTIF(AD18,"*保育無し*")),"",
IF(MOD(AD19-AD18,1)*24&gt;=8,1,
IF(MOD(AD19-AD18,1)*24&gt;=6,0.75,0))))</f>
        <v>0</v>
      </c>
      <c r="AF19" s="18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ca="1">IF(AF18=0,0,
IF(OR(AF18="",COUNTIF(AF18,"*保育無し*")),"",
IF(MOD(AF19-AF18,1)*24&gt;=8,1,
IF(MOD(AF19-AF18,1)*24&gt;=6,0.75,0))))</f>
        <v>0</v>
      </c>
      <c r="AH19" s="18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ca="1">IF(AH18=0,0,
IF(OR(AH18="",COUNTIF(AH18,"*保育無し*")),"",
IF(MOD(AH19-AH18,1)*24&gt;=8,1,
IF(MOD(AH19-AH18,1)*24&gt;=6,0.75,0))))</f>
        <v>0</v>
      </c>
      <c r="AJ19" s="18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ca="1">IF(AJ18=0,0,
IF(OR(AJ18="",COUNTIF(AJ18,"*保育無し*")),"",
IF(MOD(AJ19-AJ18,1)*24&gt;=8,1,
IF(MOD(AJ19-AJ18,1)*24&gt;=6,0.75,0))))</f>
        <v>0</v>
      </c>
      <c r="AL19" s="18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ca="1">IF(AL18=0,0,
IF(OR(AL18="",COUNTIF(AL18,"*保育無し*")),"",
IF(MOD(AL19-AL18,1)*24&gt;=8,1,
IF(MOD(AL19-AL18,1)*24&gt;=6,0.75,0))))</f>
        <v>0</v>
      </c>
      <c r="AN19" s="18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ca="1">IF(AN18=0,0,
IF(OR(AN18="",COUNTIF(AN18,"*保育無し*")),"",
IF(MOD(AN19-AN18,1)*24&gt;=8,1,
IF(MOD(AN19-AN18,1)*24&gt;=6,0.75,0))))</f>
        <v>0</v>
      </c>
      <c r="AP19" s="18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ca="1">IF(AP18=0,0,
IF(OR(AP18="",COUNTIF(AP18,"*保育無し*")),"",
IF(MOD(AP19-AP18,1)*24&gt;=8,1,
IF(MOD(AP19-AP18,1)*24&gt;=6,0.75,0))))</f>
        <v>0</v>
      </c>
      <c r="AR19" s="18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ca="1">IF(AR18=0,0,
IF(OR(AR18="",COUNTIF(AR18,"*保育無し*")),"",
IF(MOD(AR19-AR18,1)*24&gt;=8,1,
IF(MOD(AR19-AR18,1)*24&gt;=6,0.75,0))))</f>
        <v>0</v>
      </c>
      <c r="AT19" s="18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ca="1">IF(AT18=0,0,
IF(OR(AT18="",COUNTIF(AT18,"*保育無し*")),"",
IF(MOD(AT19-AT18,1)*24&gt;=8,1,
IF(MOD(AT19-AT18,1)*24&gt;=6,0.75,0))))</f>
        <v>0</v>
      </c>
      <c r="AV19" s="18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ca="1">IF(AV18=0,0,
IF(OR(AV18="",COUNTIF(AV18,"*保育無し*")),"",
IF(MOD(AV19-AV18,1)*24&gt;=8,1,
IF(MOD(AV19-AV18,1)*24&gt;=6,0.75,0))))</f>
        <v>0</v>
      </c>
      <c r="AX19" s="18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ca="1">IF(AX18=0,0,
IF(OR(AX18="",COUNTIF(AX18,"*保育無し*")),"",
IF(MOD(AX19-AX18,1)*24&gt;=8,1,
IF(MOD(AX19-AX18,1)*24&gt;=6,0.75,0))))</f>
        <v>0</v>
      </c>
      <c r="AZ19" s="18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ca="1">IF(AZ18=0,0,
IF(OR(AZ18="",COUNTIF(AZ18,"*保育無し*")),"",
IF(MOD(AZ19-AZ18,1)*24&gt;=8,1,
IF(MOD(AZ19-AZ18,1)*24&gt;=6,0.75,0))))</f>
        <v>0</v>
      </c>
      <c r="BB19" s="18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ca="1">IF(BB18=0,0,
IF(OR(BB18="",COUNTIF(BB18,"*保育無し*")),"",
IF(MOD(BB19-BB18,1)*24&gt;=8,1,
IF(MOD(BB19-BB18,1)*24&gt;=6,0.75,0))))</f>
        <v>0</v>
      </c>
      <c r="BD19" s="18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ca="1">IF(BD18=0,0,
IF(OR(BD18="",COUNTIF(BD18,"*保育無し*")),"",
IF(MOD(BD19-BD18,1)*24&gt;=8,1,
IF(MOD(BD19-BD18,1)*24&gt;=6,0.75,0))))</f>
        <v>0</v>
      </c>
      <c r="BF19" s="18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ca="1">IF(BF18=0,0,
IF(OR(BF18="",COUNTIF(BF18,"*保育無し*")),"",
IF(MOD(BF19-BF18,1)*24&gt;=8,1,
IF(MOD(BF19-BF18,1)*24&gt;=6,0.75,0))))</f>
        <v>0</v>
      </c>
      <c r="BH19" s="18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ca="1">IF(BH18=0,0,
IF(OR(BH18="",COUNTIF(BH18,"*保育無し*")),"",
IF(MOD(BH19-BH18,1)*24&gt;=8,1,
IF(MOD(BH19-BH18,1)*24&gt;=6,0.75,0))))</f>
        <v>0</v>
      </c>
      <c r="BJ19" s="18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ca="1">IF(BJ18=0,0,
IF(OR(BJ18="",COUNTIF(BJ18,"*保育無し*")),"",
IF(MOD(BJ19-BJ18,1)*24&gt;=8,1,
IF(MOD(BJ19-BJ18,1)*24&gt;=6,0.75,0))))</f>
        <v>0</v>
      </c>
      <c r="BL19" s="18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ca="1">IF(BL18=0,0,
IF(OR(BL18="",COUNTIF(BL18,"*保育無し*")),"",
IF(MOD(BL19-BL18,1)*24&gt;=8,1,
IF(MOD(BL19-BL18,1)*24&gt;=6,0.75,0))))</f>
        <v>0</v>
      </c>
      <c r="BN19" s="18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ca="1">IF(BN18=0,0,
IF(OR(BN18="",COUNTIF(BN18,"*保育無し*")),"",
IF(MOD(BN19-BN18,1)*24&gt;=8,1,
IF(MOD(BN19-BN18,1)*24&gt;=6,0.75,0))))</f>
        <v>0</v>
      </c>
      <c r="BP19" s="18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ca="1">IF(BP18=0,0,
IF(OR(BP18="",COUNTIF(BP18,"*保育無し*")),"",
IF(MOD(BP19-BP18,1)*24&gt;=8,1,
IF(MOD(BP19-BP18,1)*24&gt;=6,0.75,0))))</f>
        <v>0</v>
      </c>
      <c r="BR19" s="18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ca="1">IF(BR18=0,0,
IF(OR(BR18="",COUNTIF(BR18,"*保育無し*")),"",
IF(MOD(BR19-BR18,1)*24&gt;=8,1,
IF(MOD(BR19-BR18,1)*24&gt;=6,0.75,0))))</f>
        <v>0</v>
      </c>
      <c r="BT19" s="18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ca="1">IF(BT18=0,0,
IF(OR(BT18="",COUNTIF(BT18,"*保育無し*")),"",
IF(MOD(BT19-BT18,1)*24&gt;=8,1,
IF(MOD(BT19-BT18,1)*24&gt;=6,0.75,0))))</f>
        <v>0</v>
      </c>
      <c r="BV19" s="18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ca="1">IF(BV18=0,0,
IF(OR(BV18="",COUNTIF(BV18,"*保育無し*")),"",
IF(MOD(BV19-BV18,1)*24&gt;=8,1,
IF(MOD(BV19-BV18,1)*24&gt;=6,0.75,0))))</f>
        <v>0</v>
      </c>
      <c r="BX19" s="18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27" t="str">
        <f t="shared" si="2"/>
        <v/>
      </c>
      <c r="B20" s="30"/>
      <c r="C20" s="30" t="str">
        <f t="array" aca="1" ref="C20" ca="1">IF(B20&lt;&gt;"",INDIRECT("'シフト一覧（転載）'!B"&amp;MATCH(B20,'シフト一覧（転載）'!$A:$A,0)+1),"")</f>
        <v/>
      </c>
      <c r="D20" s="58" t="str">
        <f t="array" aca="1" ref="D20" ca="1">IF(B20&lt;&gt;"",INDIRECT("'シフト一覧（転載）'!B"&amp;MATCH(B20,'シフト一覧（転載）'!$A:$A,0)),"")</f>
        <v/>
      </c>
      <c r="E20" s="23" t="str">
        <f t="array" aca="1" ref="E20" ca="1">IF(B20&lt;&gt;"",INDIRECT("'シフト一覧（転載）'!E"&amp;MATCH(B20,'シフト一覧（転載）'!$A:$A,0)),"")</f>
        <v/>
      </c>
      <c r="F20" s="20" t="str">
        <f t="shared" ca="1" si="0"/>
        <v/>
      </c>
      <c r="G20" s="20" t="str">
        <f t="shared" si="3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4"/>
        <v/>
      </c>
      <c r="J20" s="20" t="str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/>
      </c>
      <c r="K20" s="37"/>
      <c r="L20" s="55"/>
      <c r="M20" s="88" t="str">
        <f t="array" ref="M2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89"/>
      <c r="O20" s="93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>
        <f t="array" ref="P20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>
        <f t="array" ref="Q20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2"/>
        <v/>
      </c>
      <c r="B21" s="30"/>
      <c r="C21" s="30" t="str">
        <f t="array" aca="1" ref="C21" ca="1">IF(B21&lt;&gt;"",INDIRECT("'シフト一覧（転載）'!B"&amp;MATCH(B21,'シフト一覧（転載）'!$A:$A,0)+1),"")</f>
        <v/>
      </c>
      <c r="D21" s="58" t="str">
        <f t="array" aca="1" ref="D21" ca="1">IF(B21&lt;&gt;"",INDIRECT("'シフト一覧（転載）'!B"&amp;MATCH(B21,'シフト一覧（転載）'!$A:$A,0)),"")</f>
        <v/>
      </c>
      <c r="E21" s="23" t="str">
        <f t="array" aca="1" ref="E21" ca="1">IF(B21&lt;&gt;"",INDIRECT("'シフト一覧（転載）'!E"&amp;MATCH(B21,'シフト一覧（転載）'!$A:$A,0)),"")</f>
        <v/>
      </c>
      <c r="F21" s="20" t="str">
        <f t="shared" ca="1" si="0"/>
        <v/>
      </c>
      <c r="G21" s="20" t="str">
        <f t="shared" si="3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 t="shared" si="4"/>
        <v/>
      </c>
      <c r="J21" s="20" t="str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/>
      </c>
      <c r="K21" s="37"/>
      <c r="L21" s="55"/>
      <c r="M21" s="90"/>
      <c r="N21" s="91"/>
      <c r="O21" s="94"/>
      <c r="P21" s="18">
        <f t="array" ref="P2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>IF(P20=0,0,
IF(OR(P20="",COUNTIF(P20,"*保育無し*")),"",
IF(MOD(P21-P20,1)*24&gt;=8,1,
IF(MOD(P21-P20,1)*24&gt;=6,0.75,0))))</f>
        <v>0</v>
      </c>
      <c r="R21" s="18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ca="1">IF(T20=0,0,
IF(OR(T20="",COUNTIF(T20,"*保育無し*")),"",
IF(MOD(T21-T20,1)*24&gt;=8,1,
IF(MOD(T21-T20,1)*24&gt;=6,0.75,0))))</f>
        <v>0</v>
      </c>
      <c r="V21" s="18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ca="1">IF(V20=0,0,
IF(OR(V20="",COUNTIF(V20,"*保育無し*")),"",
IF(MOD(V21-V20,1)*24&gt;=8,1,
IF(MOD(V21-V20,1)*24&gt;=6,0.75,0))))</f>
        <v>0</v>
      </c>
      <c r="X21" s="18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ca="1">IF(X20=0,0,
IF(OR(X20="",COUNTIF(X20,"*保育無し*")),"",
IF(MOD(X21-X20,1)*24&gt;=8,1,
IF(MOD(X21-X20,1)*24&gt;=6,0.75,0))))</f>
        <v>0</v>
      </c>
      <c r="Z21" s="18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ca="1">IF(Z20=0,0,
IF(OR(Z20="",COUNTIF(Z20,"*保育無し*")),"",
IF(MOD(Z21-Z20,1)*24&gt;=8,1,
IF(MOD(Z21-Z20,1)*24&gt;=6,0.75,0))))</f>
        <v>0</v>
      </c>
      <c r="AB21" s="18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ca="1">IF(AB20=0,0,
IF(OR(AB20="",COUNTIF(AB20,"*保育無し*")),"",
IF(MOD(AB21-AB20,1)*24&gt;=8,1,
IF(MOD(AB21-AB20,1)*24&gt;=6,0.75,0))))</f>
        <v>0</v>
      </c>
      <c r="AD21" s="18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ca="1">IF(AD20=0,0,
IF(OR(AD20="",COUNTIF(AD20,"*保育無し*")),"",
IF(MOD(AD21-AD20,1)*24&gt;=8,1,
IF(MOD(AD21-AD20,1)*24&gt;=6,0.75,0))))</f>
        <v>0</v>
      </c>
      <c r="AF21" s="18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ca="1">IF(AF20=0,0,
IF(OR(AF20="",COUNTIF(AF20,"*保育無し*")),"",
IF(MOD(AF21-AF20,1)*24&gt;=8,1,
IF(MOD(AF21-AF20,1)*24&gt;=6,0.75,0))))</f>
        <v>0</v>
      </c>
      <c r="AH21" s="18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ca="1">IF(AH20=0,0,
IF(OR(AH20="",COUNTIF(AH20,"*保育無し*")),"",
IF(MOD(AH21-AH20,1)*24&gt;=8,1,
IF(MOD(AH21-AH20,1)*24&gt;=6,0.75,0))))</f>
        <v>0</v>
      </c>
      <c r="AJ21" s="18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ca="1">IF(AJ20=0,0,
IF(OR(AJ20="",COUNTIF(AJ20,"*保育無し*")),"",
IF(MOD(AJ21-AJ20,1)*24&gt;=8,1,
IF(MOD(AJ21-AJ20,1)*24&gt;=6,0.75,0))))</f>
        <v>0</v>
      </c>
      <c r="AL21" s="18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ca="1">IF(AL20=0,0,
IF(OR(AL20="",COUNTIF(AL20,"*保育無し*")),"",
IF(MOD(AL21-AL20,1)*24&gt;=8,1,
IF(MOD(AL21-AL20,1)*24&gt;=6,0.75,0))))</f>
        <v>0</v>
      </c>
      <c r="AN21" s="18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ca="1">IF(AN20=0,0,
IF(OR(AN20="",COUNTIF(AN20,"*保育無し*")),"",
IF(MOD(AN21-AN20,1)*24&gt;=8,1,
IF(MOD(AN21-AN20,1)*24&gt;=6,0.75,0))))</f>
        <v>0</v>
      </c>
      <c r="AP21" s="18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ca="1">IF(AP20=0,0,
IF(OR(AP20="",COUNTIF(AP20,"*保育無し*")),"",
IF(MOD(AP21-AP20,1)*24&gt;=8,1,
IF(MOD(AP21-AP20,1)*24&gt;=6,0.75,0))))</f>
        <v>0</v>
      </c>
      <c r="AR21" s="18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ca="1">IF(AR20=0,0,
IF(OR(AR20="",COUNTIF(AR20,"*保育無し*")),"",
IF(MOD(AR21-AR20,1)*24&gt;=8,1,
IF(MOD(AR21-AR20,1)*24&gt;=6,0.75,0))))</f>
        <v>0</v>
      </c>
      <c r="AT21" s="18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ca="1">IF(AT20=0,0,
IF(OR(AT20="",COUNTIF(AT20,"*保育無し*")),"",
IF(MOD(AT21-AT20,1)*24&gt;=8,1,
IF(MOD(AT21-AT20,1)*24&gt;=6,0.75,0))))</f>
        <v>0</v>
      </c>
      <c r="AV21" s="18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ca="1">IF(AV20=0,0,
IF(OR(AV20="",COUNTIF(AV20,"*保育無し*")),"",
IF(MOD(AV21-AV20,1)*24&gt;=8,1,
IF(MOD(AV21-AV20,1)*24&gt;=6,0.75,0))))</f>
        <v>0</v>
      </c>
      <c r="AX21" s="18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ca="1">IF(AX20=0,0,
IF(OR(AX20="",COUNTIF(AX20,"*保育無し*")),"",
IF(MOD(AX21-AX20,1)*24&gt;=8,1,
IF(MOD(AX21-AX20,1)*24&gt;=6,0.75,0))))</f>
        <v>0</v>
      </c>
      <c r="AZ21" s="18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ca="1">IF(AZ20=0,0,
IF(OR(AZ20="",COUNTIF(AZ20,"*保育無し*")),"",
IF(MOD(AZ21-AZ20,1)*24&gt;=8,1,
IF(MOD(AZ21-AZ20,1)*24&gt;=6,0.75,0))))</f>
        <v>0</v>
      </c>
      <c r="BB21" s="18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ca="1">IF(BB20=0,0,
IF(OR(BB20="",COUNTIF(BB20,"*保育無し*")),"",
IF(MOD(BB21-BB20,1)*24&gt;=8,1,
IF(MOD(BB21-BB20,1)*24&gt;=6,0.75,0))))</f>
        <v>0</v>
      </c>
      <c r="BD21" s="18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ca="1">IF(BD20=0,0,
IF(OR(BD20="",COUNTIF(BD20,"*保育無し*")),"",
IF(MOD(BD21-BD20,1)*24&gt;=8,1,
IF(MOD(BD21-BD20,1)*24&gt;=6,0.75,0))))</f>
        <v>0</v>
      </c>
      <c r="BF21" s="18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ca="1">IF(BF20=0,0,
IF(OR(BF20="",COUNTIF(BF20,"*保育無し*")),"",
IF(MOD(BF21-BF20,1)*24&gt;=8,1,
IF(MOD(BF21-BF20,1)*24&gt;=6,0.75,0))))</f>
        <v>0</v>
      </c>
      <c r="BH21" s="18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ca="1">IF(BH20=0,0,
IF(OR(BH20="",COUNTIF(BH20,"*保育無し*")),"",
IF(MOD(BH21-BH20,1)*24&gt;=8,1,
IF(MOD(BH21-BH20,1)*24&gt;=6,0.75,0))))</f>
        <v>0</v>
      </c>
      <c r="BJ21" s="18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ca="1">IF(BJ20=0,0,
IF(OR(BJ20="",COUNTIF(BJ20,"*保育無し*")),"",
IF(MOD(BJ21-BJ20,1)*24&gt;=8,1,
IF(MOD(BJ21-BJ20,1)*24&gt;=6,0.75,0))))</f>
        <v>0</v>
      </c>
      <c r="BL21" s="18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ca="1">IF(BL20=0,0,
IF(OR(BL20="",COUNTIF(BL20,"*保育無し*")),"",
IF(MOD(BL21-BL20,1)*24&gt;=8,1,
IF(MOD(BL21-BL20,1)*24&gt;=6,0.75,0))))</f>
        <v>0</v>
      </c>
      <c r="BN21" s="18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ca="1">IF(BN20=0,0,
IF(OR(BN20="",COUNTIF(BN20,"*保育無し*")),"",
IF(MOD(BN21-BN20,1)*24&gt;=8,1,
IF(MOD(BN21-BN20,1)*24&gt;=6,0.75,0))))</f>
        <v>0</v>
      </c>
      <c r="BP21" s="18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ca="1">IF(BP20=0,0,
IF(OR(BP20="",COUNTIF(BP20,"*保育無し*")),"",
IF(MOD(BP21-BP20,1)*24&gt;=8,1,
IF(MOD(BP21-BP20,1)*24&gt;=6,0.75,0))))</f>
        <v>0</v>
      </c>
      <c r="BR21" s="18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ca="1">IF(BR20=0,0,
IF(OR(BR20="",COUNTIF(BR20,"*保育無し*")),"",
IF(MOD(BR21-BR20,1)*24&gt;=8,1,
IF(MOD(BR21-BR20,1)*24&gt;=6,0.75,0))))</f>
        <v>0</v>
      </c>
      <c r="BT21" s="18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ca="1">IF(BT20=0,0,
IF(OR(BT20="",COUNTIF(BT20,"*保育無し*")),"",
IF(MOD(BT21-BT20,1)*24&gt;=8,1,
IF(MOD(BT21-BT20,1)*24&gt;=6,0.75,0))))</f>
        <v>0</v>
      </c>
      <c r="BV21" s="18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ca="1">IF(BV20=0,0,
IF(OR(BV20="",COUNTIF(BV20,"*保育無し*")),"",
IF(MOD(BV21-BV20,1)*24&gt;=8,1,
IF(MOD(BV21-BV20,1)*24&gt;=6,0.75,0))))</f>
        <v>0</v>
      </c>
      <c r="BX21" s="18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27" t="str">
        <f t="shared" si="2"/>
        <v/>
      </c>
      <c r="B22" s="30"/>
      <c r="C22" s="30" t="str">
        <f t="array" aca="1" ref="C22" ca="1">IF(B22&lt;&gt;"",INDIRECT("'シフト一覧（転載）'!B"&amp;MATCH(B22,'シフト一覧（転載）'!$A:$A,0)+1),"")</f>
        <v/>
      </c>
      <c r="D22" s="58" t="str">
        <f t="array" aca="1" ref="D22" ca="1">IF(B22&lt;&gt;"",INDIRECT("'シフト一覧（転載）'!B"&amp;MATCH(B22,'シフト一覧（転載）'!$A:$A,0)),"")</f>
        <v/>
      </c>
      <c r="E22" s="23" t="str">
        <f t="array" aca="1" ref="E22" ca="1">IF(B22&lt;&gt;"",INDIRECT("'シフト一覧（転載）'!E"&amp;MATCH(B22,'シフト一覧（転載）'!$A:$A,0)),"")</f>
        <v/>
      </c>
      <c r="F22" s="20" t="str">
        <f t="shared" ca="1" si="0"/>
        <v/>
      </c>
      <c r="G22" s="20" t="str">
        <f t="shared" si="3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4"/>
        <v/>
      </c>
      <c r="J22" s="20" t="str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/>
      </c>
      <c r="K22" s="37"/>
      <c r="L22" s="55"/>
      <c r="M22" s="88" t="str">
        <f t="array" ref="M2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89"/>
      <c r="O22" s="93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>
        <f t="array" ref="P22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>
        <f t="array" ref="Q22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2"/>
        <v/>
      </c>
      <c r="B23" s="30"/>
      <c r="C23" s="30" t="str">
        <f t="array" aca="1" ref="C23" ca="1">IF(B23&lt;&gt;"",INDIRECT("'シフト一覧（転載）'!B"&amp;MATCH(B23,'シフト一覧（転載）'!$A:$A,0)+1),"")</f>
        <v/>
      </c>
      <c r="D23" s="58" t="str">
        <f t="array" aca="1" ref="D23" ca="1">IF(B23&lt;&gt;"",INDIRECT("'シフト一覧（転載）'!B"&amp;MATCH(B23,'シフト一覧（転載）'!$A:$A,0)),"")</f>
        <v/>
      </c>
      <c r="E23" s="23" t="str">
        <f t="array" aca="1" ref="E23" ca="1">IF(B23&lt;&gt;"",INDIRECT("'シフト一覧（転載）'!E"&amp;MATCH(B23,'シフト一覧（転載）'!$A:$A,0)),"")</f>
        <v/>
      </c>
      <c r="F23" s="20" t="str">
        <f t="shared" ca="1" si="0"/>
        <v/>
      </c>
      <c r="G23" s="20" t="str">
        <f t="shared" si="3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4"/>
        <v/>
      </c>
      <c r="J23" s="20" t="str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/>
      </c>
      <c r="K23" s="37"/>
      <c r="L23" s="55"/>
      <c r="M23" s="90"/>
      <c r="N23" s="91"/>
      <c r="O23" s="94"/>
      <c r="P23" s="18">
        <f t="array" ref="P23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>IF(P22=0,0,
IF(OR(P22="",COUNTIF(P22,"*保育無し*")),"",
IF(MOD(P23-P22,1)*24&gt;=8,1,
IF(MOD(P23-P22,1)*24&gt;=6,0.75,0))))</f>
        <v>0</v>
      </c>
      <c r="R23" s="18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ca="1">IF(T22=0,0,
IF(OR(T22="",COUNTIF(T22,"*保育無し*")),"",
IF(MOD(T23-T22,1)*24&gt;=8,1,
IF(MOD(T23-T22,1)*24&gt;=6,0.75,0))))</f>
        <v>0</v>
      </c>
      <c r="V23" s="18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ca="1">IF(V22=0,0,
IF(OR(V22="",COUNTIF(V22,"*保育無し*")),"",
IF(MOD(V23-V22,1)*24&gt;=8,1,
IF(MOD(V23-V22,1)*24&gt;=6,0.75,0))))</f>
        <v>0</v>
      </c>
      <c r="X23" s="18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ca="1">IF(X22=0,0,
IF(OR(X22="",COUNTIF(X22,"*保育無し*")),"",
IF(MOD(X23-X22,1)*24&gt;=8,1,
IF(MOD(X23-X22,1)*24&gt;=6,0.75,0))))</f>
        <v>0</v>
      </c>
      <c r="Z23" s="18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ca="1">IF(Z22=0,0,
IF(OR(Z22="",COUNTIF(Z22,"*保育無し*")),"",
IF(MOD(Z23-Z22,1)*24&gt;=8,1,
IF(MOD(Z23-Z22,1)*24&gt;=6,0.75,0))))</f>
        <v>0</v>
      </c>
      <c r="AB23" s="18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ca="1">IF(AB22=0,0,
IF(OR(AB22="",COUNTIF(AB22,"*保育無し*")),"",
IF(MOD(AB23-AB22,1)*24&gt;=8,1,
IF(MOD(AB23-AB22,1)*24&gt;=6,0.75,0))))</f>
        <v>0</v>
      </c>
      <c r="AD23" s="18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ca="1">IF(AD22=0,0,
IF(OR(AD22="",COUNTIF(AD22,"*保育無し*")),"",
IF(MOD(AD23-AD22,1)*24&gt;=8,1,
IF(MOD(AD23-AD22,1)*24&gt;=6,0.75,0))))</f>
        <v>0</v>
      </c>
      <c r="AF23" s="18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ca="1">IF(AF22=0,0,
IF(OR(AF22="",COUNTIF(AF22,"*保育無し*")),"",
IF(MOD(AF23-AF22,1)*24&gt;=8,1,
IF(MOD(AF23-AF22,1)*24&gt;=6,0.75,0))))</f>
        <v>0</v>
      </c>
      <c r="AH23" s="18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ca="1">IF(AH22=0,0,
IF(OR(AH22="",COUNTIF(AH22,"*保育無し*")),"",
IF(MOD(AH23-AH22,1)*24&gt;=8,1,
IF(MOD(AH23-AH22,1)*24&gt;=6,0.75,0))))</f>
        <v>0</v>
      </c>
      <c r="AJ23" s="18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ca="1">IF(AJ22=0,0,
IF(OR(AJ22="",COUNTIF(AJ22,"*保育無し*")),"",
IF(MOD(AJ23-AJ22,1)*24&gt;=8,1,
IF(MOD(AJ23-AJ22,1)*24&gt;=6,0.75,0))))</f>
        <v>0</v>
      </c>
      <c r="AL23" s="18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ca="1">IF(AL22=0,0,
IF(OR(AL22="",COUNTIF(AL22,"*保育無し*")),"",
IF(MOD(AL23-AL22,1)*24&gt;=8,1,
IF(MOD(AL23-AL22,1)*24&gt;=6,0.75,0))))</f>
        <v>0</v>
      </c>
      <c r="AN23" s="18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ca="1">IF(AN22=0,0,
IF(OR(AN22="",COUNTIF(AN22,"*保育無し*")),"",
IF(MOD(AN23-AN22,1)*24&gt;=8,1,
IF(MOD(AN23-AN22,1)*24&gt;=6,0.75,0))))</f>
        <v>0</v>
      </c>
      <c r="AP23" s="18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ca="1">IF(AP22=0,0,
IF(OR(AP22="",COUNTIF(AP22,"*保育無し*")),"",
IF(MOD(AP23-AP22,1)*24&gt;=8,1,
IF(MOD(AP23-AP22,1)*24&gt;=6,0.75,0))))</f>
        <v>0</v>
      </c>
      <c r="AR23" s="18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ca="1">IF(AR22=0,0,
IF(OR(AR22="",COUNTIF(AR22,"*保育無し*")),"",
IF(MOD(AR23-AR22,1)*24&gt;=8,1,
IF(MOD(AR23-AR22,1)*24&gt;=6,0.75,0))))</f>
        <v>0</v>
      </c>
      <c r="AT23" s="18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ca="1">IF(AT22=0,0,
IF(OR(AT22="",COUNTIF(AT22,"*保育無し*")),"",
IF(MOD(AT23-AT22,1)*24&gt;=8,1,
IF(MOD(AT23-AT22,1)*24&gt;=6,0.75,0))))</f>
        <v>0</v>
      </c>
      <c r="AV23" s="18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ca="1">IF(AV22=0,0,
IF(OR(AV22="",COUNTIF(AV22,"*保育無し*")),"",
IF(MOD(AV23-AV22,1)*24&gt;=8,1,
IF(MOD(AV23-AV22,1)*24&gt;=6,0.75,0))))</f>
        <v>0</v>
      </c>
      <c r="AX23" s="18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ca="1">IF(AX22=0,0,
IF(OR(AX22="",COUNTIF(AX22,"*保育無し*")),"",
IF(MOD(AX23-AX22,1)*24&gt;=8,1,
IF(MOD(AX23-AX22,1)*24&gt;=6,0.75,0))))</f>
        <v>0</v>
      </c>
      <c r="AZ23" s="18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ca="1">IF(AZ22=0,0,
IF(OR(AZ22="",COUNTIF(AZ22,"*保育無し*")),"",
IF(MOD(AZ23-AZ22,1)*24&gt;=8,1,
IF(MOD(AZ23-AZ22,1)*24&gt;=6,0.75,0))))</f>
        <v>0</v>
      </c>
      <c r="BB23" s="18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ca="1">IF(BB22=0,0,
IF(OR(BB22="",COUNTIF(BB22,"*保育無し*")),"",
IF(MOD(BB23-BB22,1)*24&gt;=8,1,
IF(MOD(BB23-BB22,1)*24&gt;=6,0.75,0))))</f>
        <v>0</v>
      </c>
      <c r="BD23" s="18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ca="1">IF(BD22=0,0,
IF(OR(BD22="",COUNTIF(BD22,"*保育無し*")),"",
IF(MOD(BD23-BD22,1)*24&gt;=8,1,
IF(MOD(BD23-BD22,1)*24&gt;=6,0.75,0))))</f>
        <v>0</v>
      </c>
      <c r="BF23" s="18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ca="1">IF(BF22=0,0,
IF(OR(BF22="",COUNTIF(BF22,"*保育無し*")),"",
IF(MOD(BF23-BF22,1)*24&gt;=8,1,
IF(MOD(BF23-BF22,1)*24&gt;=6,0.75,0))))</f>
        <v>0</v>
      </c>
      <c r="BH23" s="18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ca="1">IF(BH22=0,0,
IF(OR(BH22="",COUNTIF(BH22,"*保育無し*")),"",
IF(MOD(BH23-BH22,1)*24&gt;=8,1,
IF(MOD(BH23-BH22,1)*24&gt;=6,0.75,0))))</f>
        <v>0</v>
      </c>
      <c r="BJ23" s="18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ca="1">IF(BJ22=0,0,
IF(OR(BJ22="",COUNTIF(BJ22,"*保育無し*")),"",
IF(MOD(BJ23-BJ22,1)*24&gt;=8,1,
IF(MOD(BJ23-BJ22,1)*24&gt;=6,0.75,0))))</f>
        <v>0</v>
      </c>
      <c r="BL23" s="18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ca="1">IF(BL22=0,0,
IF(OR(BL22="",COUNTIF(BL22,"*保育無し*")),"",
IF(MOD(BL23-BL22,1)*24&gt;=8,1,
IF(MOD(BL23-BL22,1)*24&gt;=6,0.75,0))))</f>
        <v>0</v>
      </c>
      <c r="BN23" s="18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ca="1">IF(BN22=0,0,
IF(OR(BN22="",COUNTIF(BN22,"*保育無し*")),"",
IF(MOD(BN23-BN22,1)*24&gt;=8,1,
IF(MOD(BN23-BN22,1)*24&gt;=6,0.75,0))))</f>
        <v>0</v>
      </c>
      <c r="BP23" s="18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ca="1">IF(BP22=0,0,
IF(OR(BP22="",COUNTIF(BP22,"*保育無し*")),"",
IF(MOD(BP23-BP22,1)*24&gt;=8,1,
IF(MOD(BP23-BP22,1)*24&gt;=6,0.75,0))))</f>
        <v>0</v>
      </c>
      <c r="BR23" s="18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ca="1">IF(BR22=0,0,
IF(OR(BR22="",COUNTIF(BR22,"*保育無し*")),"",
IF(MOD(BR23-BR22,1)*24&gt;=8,1,
IF(MOD(BR23-BR22,1)*24&gt;=6,0.75,0))))</f>
        <v>0</v>
      </c>
      <c r="BT23" s="18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ca="1">IF(BT22=0,0,
IF(OR(BT22="",COUNTIF(BT22,"*保育無し*")),"",
IF(MOD(BT23-BT22,1)*24&gt;=8,1,
IF(MOD(BT23-BT22,1)*24&gt;=6,0.75,0))))</f>
        <v>0</v>
      </c>
      <c r="BV23" s="18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ca="1">IF(BV22=0,0,
IF(OR(BV22="",COUNTIF(BV22,"*保育無し*")),"",
IF(MOD(BV23-BV22,1)*24&gt;=8,1,
IF(MOD(BV23-BV22,1)*24&gt;=6,0.75,0))))</f>
        <v>0</v>
      </c>
      <c r="BX23" s="18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27" t="str">
        <f t="shared" si="2"/>
        <v/>
      </c>
      <c r="B24" s="30"/>
      <c r="C24" s="30" t="str">
        <f t="array" aca="1" ref="C24" ca="1">IF(B24&lt;&gt;"",INDIRECT("'シフト一覧（転載）'!B"&amp;MATCH(B24,'シフト一覧（転載）'!$A:$A,0)+1),"")</f>
        <v/>
      </c>
      <c r="D24" s="58" t="str">
        <f t="array" aca="1" ref="D24" ca="1">IF(B24&lt;&gt;"",INDIRECT("'シフト一覧（転載）'!B"&amp;MATCH(B24,'シフト一覧（転載）'!$A:$A,0)),"")</f>
        <v/>
      </c>
      <c r="E24" s="23" t="str">
        <f t="array" aca="1" ref="E24" ca="1">IF(B24&lt;&gt;"",INDIRECT("'シフト一覧（転載）'!E"&amp;MATCH(B24,'シフト一覧（転載）'!$A:$A,0)),"")</f>
        <v/>
      </c>
      <c r="F24" s="20" t="str">
        <f t="shared" ca="1" si="0"/>
        <v/>
      </c>
      <c r="G24" s="20" t="str">
        <f t="shared" si="3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4"/>
        <v/>
      </c>
      <c r="J24" s="20" t="str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/>
      </c>
      <c r="K24" s="37"/>
      <c r="L24" s="55"/>
      <c r="M24" s="88" t="str">
        <f t="array" ref="M2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89"/>
      <c r="O24" s="93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>
        <f t="array" ref="P24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>
        <f t="array" ref="Q24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2"/>
        <v/>
      </c>
      <c r="B25" s="30"/>
      <c r="C25" s="30" t="str">
        <f t="array" aca="1" ref="C25" ca="1">IF(B25&lt;&gt;"",INDIRECT("'シフト一覧（転載）'!B"&amp;MATCH(B25,'シフト一覧（転載）'!$A:$A,0)+1),"")</f>
        <v/>
      </c>
      <c r="D25" s="58" t="str">
        <f t="array" aca="1" ref="D25" ca="1">IF(B25&lt;&gt;"",INDIRECT("'シフト一覧（転載）'!B"&amp;MATCH(B25,'シフト一覧（転載）'!$A:$A,0)),"")</f>
        <v/>
      </c>
      <c r="E25" s="23" t="str">
        <f t="array" aca="1" ref="E25" ca="1">IF(B25&lt;&gt;"",INDIRECT("'シフト一覧（転載）'!E"&amp;MATCH(B25,'シフト一覧（転載）'!$A:$A,0)),"")</f>
        <v/>
      </c>
      <c r="F25" s="20" t="str">
        <f t="shared" ca="1" si="0"/>
        <v/>
      </c>
      <c r="G25" s="20" t="str">
        <f t="shared" si="3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4"/>
        <v/>
      </c>
      <c r="J25" s="20" t="str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/>
      </c>
      <c r="K25" s="37"/>
      <c r="L25" s="55"/>
      <c r="M25" s="90"/>
      <c r="N25" s="91"/>
      <c r="O25" s="94"/>
      <c r="P25" s="18">
        <f t="array" ref="P25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>IF(P24=0,0,
IF(OR(P24="",COUNTIF(P24,"*保育無し*")),"",
IF(MOD(P25-P24,1)*24&gt;=8,1,
IF(MOD(P25-P24,1)*24&gt;=6,0.75,0))))</f>
        <v>0</v>
      </c>
      <c r="R25" s="18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ca="1">IF(T24=0,0,
IF(OR(T24="",COUNTIF(T24,"*保育無し*")),"",
IF(MOD(T25-T24,1)*24&gt;=8,1,
IF(MOD(T25-T24,1)*24&gt;=6,0.75,0))))</f>
        <v>0</v>
      </c>
      <c r="V25" s="18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ca="1">IF(V24=0,0,
IF(OR(V24="",COUNTIF(V24,"*保育無し*")),"",
IF(MOD(V25-V24,1)*24&gt;=8,1,
IF(MOD(V25-V24,1)*24&gt;=6,0.75,0))))</f>
        <v>0</v>
      </c>
      <c r="X25" s="18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ca="1">IF(X24=0,0,
IF(OR(X24="",COUNTIF(X24,"*保育無し*")),"",
IF(MOD(X25-X24,1)*24&gt;=8,1,
IF(MOD(X25-X24,1)*24&gt;=6,0.75,0))))</f>
        <v>0</v>
      </c>
      <c r="Z25" s="18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ca="1">IF(Z24=0,0,
IF(OR(Z24="",COUNTIF(Z24,"*保育無し*")),"",
IF(MOD(Z25-Z24,1)*24&gt;=8,1,
IF(MOD(Z25-Z24,1)*24&gt;=6,0.75,0))))</f>
        <v>0</v>
      </c>
      <c r="AB25" s="18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ca="1">IF(AB24=0,0,
IF(OR(AB24="",COUNTIF(AB24,"*保育無し*")),"",
IF(MOD(AB25-AB24,1)*24&gt;=8,1,
IF(MOD(AB25-AB24,1)*24&gt;=6,0.75,0))))</f>
        <v>0</v>
      </c>
      <c r="AD25" s="18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ca="1">IF(AD24=0,0,
IF(OR(AD24="",COUNTIF(AD24,"*保育無し*")),"",
IF(MOD(AD25-AD24,1)*24&gt;=8,1,
IF(MOD(AD25-AD24,1)*24&gt;=6,0.75,0))))</f>
        <v>0</v>
      </c>
      <c r="AF25" s="18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ca="1">IF(AF24=0,0,
IF(OR(AF24="",COUNTIF(AF24,"*保育無し*")),"",
IF(MOD(AF25-AF24,1)*24&gt;=8,1,
IF(MOD(AF25-AF24,1)*24&gt;=6,0.75,0))))</f>
        <v>0</v>
      </c>
      <c r="AH25" s="18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ca="1">IF(AH24=0,0,
IF(OR(AH24="",COUNTIF(AH24,"*保育無し*")),"",
IF(MOD(AH25-AH24,1)*24&gt;=8,1,
IF(MOD(AH25-AH24,1)*24&gt;=6,0.75,0))))</f>
        <v>0</v>
      </c>
      <c r="AJ25" s="18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ca="1">IF(AJ24=0,0,
IF(OR(AJ24="",COUNTIF(AJ24,"*保育無し*")),"",
IF(MOD(AJ25-AJ24,1)*24&gt;=8,1,
IF(MOD(AJ25-AJ24,1)*24&gt;=6,0.75,0))))</f>
        <v>0</v>
      </c>
      <c r="AL25" s="18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ca="1">IF(AL24=0,0,
IF(OR(AL24="",COUNTIF(AL24,"*保育無し*")),"",
IF(MOD(AL25-AL24,1)*24&gt;=8,1,
IF(MOD(AL25-AL24,1)*24&gt;=6,0.75,0))))</f>
        <v>0</v>
      </c>
      <c r="AN25" s="18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ca="1">IF(AN24=0,0,
IF(OR(AN24="",COUNTIF(AN24,"*保育無し*")),"",
IF(MOD(AN25-AN24,1)*24&gt;=8,1,
IF(MOD(AN25-AN24,1)*24&gt;=6,0.75,0))))</f>
        <v>0</v>
      </c>
      <c r="AP25" s="18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ca="1">IF(AP24=0,0,
IF(OR(AP24="",COUNTIF(AP24,"*保育無し*")),"",
IF(MOD(AP25-AP24,1)*24&gt;=8,1,
IF(MOD(AP25-AP24,1)*24&gt;=6,0.75,0))))</f>
        <v>0</v>
      </c>
      <c r="AR25" s="18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ca="1">IF(AR24=0,0,
IF(OR(AR24="",COUNTIF(AR24,"*保育無し*")),"",
IF(MOD(AR25-AR24,1)*24&gt;=8,1,
IF(MOD(AR25-AR24,1)*24&gt;=6,0.75,0))))</f>
        <v>0</v>
      </c>
      <c r="AT25" s="18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ca="1">IF(AT24=0,0,
IF(OR(AT24="",COUNTIF(AT24,"*保育無し*")),"",
IF(MOD(AT25-AT24,1)*24&gt;=8,1,
IF(MOD(AT25-AT24,1)*24&gt;=6,0.75,0))))</f>
        <v>0</v>
      </c>
      <c r="AV25" s="18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ca="1">IF(AV24=0,0,
IF(OR(AV24="",COUNTIF(AV24,"*保育無し*")),"",
IF(MOD(AV25-AV24,1)*24&gt;=8,1,
IF(MOD(AV25-AV24,1)*24&gt;=6,0.75,0))))</f>
        <v>0</v>
      </c>
      <c r="AX25" s="18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ca="1">IF(AX24=0,0,
IF(OR(AX24="",COUNTIF(AX24,"*保育無し*")),"",
IF(MOD(AX25-AX24,1)*24&gt;=8,1,
IF(MOD(AX25-AX24,1)*24&gt;=6,0.75,0))))</f>
        <v>0</v>
      </c>
      <c r="AZ25" s="18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ca="1">IF(AZ24=0,0,
IF(OR(AZ24="",COUNTIF(AZ24,"*保育無し*")),"",
IF(MOD(AZ25-AZ24,1)*24&gt;=8,1,
IF(MOD(AZ25-AZ24,1)*24&gt;=6,0.75,0))))</f>
        <v>0</v>
      </c>
      <c r="BB25" s="18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ca="1">IF(BB24=0,0,
IF(OR(BB24="",COUNTIF(BB24,"*保育無し*")),"",
IF(MOD(BB25-BB24,1)*24&gt;=8,1,
IF(MOD(BB25-BB24,1)*24&gt;=6,0.75,0))))</f>
        <v>0</v>
      </c>
      <c r="BD25" s="18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ca="1">IF(BD24=0,0,
IF(OR(BD24="",COUNTIF(BD24,"*保育無し*")),"",
IF(MOD(BD25-BD24,1)*24&gt;=8,1,
IF(MOD(BD25-BD24,1)*24&gt;=6,0.75,0))))</f>
        <v>0</v>
      </c>
      <c r="BF25" s="18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ca="1">IF(BF24=0,0,
IF(OR(BF24="",COUNTIF(BF24,"*保育無し*")),"",
IF(MOD(BF25-BF24,1)*24&gt;=8,1,
IF(MOD(BF25-BF24,1)*24&gt;=6,0.75,0))))</f>
        <v>0</v>
      </c>
      <c r="BH25" s="18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ca="1">IF(BH24=0,0,
IF(OR(BH24="",COUNTIF(BH24,"*保育無し*")),"",
IF(MOD(BH25-BH24,1)*24&gt;=8,1,
IF(MOD(BH25-BH24,1)*24&gt;=6,0.75,0))))</f>
        <v>0</v>
      </c>
      <c r="BJ25" s="18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ca="1">IF(BJ24=0,0,
IF(OR(BJ24="",COUNTIF(BJ24,"*保育無し*")),"",
IF(MOD(BJ25-BJ24,1)*24&gt;=8,1,
IF(MOD(BJ25-BJ24,1)*24&gt;=6,0.75,0))))</f>
        <v>0</v>
      </c>
      <c r="BL25" s="18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ca="1">IF(BL24=0,0,
IF(OR(BL24="",COUNTIF(BL24,"*保育無し*")),"",
IF(MOD(BL25-BL24,1)*24&gt;=8,1,
IF(MOD(BL25-BL24,1)*24&gt;=6,0.75,0))))</f>
        <v>0</v>
      </c>
      <c r="BN25" s="18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ca="1">IF(BN24=0,0,
IF(OR(BN24="",COUNTIF(BN24,"*保育無し*")),"",
IF(MOD(BN25-BN24,1)*24&gt;=8,1,
IF(MOD(BN25-BN24,1)*24&gt;=6,0.75,0))))</f>
        <v>0</v>
      </c>
      <c r="BP25" s="18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ca="1">IF(BP24=0,0,
IF(OR(BP24="",COUNTIF(BP24,"*保育無し*")),"",
IF(MOD(BP25-BP24,1)*24&gt;=8,1,
IF(MOD(BP25-BP24,1)*24&gt;=6,0.75,0))))</f>
        <v>0</v>
      </c>
      <c r="BR25" s="18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ca="1">IF(BR24=0,0,
IF(OR(BR24="",COUNTIF(BR24,"*保育無し*")),"",
IF(MOD(BR25-BR24,1)*24&gt;=8,1,
IF(MOD(BR25-BR24,1)*24&gt;=6,0.75,0))))</f>
        <v>0</v>
      </c>
      <c r="BT25" s="18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ca="1">IF(BT24=0,0,
IF(OR(BT24="",COUNTIF(BT24,"*保育無し*")),"",
IF(MOD(BT25-BT24,1)*24&gt;=8,1,
IF(MOD(BT25-BT24,1)*24&gt;=6,0.75,0))))</f>
        <v>0</v>
      </c>
      <c r="BV25" s="18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ca="1">IF(BV24=0,0,
IF(OR(BV24="",COUNTIF(BV24,"*保育無し*")),"",
IF(MOD(BV25-BV24,1)*24&gt;=8,1,
IF(MOD(BV25-BV24,1)*24&gt;=6,0.75,0))))</f>
        <v>0</v>
      </c>
      <c r="BX25" s="18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27" t="str">
        <f t="shared" si="2"/>
        <v/>
      </c>
      <c r="B26" s="30"/>
      <c r="C26" s="30" t="str">
        <f t="array" aca="1" ref="C26" ca="1">IF(B26&lt;&gt;"",INDIRECT("'シフト一覧（転載）'!B"&amp;MATCH(B26,'シフト一覧（転載）'!$A:$A,0)+1),"")</f>
        <v/>
      </c>
      <c r="D26" s="58" t="str">
        <f t="array" aca="1" ref="D26" ca="1">IF(B26&lt;&gt;"",INDIRECT("'シフト一覧（転載）'!B"&amp;MATCH(B26,'シフト一覧（転載）'!$A:$A,0)),"")</f>
        <v/>
      </c>
      <c r="E26" s="23" t="str">
        <f t="array" aca="1" ref="E26" ca="1">IF(B26&lt;&gt;"",INDIRECT("'シフト一覧（転載）'!E"&amp;MATCH(B26,'シフト一覧（転載）'!$A:$A,0)),"")</f>
        <v/>
      </c>
      <c r="F26" s="20" t="str">
        <f t="shared" ca="1" si="0"/>
        <v/>
      </c>
      <c r="G26" s="20" t="str">
        <f t="shared" si="3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4"/>
        <v/>
      </c>
      <c r="J26" s="20" t="str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37"/>
      <c r="L26" s="55"/>
      <c r="M26" s="88" t="str">
        <f t="array" ref="M2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89"/>
      <c r="O26" s="93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>
        <f t="array" ref="P26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>
        <f t="array" ref="Q26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2"/>
        <v/>
      </c>
      <c r="B27" s="30"/>
      <c r="C27" s="30" t="str">
        <f t="array" aca="1" ref="C27" ca="1">IF(B27&lt;&gt;"",INDIRECT("'シフト一覧（転載）'!B"&amp;MATCH(B27,'シフト一覧（転載）'!$A:$A,0)+1),"")</f>
        <v/>
      </c>
      <c r="D27" s="58" t="str">
        <f t="array" aca="1" ref="D27" ca="1">IF(B27&lt;&gt;"",INDIRECT("'シフト一覧（転載）'!B"&amp;MATCH(B27,'シフト一覧（転載）'!$A:$A,0)),"")</f>
        <v/>
      </c>
      <c r="E27" s="23" t="str">
        <f t="array" aca="1" ref="E27" ca="1">IF(B27&lt;&gt;"",INDIRECT("'シフト一覧（転載）'!E"&amp;MATCH(B27,'シフト一覧（転載）'!$A:$A,0)),"")</f>
        <v/>
      </c>
      <c r="F27" s="20" t="str">
        <f t="shared" ca="1" si="0"/>
        <v/>
      </c>
      <c r="G27" s="20" t="str">
        <f t="shared" si="3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4"/>
        <v/>
      </c>
      <c r="J27" s="20" t="str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37"/>
      <c r="L27" s="55"/>
      <c r="M27" s="90"/>
      <c r="N27" s="91"/>
      <c r="O27" s="94"/>
      <c r="P27" s="18">
        <f t="array" ref="P27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>IF(P26=0,0,
IF(OR(P26="",COUNTIF(P26,"*保育無し*")),"",
IF(MOD(P27-P26,1)*24&gt;=8,1,
IF(MOD(P27-P26,1)*24&gt;=6,0.75,0))))</f>
        <v>0</v>
      </c>
      <c r="R27" s="18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ca="1">IF(T26=0,0,
IF(OR(T26="",COUNTIF(T26,"*保育無し*")),"",
IF(MOD(T27-T26,1)*24&gt;=8,1,
IF(MOD(T27-T26,1)*24&gt;=6,0.75,0))))</f>
        <v>0</v>
      </c>
      <c r="V27" s="18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ca="1">IF(V26=0,0,
IF(OR(V26="",COUNTIF(V26,"*保育無し*")),"",
IF(MOD(V27-V26,1)*24&gt;=8,1,
IF(MOD(V27-V26,1)*24&gt;=6,0.75,0))))</f>
        <v>0</v>
      </c>
      <c r="X27" s="18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ca="1">IF(X26=0,0,
IF(OR(X26="",COUNTIF(X26,"*保育無し*")),"",
IF(MOD(X27-X26,1)*24&gt;=8,1,
IF(MOD(X27-X26,1)*24&gt;=6,0.75,0))))</f>
        <v>0</v>
      </c>
      <c r="Z27" s="18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ca="1">IF(Z26=0,0,
IF(OR(Z26="",COUNTIF(Z26,"*保育無し*")),"",
IF(MOD(Z27-Z26,1)*24&gt;=8,1,
IF(MOD(Z27-Z26,1)*24&gt;=6,0.75,0))))</f>
        <v>0</v>
      </c>
      <c r="AB27" s="18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ca="1">IF(AB26=0,0,
IF(OR(AB26="",COUNTIF(AB26,"*保育無し*")),"",
IF(MOD(AB27-AB26,1)*24&gt;=8,1,
IF(MOD(AB27-AB26,1)*24&gt;=6,0.75,0))))</f>
        <v>0</v>
      </c>
      <c r="AD27" s="18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ca="1">IF(AD26=0,0,
IF(OR(AD26="",COUNTIF(AD26,"*保育無し*")),"",
IF(MOD(AD27-AD26,1)*24&gt;=8,1,
IF(MOD(AD27-AD26,1)*24&gt;=6,0.75,0))))</f>
        <v>0</v>
      </c>
      <c r="AF27" s="18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ca="1">IF(AF26=0,0,
IF(OR(AF26="",COUNTIF(AF26,"*保育無し*")),"",
IF(MOD(AF27-AF26,1)*24&gt;=8,1,
IF(MOD(AF27-AF26,1)*24&gt;=6,0.75,0))))</f>
        <v>0</v>
      </c>
      <c r="AH27" s="18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ca="1">IF(AH26=0,0,
IF(OR(AH26="",COUNTIF(AH26,"*保育無し*")),"",
IF(MOD(AH27-AH26,1)*24&gt;=8,1,
IF(MOD(AH27-AH26,1)*24&gt;=6,0.75,0))))</f>
        <v>0</v>
      </c>
      <c r="AJ27" s="18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ca="1">IF(AJ26=0,0,
IF(OR(AJ26="",COUNTIF(AJ26,"*保育無し*")),"",
IF(MOD(AJ27-AJ26,1)*24&gt;=8,1,
IF(MOD(AJ27-AJ26,1)*24&gt;=6,0.75,0))))</f>
        <v>0</v>
      </c>
      <c r="AL27" s="18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ca="1">IF(AL26=0,0,
IF(OR(AL26="",COUNTIF(AL26,"*保育無し*")),"",
IF(MOD(AL27-AL26,1)*24&gt;=8,1,
IF(MOD(AL27-AL26,1)*24&gt;=6,0.75,0))))</f>
        <v>0</v>
      </c>
      <c r="AN27" s="18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ca="1">IF(AN26=0,0,
IF(OR(AN26="",COUNTIF(AN26,"*保育無し*")),"",
IF(MOD(AN27-AN26,1)*24&gt;=8,1,
IF(MOD(AN27-AN26,1)*24&gt;=6,0.75,0))))</f>
        <v>0</v>
      </c>
      <c r="AP27" s="18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ca="1">IF(AP26=0,0,
IF(OR(AP26="",COUNTIF(AP26,"*保育無し*")),"",
IF(MOD(AP27-AP26,1)*24&gt;=8,1,
IF(MOD(AP27-AP26,1)*24&gt;=6,0.75,0))))</f>
        <v>0</v>
      </c>
      <c r="AR27" s="18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ca="1">IF(AR26=0,0,
IF(OR(AR26="",COUNTIF(AR26,"*保育無し*")),"",
IF(MOD(AR27-AR26,1)*24&gt;=8,1,
IF(MOD(AR27-AR26,1)*24&gt;=6,0.75,0))))</f>
        <v>0</v>
      </c>
      <c r="AT27" s="18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ca="1">IF(AT26=0,0,
IF(OR(AT26="",COUNTIF(AT26,"*保育無し*")),"",
IF(MOD(AT27-AT26,1)*24&gt;=8,1,
IF(MOD(AT27-AT26,1)*24&gt;=6,0.75,0))))</f>
        <v>0</v>
      </c>
      <c r="AV27" s="18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ca="1">IF(AV26=0,0,
IF(OR(AV26="",COUNTIF(AV26,"*保育無し*")),"",
IF(MOD(AV27-AV26,1)*24&gt;=8,1,
IF(MOD(AV27-AV26,1)*24&gt;=6,0.75,0))))</f>
        <v>0</v>
      </c>
      <c r="AX27" s="18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ca="1">IF(AX26=0,0,
IF(OR(AX26="",COUNTIF(AX26,"*保育無し*")),"",
IF(MOD(AX27-AX26,1)*24&gt;=8,1,
IF(MOD(AX27-AX26,1)*24&gt;=6,0.75,0))))</f>
        <v>0</v>
      </c>
      <c r="AZ27" s="18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ca="1">IF(AZ26=0,0,
IF(OR(AZ26="",COUNTIF(AZ26,"*保育無し*")),"",
IF(MOD(AZ27-AZ26,1)*24&gt;=8,1,
IF(MOD(AZ27-AZ26,1)*24&gt;=6,0.75,0))))</f>
        <v>0</v>
      </c>
      <c r="BB27" s="18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ca="1">IF(BB26=0,0,
IF(OR(BB26="",COUNTIF(BB26,"*保育無し*")),"",
IF(MOD(BB27-BB26,1)*24&gt;=8,1,
IF(MOD(BB27-BB26,1)*24&gt;=6,0.75,0))))</f>
        <v>0</v>
      </c>
      <c r="BD27" s="18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ca="1">IF(BD26=0,0,
IF(OR(BD26="",COUNTIF(BD26,"*保育無し*")),"",
IF(MOD(BD27-BD26,1)*24&gt;=8,1,
IF(MOD(BD27-BD26,1)*24&gt;=6,0.75,0))))</f>
        <v>0</v>
      </c>
      <c r="BF27" s="18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ca="1">IF(BF26=0,0,
IF(OR(BF26="",COUNTIF(BF26,"*保育無し*")),"",
IF(MOD(BF27-BF26,1)*24&gt;=8,1,
IF(MOD(BF27-BF26,1)*24&gt;=6,0.75,0))))</f>
        <v>0</v>
      </c>
      <c r="BH27" s="18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ca="1">IF(BH26=0,0,
IF(OR(BH26="",COUNTIF(BH26,"*保育無し*")),"",
IF(MOD(BH27-BH26,1)*24&gt;=8,1,
IF(MOD(BH27-BH26,1)*24&gt;=6,0.75,0))))</f>
        <v>0</v>
      </c>
      <c r="BJ27" s="18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ca="1">IF(BJ26=0,0,
IF(OR(BJ26="",COUNTIF(BJ26,"*保育無し*")),"",
IF(MOD(BJ27-BJ26,1)*24&gt;=8,1,
IF(MOD(BJ27-BJ26,1)*24&gt;=6,0.75,0))))</f>
        <v>0</v>
      </c>
      <c r="BL27" s="18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ca="1">IF(BL26=0,0,
IF(OR(BL26="",COUNTIF(BL26,"*保育無し*")),"",
IF(MOD(BL27-BL26,1)*24&gt;=8,1,
IF(MOD(BL27-BL26,1)*24&gt;=6,0.75,0))))</f>
        <v>0</v>
      </c>
      <c r="BN27" s="18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ca="1">IF(BN26=0,0,
IF(OR(BN26="",COUNTIF(BN26,"*保育無し*")),"",
IF(MOD(BN27-BN26,1)*24&gt;=8,1,
IF(MOD(BN27-BN26,1)*24&gt;=6,0.75,0))))</f>
        <v>0</v>
      </c>
      <c r="BP27" s="18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ca="1">IF(BP26=0,0,
IF(OR(BP26="",COUNTIF(BP26,"*保育無し*")),"",
IF(MOD(BP27-BP26,1)*24&gt;=8,1,
IF(MOD(BP27-BP26,1)*24&gt;=6,0.75,0))))</f>
        <v>0</v>
      </c>
      <c r="BR27" s="18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ca="1">IF(BR26=0,0,
IF(OR(BR26="",COUNTIF(BR26,"*保育無し*")),"",
IF(MOD(BR27-BR26,1)*24&gt;=8,1,
IF(MOD(BR27-BR26,1)*24&gt;=6,0.75,0))))</f>
        <v>0</v>
      </c>
      <c r="BT27" s="18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ca="1">IF(BT26=0,0,
IF(OR(BT26="",COUNTIF(BT26,"*保育無し*")),"",
IF(MOD(BT27-BT26,1)*24&gt;=8,1,
IF(MOD(BT27-BT26,1)*24&gt;=6,0.75,0))))</f>
        <v>0</v>
      </c>
      <c r="BV27" s="18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ca="1">IF(BV26=0,0,
IF(OR(BV26="",COUNTIF(BV26,"*保育無し*")),"",
IF(MOD(BV27-BV26,1)*24&gt;=8,1,
IF(MOD(BV27-BV26,1)*24&gt;=6,0.75,0))))</f>
        <v>0</v>
      </c>
      <c r="BX27" s="18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27" t="str">
        <f t="shared" si="2"/>
        <v/>
      </c>
      <c r="B28" s="30"/>
      <c r="C28" s="30" t="str">
        <f t="array" aca="1" ref="C28" ca="1">IF(B28&lt;&gt;"",INDIRECT("'シフト一覧（転載）'!B"&amp;MATCH(B28,'シフト一覧（転載）'!$A:$A,0)+1),"")</f>
        <v/>
      </c>
      <c r="D28" s="58" t="str">
        <f t="array" aca="1" ref="D28" ca="1">IF(B28&lt;&gt;"",INDIRECT("'シフト一覧（転載）'!B"&amp;MATCH(B28,'シフト一覧（転載）'!$A:$A,0)),"")</f>
        <v/>
      </c>
      <c r="E28" s="23" t="str">
        <f t="array" aca="1" ref="E28" ca="1">IF(B28&lt;&gt;"",INDIRECT("'シフト一覧（転載）'!E"&amp;MATCH(B28,'シフト一覧（転載）'!$A:$A,0)),"")</f>
        <v/>
      </c>
      <c r="F28" s="20" t="str">
        <f t="shared" ca="1" si="0"/>
        <v/>
      </c>
      <c r="G28" s="20" t="str">
        <f t="shared" si="3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4"/>
        <v/>
      </c>
      <c r="J28" s="20" t="str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37"/>
      <c r="L28" s="55"/>
      <c r="M28" s="88" t="str">
        <f t="array" ref="M2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89"/>
      <c r="O28" s="93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>
        <f t="array" ref="P28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>
        <f t="array" ref="Q28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2"/>
        <v/>
      </c>
      <c r="B29" s="30"/>
      <c r="C29" s="30" t="str">
        <f t="array" aca="1" ref="C29" ca="1">IF(B29&lt;&gt;"",INDIRECT("'シフト一覧（転載）'!B"&amp;MATCH(B29,'シフト一覧（転載）'!$A:$A,0)+1),"")</f>
        <v/>
      </c>
      <c r="D29" s="58" t="str">
        <f t="array" aca="1" ref="D29" ca="1">IF(B29&lt;&gt;"",INDIRECT("'シフト一覧（転載）'!B"&amp;MATCH(B29,'シフト一覧（転載）'!$A:$A,0)),"")</f>
        <v/>
      </c>
      <c r="E29" s="23" t="str">
        <f t="array" aca="1" ref="E29" ca="1">IF(B29&lt;&gt;"",INDIRECT("'シフト一覧（転載）'!E"&amp;MATCH(B29,'シフト一覧（転載）'!$A:$A,0)),"")</f>
        <v/>
      </c>
      <c r="F29" s="20" t="str">
        <f t="shared" ca="1" si="0"/>
        <v/>
      </c>
      <c r="G29" s="20" t="str">
        <f t="shared" si="3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4"/>
        <v/>
      </c>
      <c r="J29" s="20" t="str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37"/>
      <c r="L29" s="55"/>
      <c r="M29" s="90"/>
      <c r="N29" s="91"/>
      <c r="O29" s="94"/>
      <c r="P29" s="18">
        <f t="array" ref="P29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>IF(P28=0,0,
IF(OR(P28="",COUNTIF(P28,"*保育無し*")),"",
IF(MOD(P29-P28,1)*24&gt;=8,1,
IF(MOD(P29-P28,1)*24&gt;=6,0.75,0))))</f>
        <v>0</v>
      </c>
      <c r="R29" s="18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ca="1">IF(T28=0,0,
IF(OR(T28="",COUNTIF(T28,"*保育無し*")),"",
IF(MOD(T29-T28,1)*24&gt;=8,1,
IF(MOD(T29-T28,1)*24&gt;=6,0.75,0))))</f>
        <v>0</v>
      </c>
      <c r="V29" s="18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ca="1">IF(V28=0,0,
IF(OR(V28="",COUNTIF(V28,"*保育無し*")),"",
IF(MOD(V29-V28,1)*24&gt;=8,1,
IF(MOD(V29-V28,1)*24&gt;=6,0.75,0))))</f>
        <v>0</v>
      </c>
      <c r="X29" s="18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ca="1">IF(X28=0,0,
IF(OR(X28="",COUNTIF(X28,"*保育無し*")),"",
IF(MOD(X29-X28,1)*24&gt;=8,1,
IF(MOD(X29-X28,1)*24&gt;=6,0.75,0))))</f>
        <v>0</v>
      </c>
      <c r="Z29" s="18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ca="1">IF(Z28=0,0,
IF(OR(Z28="",COUNTIF(Z28,"*保育無し*")),"",
IF(MOD(Z29-Z28,1)*24&gt;=8,1,
IF(MOD(Z29-Z28,1)*24&gt;=6,0.75,0))))</f>
        <v>0</v>
      </c>
      <c r="AB29" s="18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ca="1">IF(AB28=0,0,
IF(OR(AB28="",COUNTIF(AB28,"*保育無し*")),"",
IF(MOD(AB29-AB28,1)*24&gt;=8,1,
IF(MOD(AB29-AB28,1)*24&gt;=6,0.75,0))))</f>
        <v>0</v>
      </c>
      <c r="AD29" s="18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ca="1">IF(AD28=0,0,
IF(OR(AD28="",COUNTIF(AD28,"*保育無し*")),"",
IF(MOD(AD29-AD28,1)*24&gt;=8,1,
IF(MOD(AD29-AD28,1)*24&gt;=6,0.75,0))))</f>
        <v>0</v>
      </c>
      <c r="AF29" s="18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ca="1">IF(AF28=0,0,
IF(OR(AF28="",COUNTIF(AF28,"*保育無し*")),"",
IF(MOD(AF29-AF28,1)*24&gt;=8,1,
IF(MOD(AF29-AF28,1)*24&gt;=6,0.75,0))))</f>
        <v>0</v>
      </c>
      <c r="AH29" s="18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ca="1">IF(AH28=0,0,
IF(OR(AH28="",COUNTIF(AH28,"*保育無し*")),"",
IF(MOD(AH29-AH28,1)*24&gt;=8,1,
IF(MOD(AH29-AH28,1)*24&gt;=6,0.75,0))))</f>
        <v>0</v>
      </c>
      <c r="AJ29" s="18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ca="1">IF(AJ28=0,0,
IF(OR(AJ28="",COUNTIF(AJ28,"*保育無し*")),"",
IF(MOD(AJ29-AJ28,1)*24&gt;=8,1,
IF(MOD(AJ29-AJ28,1)*24&gt;=6,0.75,0))))</f>
        <v>0</v>
      </c>
      <c r="AL29" s="18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ca="1">IF(AL28=0,0,
IF(OR(AL28="",COUNTIF(AL28,"*保育無し*")),"",
IF(MOD(AL29-AL28,1)*24&gt;=8,1,
IF(MOD(AL29-AL28,1)*24&gt;=6,0.75,0))))</f>
        <v>0</v>
      </c>
      <c r="AN29" s="18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ca="1">IF(AN28=0,0,
IF(OR(AN28="",COUNTIF(AN28,"*保育無し*")),"",
IF(MOD(AN29-AN28,1)*24&gt;=8,1,
IF(MOD(AN29-AN28,1)*24&gt;=6,0.75,0))))</f>
        <v>0</v>
      </c>
      <c r="AP29" s="18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ca="1">IF(AP28=0,0,
IF(OR(AP28="",COUNTIF(AP28,"*保育無し*")),"",
IF(MOD(AP29-AP28,1)*24&gt;=8,1,
IF(MOD(AP29-AP28,1)*24&gt;=6,0.75,0))))</f>
        <v>0</v>
      </c>
      <c r="AR29" s="18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ca="1">IF(AR28=0,0,
IF(OR(AR28="",COUNTIF(AR28,"*保育無し*")),"",
IF(MOD(AR29-AR28,1)*24&gt;=8,1,
IF(MOD(AR29-AR28,1)*24&gt;=6,0.75,0))))</f>
        <v>0</v>
      </c>
      <c r="AT29" s="18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ca="1">IF(AT28=0,0,
IF(OR(AT28="",COUNTIF(AT28,"*保育無し*")),"",
IF(MOD(AT29-AT28,1)*24&gt;=8,1,
IF(MOD(AT29-AT28,1)*24&gt;=6,0.75,0))))</f>
        <v>0</v>
      </c>
      <c r="AV29" s="18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ca="1">IF(AV28=0,0,
IF(OR(AV28="",COUNTIF(AV28,"*保育無し*")),"",
IF(MOD(AV29-AV28,1)*24&gt;=8,1,
IF(MOD(AV29-AV28,1)*24&gt;=6,0.75,0))))</f>
        <v>0</v>
      </c>
      <c r="AX29" s="18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ca="1">IF(AX28=0,0,
IF(OR(AX28="",COUNTIF(AX28,"*保育無し*")),"",
IF(MOD(AX29-AX28,1)*24&gt;=8,1,
IF(MOD(AX29-AX28,1)*24&gt;=6,0.75,0))))</f>
        <v>0</v>
      </c>
      <c r="AZ29" s="18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ca="1">IF(AZ28=0,0,
IF(OR(AZ28="",COUNTIF(AZ28,"*保育無し*")),"",
IF(MOD(AZ29-AZ28,1)*24&gt;=8,1,
IF(MOD(AZ29-AZ28,1)*24&gt;=6,0.75,0))))</f>
        <v>0</v>
      </c>
      <c r="BB29" s="18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ca="1">IF(BB28=0,0,
IF(OR(BB28="",COUNTIF(BB28,"*保育無し*")),"",
IF(MOD(BB29-BB28,1)*24&gt;=8,1,
IF(MOD(BB29-BB28,1)*24&gt;=6,0.75,0))))</f>
        <v>0</v>
      </c>
      <c r="BD29" s="18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ca="1">IF(BD28=0,0,
IF(OR(BD28="",COUNTIF(BD28,"*保育無し*")),"",
IF(MOD(BD29-BD28,1)*24&gt;=8,1,
IF(MOD(BD29-BD28,1)*24&gt;=6,0.75,0))))</f>
        <v>0</v>
      </c>
      <c r="BF29" s="18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ca="1">IF(BF28=0,0,
IF(OR(BF28="",COUNTIF(BF28,"*保育無し*")),"",
IF(MOD(BF29-BF28,1)*24&gt;=8,1,
IF(MOD(BF29-BF28,1)*24&gt;=6,0.75,0))))</f>
        <v>0</v>
      </c>
      <c r="BH29" s="18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ca="1">IF(BH28=0,0,
IF(OR(BH28="",COUNTIF(BH28,"*保育無し*")),"",
IF(MOD(BH29-BH28,1)*24&gt;=8,1,
IF(MOD(BH29-BH28,1)*24&gt;=6,0.75,0))))</f>
        <v>0</v>
      </c>
      <c r="BJ29" s="18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ca="1">IF(BJ28=0,0,
IF(OR(BJ28="",COUNTIF(BJ28,"*保育無し*")),"",
IF(MOD(BJ29-BJ28,1)*24&gt;=8,1,
IF(MOD(BJ29-BJ28,1)*24&gt;=6,0.75,0))))</f>
        <v>0</v>
      </c>
      <c r="BL29" s="18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ca="1">IF(BL28=0,0,
IF(OR(BL28="",COUNTIF(BL28,"*保育無し*")),"",
IF(MOD(BL29-BL28,1)*24&gt;=8,1,
IF(MOD(BL29-BL28,1)*24&gt;=6,0.75,0))))</f>
        <v>0</v>
      </c>
      <c r="BN29" s="18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ca="1">IF(BN28=0,0,
IF(OR(BN28="",COUNTIF(BN28,"*保育無し*")),"",
IF(MOD(BN29-BN28,1)*24&gt;=8,1,
IF(MOD(BN29-BN28,1)*24&gt;=6,0.75,0))))</f>
        <v>0</v>
      </c>
      <c r="BP29" s="18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ca="1">IF(BP28=0,0,
IF(OR(BP28="",COUNTIF(BP28,"*保育無し*")),"",
IF(MOD(BP29-BP28,1)*24&gt;=8,1,
IF(MOD(BP29-BP28,1)*24&gt;=6,0.75,0))))</f>
        <v>0</v>
      </c>
      <c r="BR29" s="18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ca="1">IF(BR28=0,0,
IF(OR(BR28="",COUNTIF(BR28,"*保育無し*")),"",
IF(MOD(BR29-BR28,1)*24&gt;=8,1,
IF(MOD(BR29-BR28,1)*24&gt;=6,0.75,0))))</f>
        <v>0</v>
      </c>
      <c r="BT29" s="18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ca="1">IF(BT28=0,0,
IF(OR(BT28="",COUNTIF(BT28,"*保育無し*")),"",
IF(MOD(BT29-BT28,1)*24&gt;=8,1,
IF(MOD(BT29-BT28,1)*24&gt;=6,0.75,0))))</f>
        <v>0</v>
      </c>
      <c r="BV29" s="18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ca="1">IF(BV28=0,0,
IF(OR(BV28="",COUNTIF(BV28,"*保育無し*")),"",
IF(MOD(BV29-BV28,1)*24&gt;=8,1,
IF(MOD(BV29-BV28,1)*24&gt;=6,0.75,0))))</f>
        <v>0</v>
      </c>
      <c r="BX29" s="18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27" t="str">
        <f t="shared" si="2"/>
        <v/>
      </c>
      <c r="B30" s="30"/>
      <c r="C30" s="30" t="str">
        <f t="array" aca="1" ref="C30" ca="1">IF(B30&lt;&gt;"",INDIRECT("'シフト一覧（転載）'!B"&amp;MATCH(B30,'シフト一覧（転載）'!$A:$A,0)+1),"")</f>
        <v/>
      </c>
      <c r="D30" s="58" t="str">
        <f t="array" aca="1" ref="D30" ca="1">IF(B30&lt;&gt;"",INDIRECT("'シフト一覧（転載）'!B"&amp;MATCH(B30,'シフト一覧（転載）'!$A:$A,0)),"")</f>
        <v/>
      </c>
      <c r="E30" s="23" t="str">
        <f t="array" aca="1" ref="E30" ca="1">IF(B30&lt;&gt;"",INDIRECT("'シフト一覧（転載）'!E"&amp;MATCH(B30,'シフト一覧（転載）'!$A:$A,0)),"")</f>
        <v/>
      </c>
      <c r="F30" s="20" t="str">
        <f t="shared" ca="1" si="0"/>
        <v/>
      </c>
      <c r="G30" s="20" t="str">
        <f t="shared" si="3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4"/>
        <v/>
      </c>
      <c r="J30" s="20" t="str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37"/>
      <c r="L30" s="55"/>
      <c r="M30" s="88" t="str">
        <f t="array" ref="M3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89"/>
      <c r="O30" s="93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>
        <f t="array" ref="P30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>
        <f t="array" ref="Q30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2"/>
        <v/>
      </c>
      <c r="B31" s="30"/>
      <c r="C31" s="30" t="str">
        <f t="array" aca="1" ref="C31" ca="1">IF(B31&lt;&gt;"",INDIRECT("'シフト一覧（転載）'!B"&amp;MATCH(B31,'シフト一覧（転載）'!$A:$A,0)+1),"")</f>
        <v/>
      </c>
      <c r="D31" s="58" t="str">
        <f t="array" aca="1" ref="D31" ca="1">IF(B31&lt;&gt;"",INDIRECT("'シフト一覧（転載）'!B"&amp;MATCH(B31,'シフト一覧（転載）'!$A:$A,0)),"")</f>
        <v/>
      </c>
      <c r="E31" s="23" t="str">
        <f t="array" aca="1" ref="E31" ca="1">IF(B31&lt;&gt;"",INDIRECT("'シフト一覧（転載）'!E"&amp;MATCH(B31,'シフト一覧（転載）'!$A:$A,0)),"")</f>
        <v/>
      </c>
      <c r="F31" s="20" t="str">
        <f t="shared" ca="1" si="0"/>
        <v/>
      </c>
      <c r="G31" s="20" t="str">
        <f t="shared" si="3"/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4"/>
        <v/>
      </c>
      <c r="J31" s="20" t="str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37"/>
      <c r="L31" s="55"/>
      <c r="M31" s="90"/>
      <c r="N31" s="91"/>
      <c r="O31" s="94"/>
      <c r="P31" s="18">
        <f t="array" ref="P3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>IF(P30=0,0,
IF(OR(P30="",COUNTIF(P30,"*保育無し*")),"",
IF(MOD(P31-P30,1)*24&gt;=8,1,
IF(MOD(P31-P30,1)*24&gt;=6,0.75,0))))</f>
        <v>0</v>
      </c>
      <c r="R31" s="18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ca="1">IF(T30=0,0,
IF(OR(T30="",COUNTIF(T30,"*保育無し*")),"",
IF(MOD(T31-T30,1)*24&gt;=8,1,
IF(MOD(T31-T30,1)*24&gt;=6,0.75,0))))</f>
        <v>0</v>
      </c>
      <c r="V31" s="18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ca="1">IF(V30=0,0,
IF(OR(V30="",COUNTIF(V30,"*保育無し*")),"",
IF(MOD(V31-V30,1)*24&gt;=8,1,
IF(MOD(V31-V30,1)*24&gt;=6,0.75,0))))</f>
        <v>0</v>
      </c>
      <c r="X31" s="18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ca="1">IF(X30=0,0,
IF(OR(X30="",COUNTIF(X30,"*保育無し*")),"",
IF(MOD(X31-X30,1)*24&gt;=8,1,
IF(MOD(X31-X30,1)*24&gt;=6,0.75,0))))</f>
        <v>0</v>
      </c>
      <c r="Z31" s="18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ca="1">IF(Z30=0,0,
IF(OR(Z30="",COUNTIF(Z30,"*保育無し*")),"",
IF(MOD(Z31-Z30,1)*24&gt;=8,1,
IF(MOD(Z31-Z30,1)*24&gt;=6,0.75,0))))</f>
        <v>0</v>
      </c>
      <c r="AB31" s="18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ca="1">IF(AB30=0,0,
IF(OR(AB30="",COUNTIF(AB30,"*保育無し*")),"",
IF(MOD(AB31-AB30,1)*24&gt;=8,1,
IF(MOD(AB31-AB30,1)*24&gt;=6,0.75,0))))</f>
        <v>0</v>
      </c>
      <c r="AD31" s="18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ca="1">IF(AD30=0,0,
IF(OR(AD30="",COUNTIF(AD30,"*保育無し*")),"",
IF(MOD(AD31-AD30,1)*24&gt;=8,1,
IF(MOD(AD31-AD30,1)*24&gt;=6,0.75,0))))</f>
        <v>0</v>
      </c>
      <c r="AF31" s="18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ca="1">IF(AF30=0,0,
IF(OR(AF30="",COUNTIF(AF30,"*保育無し*")),"",
IF(MOD(AF31-AF30,1)*24&gt;=8,1,
IF(MOD(AF31-AF30,1)*24&gt;=6,0.75,0))))</f>
        <v>0</v>
      </c>
      <c r="AH31" s="18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ca="1">IF(AH30=0,0,
IF(OR(AH30="",COUNTIF(AH30,"*保育無し*")),"",
IF(MOD(AH31-AH30,1)*24&gt;=8,1,
IF(MOD(AH31-AH30,1)*24&gt;=6,0.75,0))))</f>
        <v>0</v>
      </c>
      <c r="AJ31" s="18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ca="1">IF(AJ30=0,0,
IF(OR(AJ30="",COUNTIF(AJ30,"*保育無し*")),"",
IF(MOD(AJ31-AJ30,1)*24&gt;=8,1,
IF(MOD(AJ31-AJ30,1)*24&gt;=6,0.75,0))))</f>
        <v>0</v>
      </c>
      <c r="AL31" s="18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ca="1">IF(AL30=0,0,
IF(OR(AL30="",COUNTIF(AL30,"*保育無し*")),"",
IF(MOD(AL31-AL30,1)*24&gt;=8,1,
IF(MOD(AL31-AL30,1)*24&gt;=6,0.75,0))))</f>
        <v>0</v>
      </c>
      <c r="AN31" s="18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ca="1">IF(AN30=0,0,
IF(OR(AN30="",COUNTIF(AN30,"*保育無し*")),"",
IF(MOD(AN31-AN30,1)*24&gt;=8,1,
IF(MOD(AN31-AN30,1)*24&gt;=6,0.75,0))))</f>
        <v>0</v>
      </c>
      <c r="AP31" s="18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ca="1">IF(AP30=0,0,
IF(OR(AP30="",COUNTIF(AP30,"*保育無し*")),"",
IF(MOD(AP31-AP30,1)*24&gt;=8,1,
IF(MOD(AP31-AP30,1)*24&gt;=6,0.75,0))))</f>
        <v>0</v>
      </c>
      <c r="AR31" s="18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ca="1">IF(AR30=0,0,
IF(OR(AR30="",COUNTIF(AR30,"*保育無し*")),"",
IF(MOD(AR31-AR30,1)*24&gt;=8,1,
IF(MOD(AR31-AR30,1)*24&gt;=6,0.75,0))))</f>
        <v>0</v>
      </c>
      <c r="AT31" s="18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ca="1">IF(AT30=0,0,
IF(OR(AT30="",COUNTIF(AT30,"*保育無し*")),"",
IF(MOD(AT31-AT30,1)*24&gt;=8,1,
IF(MOD(AT31-AT30,1)*24&gt;=6,0.75,0))))</f>
        <v>0</v>
      </c>
      <c r="AV31" s="18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ca="1">IF(AV30=0,0,
IF(OR(AV30="",COUNTIF(AV30,"*保育無し*")),"",
IF(MOD(AV31-AV30,1)*24&gt;=8,1,
IF(MOD(AV31-AV30,1)*24&gt;=6,0.75,0))))</f>
        <v>0</v>
      </c>
      <c r="AX31" s="18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ca="1">IF(AX30=0,0,
IF(OR(AX30="",COUNTIF(AX30,"*保育無し*")),"",
IF(MOD(AX31-AX30,1)*24&gt;=8,1,
IF(MOD(AX31-AX30,1)*24&gt;=6,0.75,0))))</f>
        <v>0</v>
      </c>
      <c r="AZ31" s="18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ca="1">IF(AZ30=0,0,
IF(OR(AZ30="",COUNTIF(AZ30,"*保育無し*")),"",
IF(MOD(AZ31-AZ30,1)*24&gt;=8,1,
IF(MOD(AZ31-AZ30,1)*24&gt;=6,0.75,0))))</f>
        <v>0</v>
      </c>
      <c r="BB31" s="18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ca="1">IF(BB30=0,0,
IF(OR(BB30="",COUNTIF(BB30,"*保育無し*")),"",
IF(MOD(BB31-BB30,1)*24&gt;=8,1,
IF(MOD(BB31-BB30,1)*24&gt;=6,0.75,0))))</f>
        <v>0</v>
      </c>
      <c r="BD31" s="18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ca="1">IF(BD30=0,0,
IF(OR(BD30="",COUNTIF(BD30,"*保育無し*")),"",
IF(MOD(BD31-BD30,1)*24&gt;=8,1,
IF(MOD(BD31-BD30,1)*24&gt;=6,0.75,0))))</f>
        <v>0</v>
      </c>
      <c r="BF31" s="18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ca="1">IF(BF30=0,0,
IF(OR(BF30="",COUNTIF(BF30,"*保育無し*")),"",
IF(MOD(BF31-BF30,1)*24&gt;=8,1,
IF(MOD(BF31-BF30,1)*24&gt;=6,0.75,0))))</f>
        <v>0</v>
      </c>
      <c r="BH31" s="18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ca="1">IF(BH30=0,0,
IF(OR(BH30="",COUNTIF(BH30,"*保育無し*")),"",
IF(MOD(BH31-BH30,1)*24&gt;=8,1,
IF(MOD(BH31-BH30,1)*24&gt;=6,0.75,0))))</f>
        <v>0</v>
      </c>
      <c r="BJ31" s="18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ca="1">IF(BJ30=0,0,
IF(OR(BJ30="",COUNTIF(BJ30,"*保育無し*")),"",
IF(MOD(BJ31-BJ30,1)*24&gt;=8,1,
IF(MOD(BJ31-BJ30,1)*24&gt;=6,0.75,0))))</f>
        <v>0</v>
      </c>
      <c r="BL31" s="18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ca="1">IF(BL30=0,0,
IF(OR(BL30="",COUNTIF(BL30,"*保育無し*")),"",
IF(MOD(BL31-BL30,1)*24&gt;=8,1,
IF(MOD(BL31-BL30,1)*24&gt;=6,0.75,0))))</f>
        <v>0</v>
      </c>
      <c r="BN31" s="18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ca="1">IF(BN30=0,0,
IF(OR(BN30="",COUNTIF(BN30,"*保育無し*")),"",
IF(MOD(BN31-BN30,1)*24&gt;=8,1,
IF(MOD(BN31-BN30,1)*24&gt;=6,0.75,0))))</f>
        <v>0</v>
      </c>
      <c r="BP31" s="18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ca="1">IF(BP30=0,0,
IF(OR(BP30="",COUNTIF(BP30,"*保育無し*")),"",
IF(MOD(BP31-BP30,1)*24&gt;=8,1,
IF(MOD(BP31-BP30,1)*24&gt;=6,0.75,0))))</f>
        <v>0</v>
      </c>
      <c r="BR31" s="18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ca="1">IF(BR30=0,0,
IF(OR(BR30="",COUNTIF(BR30,"*保育無し*")),"",
IF(MOD(BR31-BR30,1)*24&gt;=8,1,
IF(MOD(BR31-BR30,1)*24&gt;=6,0.75,0))))</f>
        <v>0</v>
      </c>
      <c r="BT31" s="18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ca="1">IF(BT30=0,0,
IF(OR(BT30="",COUNTIF(BT30,"*保育無し*")),"",
IF(MOD(BT31-BT30,1)*24&gt;=8,1,
IF(MOD(BT31-BT30,1)*24&gt;=6,0.75,0))))</f>
        <v>0</v>
      </c>
      <c r="BV31" s="18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ca="1">IF(BV30=0,0,
IF(OR(BV30="",COUNTIF(BV30,"*保育無し*")),"",
IF(MOD(BV31-BV30,1)*24&gt;=8,1,
IF(MOD(BV31-BV30,1)*24&gt;=6,0.75,0))))</f>
        <v>0</v>
      </c>
      <c r="BX31" s="18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27" t="str">
        <f t="shared" si="2"/>
        <v/>
      </c>
      <c r="B32" s="30"/>
      <c r="C32" s="30" t="str">
        <f t="array" aca="1" ref="C32" ca="1">IF(B32&lt;&gt;"",INDIRECT("'シフト一覧（転載）'!B"&amp;MATCH(B32,'シフト一覧（転載）'!$A:$A,0)+1),"")</f>
        <v/>
      </c>
      <c r="D32" s="58" t="str">
        <f t="array" aca="1" ref="D32" ca="1">IF(B32&lt;&gt;"",INDIRECT("'シフト一覧（転載）'!B"&amp;MATCH(B32,'シフト一覧（転載）'!$A:$A,0)),"")</f>
        <v/>
      </c>
      <c r="E32" s="23" t="str">
        <f t="array" aca="1" ref="E32" ca="1">IF(B32&lt;&gt;"",INDIRECT("'シフト一覧（転載）'!E"&amp;MATCH(B32,'シフト一覧（転載）'!$A:$A,0)),"")</f>
        <v/>
      </c>
      <c r="F32" s="20" t="str">
        <f t="shared" ca="1" si="0"/>
        <v/>
      </c>
      <c r="G32" s="20" t="str">
        <f t="shared" si="3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4"/>
        <v/>
      </c>
      <c r="J32" s="20" t="str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37"/>
      <c r="L32" s="55"/>
      <c r="M32" s="88" t="str">
        <f t="array" ref="M3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89"/>
      <c r="O32" s="93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>
        <f t="array" ref="P32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>
        <f t="array" ref="Q32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2"/>
        <v/>
      </c>
      <c r="B33" s="30"/>
      <c r="C33" s="30" t="str">
        <f t="array" aca="1" ref="C33" ca="1">IF(B33&lt;&gt;"",INDIRECT("'シフト一覧（転載）'!B"&amp;MATCH(B33,'シフト一覧（転載）'!$A:$A,0)+1),"")</f>
        <v/>
      </c>
      <c r="D33" s="58" t="str">
        <f t="array" aca="1" ref="D33" ca="1">IF(B33&lt;&gt;"",INDIRECT("'シフト一覧（転載）'!B"&amp;MATCH(B33,'シフト一覧（転載）'!$A:$A,0)),"")</f>
        <v/>
      </c>
      <c r="E33" s="23" t="str">
        <f t="array" aca="1" ref="E33" ca="1">IF(B33&lt;&gt;"",INDIRECT("'シフト一覧（転載）'!E"&amp;MATCH(B33,'シフト一覧（転載）'!$A:$A,0)),"")</f>
        <v/>
      </c>
      <c r="F33" s="20" t="str">
        <f t="shared" ca="1" si="0"/>
        <v/>
      </c>
      <c r="G33" s="20" t="str">
        <f t="shared" si="3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4"/>
        <v/>
      </c>
      <c r="J33" s="20" t="str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37"/>
      <c r="L33" s="55"/>
      <c r="M33" s="90"/>
      <c r="N33" s="91"/>
      <c r="O33" s="94"/>
      <c r="P33" s="18">
        <f t="array" ref="P33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>IF(P32=0,0,
IF(OR(P32="",COUNTIF(P32,"*保育無し*")),"",
IF(MOD(P33-P32,1)*24&gt;=8,1,
IF(MOD(P33-P32,1)*24&gt;=6,0.75,0))))</f>
        <v>0</v>
      </c>
      <c r="R33" s="18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ca="1">IF(T32=0,0,
IF(OR(T32="",COUNTIF(T32,"*保育無し*")),"",
IF(MOD(T33-T32,1)*24&gt;=8,1,
IF(MOD(T33-T32,1)*24&gt;=6,0.75,0))))</f>
        <v>0</v>
      </c>
      <c r="V33" s="18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ca="1">IF(V32=0,0,
IF(OR(V32="",COUNTIF(V32,"*保育無し*")),"",
IF(MOD(V33-V32,1)*24&gt;=8,1,
IF(MOD(V33-V32,1)*24&gt;=6,0.75,0))))</f>
        <v>0</v>
      </c>
      <c r="X33" s="18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ca="1">IF(X32=0,0,
IF(OR(X32="",COUNTIF(X32,"*保育無し*")),"",
IF(MOD(X33-X32,1)*24&gt;=8,1,
IF(MOD(X33-X32,1)*24&gt;=6,0.75,0))))</f>
        <v>0</v>
      </c>
      <c r="Z33" s="18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ca="1">IF(Z32=0,0,
IF(OR(Z32="",COUNTIF(Z32,"*保育無し*")),"",
IF(MOD(Z33-Z32,1)*24&gt;=8,1,
IF(MOD(Z33-Z32,1)*24&gt;=6,0.75,0))))</f>
        <v>0</v>
      </c>
      <c r="AB33" s="18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ca="1">IF(AB32=0,0,
IF(OR(AB32="",COUNTIF(AB32,"*保育無し*")),"",
IF(MOD(AB33-AB32,1)*24&gt;=8,1,
IF(MOD(AB33-AB32,1)*24&gt;=6,0.75,0))))</f>
        <v>0</v>
      </c>
      <c r="AD33" s="18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ca="1">IF(AD32=0,0,
IF(OR(AD32="",COUNTIF(AD32,"*保育無し*")),"",
IF(MOD(AD33-AD32,1)*24&gt;=8,1,
IF(MOD(AD33-AD32,1)*24&gt;=6,0.75,0))))</f>
        <v>0</v>
      </c>
      <c r="AF33" s="18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ca="1">IF(AF32=0,0,
IF(OR(AF32="",COUNTIF(AF32,"*保育無し*")),"",
IF(MOD(AF33-AF32,1)*24&gt;=8,1,
IF(MOD(AF33-AF32,1)*24&gt;=6,0.75,0))))</f>
        <v>0</v>
      </c>
      <c r="AH33" s="18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ca="1">IF(AH32=0,0,
IF(OR(AH32="",COUNTIF(AH32,"*保育無し*")),"",
IF(MOD(AH33-AH32,1)*24&gt;=8,1,
IF(MOD(AH33-AH32,1)*24&gt;=6,0.75,0))))</f>
        <v>0</v>
      </c>
      <c r="AJ33" s="18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ca="1">IF(AJ32=0,0,
IF(OR(AJ32="",COUNTIF(AJ32,"*保育無し*")),"",
IF(MOD(AJ33-AJ32,1)*24&gt;=8,1,
IF(MOD(AJ33-AJ32,1)*24&gt;=6,0.75,0))))</f>
        <v>0</v>
      </c>
      <c r="AL33" s="18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ca="1">IF(AL32=0,0,
IF(OR(AL32="",COUNTIF(AL32,"*保育無し*")),"",
IF(MOD(AL33-AL32,1)*24&gt;=8,1,
IF(MOD(AL33-AL32,1)*24&gt;=6,0.75,0))))</f>
        <v>0</v>
      </c>
      <c r="AN33" s="18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ca="1">IF(AN32=0,0,
IF(OR(AN32="",COUNTIF(AN32,"*保育無し*")),"",
IF(MOD(AN33-AN32,1)*24&gt;=8,1,
IF(MOD(AN33-AN32,1)*24&gt;=6,0.75,0))))</f>
        <v>0</v>
      </c>
      <c r="AP33" s="18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ca="1">IF(AP32=0,0,
IF(OR(AP32="",COUNTIF(AP32,"*保育無し*")),"",
IF(MOD(AP33-AP32,1)*24&gt;=8,1,
IF(MOD(AP33-AP32,1)*24&gt;=6,0.75,0))))</f>
        <v>0</v>
      </c>
      <c r="AR33" s="18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ca="1">IF(AR32=0,0,
IF(OR(AR32="",COUNTIF(AR32,"*保育無し*")),"",
IF(MOD(AR33-AR32,1)*24&gt;=8,1,
IF(MOD(AR33-AR32,1)*24&gt;=6,0.75,0))))</f>
        <v>0</v>
      </c>
      <c r="AT33" s="18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ca="1">IF(AT32=0,0,
IF(OR(AT32="",COUNTIF(AT32,"*保育無し*")),"",
IF(MOD(AT33-AT32,1)*24&gt;=8,1,
IF(MOD(AT33-AT32,1)*24&gt;=6,0.75,0))))</f>
        <v>0</v>
      </c>
      <c r="AV33" s="18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ca="1">IF(AV32=0,0,
IF(OR(AV32="",COUNTIF(AV32,"*保育無し*")),"",
IF(MOD(AV33-AV32,1)*24&gt;=8,1,
IF(MOD(AV33-AV32,1)*24&gt;=6,0.75,0))))</f>
        <v>0</v>
      </c>
      <c r="AX33" s="18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ca="1">IF(AX32=0,0,
IF(OR(AX32="",COUNTIF(AX32,"*保育無し*")),"",
IF(MOD(AX33-AX32,1)*24&gt;=8,1,
IF(MOD(AX33-AX32,1)*24&gt;=6,0.75,0))))</f>
        <v>0</v>
      </c>
      <c r="AZ33" s="18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ca="1">IF(AZ32=0,0,
IF(OR(AZ32="",COUNTIF(AZ32,"*保育無し*")),"",
IF(MOD(AZ33-AZ32,1)*24&gt;=8,1,
IF(MOD(AZ33-AZ32,1)*24&gt;=6,0.75,0))))</f>
        <v>0</v>
      </c>
      <c r="BB33" s="18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ca="1">IF(BB32=0,0,
IF(OR(BB32="",COUNTIF(BB32,"*保育無し*")),"",
IF(MOD(BB33-BB32,1)*24&gt;=8,1,
IF(MOD(BB33-BB32,1)*24&gt;=6,0.75,0))))</f>
        <v>0</v>
      </c>
      <c r="BD33" s="18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ca="1">IF(BD32=0,0,
IF(OR(BD32="",COUNTIF(BD32,"*保育無し*")),"",
IF(MOD(BD33-BD32,1)*24&gt;=8,1,
IF(MOD(BD33-BD32,1)*24&gt;=6,0.75,0))))</f>
        <v>0</v>
      </c>
      <c r="BF33" s="18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ca="1">IF(BF32=0,0,
IF(OR(BF32="",COUNTIF(BF32,"*保育無し*")),"",
IF(MOD(BF33-BF32,1)*24&gt;=8,1,
IF(MOD(BF33-BF32,1)*24&gt;=6,0.75,0))))</f>
        <v>0</v>
      </c>
      <c r="BH33" s="18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ca="1">IF(BH32=0,0,
IF(OR(BH32="",COUNTIF(BH32,"*保育無し*")),"",
IF(MOD(BH33-BH32,1)*24&gt;=8,1,
IF(MOD(BH33-BH32,1)*24&gt;=6,0.75,0))))</f>
        <v>0</v>
      </c>
      <c r="BJ33" s="18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ca="1">IF(BJ32=0,0,
IF(OR(BJ32="",COUNTIF(BJ32,"*保育無し*")),"",
IF(MOD(BJ33-BJ32,1)*24&gt;=8,1,
IF(MOD(BJ33-BJ32,1)*24&gt;=6,0.75,0))))</f>
        <v>0</v>
      </c>
      <c r="BL33" s="18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ca="1">IF(BL32=0,0,
IF(OR(BL32="",COUNTIF(BL32,"*保育無し*")),"",
IF(MOD(BL33-BL32,1)*24&gt;=8,1,
IF(MOD(BL33-BL32,1)*24&gt;=6,0.75,0))))</f>
        <v>0</v>
      </c>
      <c r="BN33" s="18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ca="1">IF(BN32=0,0,
IF(OR(BN32="",COUNTIF(BN32,"*保育無し*")),"",
IF(MOD(BN33-BN32,1)*24&gt;=8,1,
IF(MOD(BN33-BN32,1)*24&gt;=6,0.75,0))))</f>
        <v>0</v>
      </c>
      <c r="BP33" s="18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ca="1">IF(BP32=0,0,
IF(OR(BP32="",COUNTIF(BP32,"*保育無し*")),"",
IF(MOD(BP33-BP32,1)*24&gt;=8,1,
IF(MOD(BP33-BP32,1)*24&gt;=6,0.75,0))))</f>
        <v>0</v>
      </c>
      <c r="BR33" s="18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ca="1">IF(BR32=0,0,
IF(OR(BR32="",COUNTIF(BR32,"*保育無し*")),"",
IF(MOD(BR33-BR32,1)*24&gt;=8,1,
IF(MOD(BR33-BR32,1)*24&gt;=6,0.75,0))))</f>
        <v>0</v>
      </c>
      <c r="BT33" s="18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ca="1">IF(BT32=0,0,
IF(OR(BT32="",COUNTIF(BT32,"*保育無し*")),"",
IF(MOD(BT33-BT32,1)*24&gt;=8,1,
IF(MOD(BT33-BT32,1)*24&gt;=6,0.75,0))))</f>
        <v>0</v>
      </c>
      <c r="BV33" s="18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ca="1">IF(BV32=0,0,
IF(OR(BV32="",COUNTIF(BV32,"*保育無し*")),"",
IF(MOD(BV33-BV32,1)*24&gt;=8,1,
IF(MOD(BV33-BV32,1)*24&gt;=6,0.75,0))))</f>
        <v>0</v>
      </c>
      <c r="BX33" s="18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27" t="str">
        <f t="shared" si="2"/>
        <v/>
      </c>
      <c r="B34" s="30"/>
      <c r="C34" s="30" t="str">
        <f t="array" aca="1" ref="C34" ca="1">IF(B34&lt;&gt;"",INDIRECT("'シフト一覧（転載）'!B"&amp;MATCH(B34,'シフト一覧（転載）'!$A:$A,0)+1),"")</f>
        <v/>
      </c>
      <c r="D34" s="58" t="str">
        <f t="array" aca="1" ref="D34" ca="1">IF(B34&lt;&gt;"",INDIRECT("'シフト一覧（転載）'!B"&amp;MATCH(B34,'シフト一覧（転載）'!$A:$A,0)),"")</f>
        <v/>
      </c>
      <c r="E34" s="23" t="str">
        <f t="array" aca="1" ref="E34" ca="1">IF(B34&lt;&gt;"",INDIRECT("'シフト一覧（転載）'!E"&amp;MATCH(B34,'シフト一覧（転載）'!$A:$A,0)),"")</f>
        <v/>
      </c>
      <c r="F34" s="20" t="str">
        <f t="shared" ca="1" si="0"/>
        <v/>
      </c>
      <c r="G34" s="20" t="str">
        <f t="shared" si="3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4"/>
        <v/>
      </c>
      <c r="J34" s="20" t="str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37"/>
      <c r="L34" s="55"/>
      <c r="M34" s="88" t="str">
        <f t="array" ref="M3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89"/>
      <c r="O34" s="93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>
        <f t="array" ref="P34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>
        <f t="array" ref="Q34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2"/>
        <v/>
      </c>
      <c r="B35" s="30"/>
      <c r="C35" s="30" t="str">
        <f t="array" aca="1" ref="C35" ca="1">IF(B35&lt;&gt;"",INDIRECT("'シフト一覧（転載）'!B"&amp;MATCH(B35,'シフト一覧（転載）'!$A:$A,0)+1),"")</f>
        <v/>
      </c>
      <c r="D35" s="58" t="str">
        <f t="array" aca="1" ref="D35" ca="1">IF(B35&lt;&gt;"",INDIRECT("'シフト一覧（転載）'!B"&amp;MATCH(B35,'シフト一覧（転載）'!$A:$A,0)),"")</f>
        <v/>
      </c>
      <c r="E35" s="23" t="str">
        <f t="array" aca="1" ref="E35" ca="1">IF(B35&lt;&gt;"",INDIRECT("'シフト一覧（転載）'!E"&amp;MATCH(B35,'シフト一覧（転載）'!$A:$A,0)),"")</f>
        <v/>
      </c>
      <c r="F35" s="20" t="str">
        <f t="shared" ca="1" si="0"/>
        <v/>
      </c>
      <c r="G35" s="20" t="str">
        <f t="shared" si="3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4"/>
        <v/>
      </c>
      <c r="J35" s="20" t="str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37"/>
      <c r="L35" s="55"/>
      <c r="M35" s="90"/>
      <c r="N35" s="91"/>
      <c r="O35" s="94"/>
      <c r="P35" s="18">
        <f t="array" ref="P35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>IF(P34=0,0,
IF(OR(P34="",COUNTIF(P34,"*保育無し*")),"",
IF(MOD(P35-P34,1)*24&gt;=8,1,
IF(MOD(P35-P34,1)*24&gt;=6,0.75,0))))</f>
        <v>0</v>
      </c>
      <c r="R35" s="18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ca="1">IF(T34=0,0,
IF(OR(T34="",COUNTIF(T34,"*保育無し*")),"",
IF(MOD(T35-T34,1)*24&gt;=8,1,
IF(MOD(T35-T34,1)*24&gt;=6,0.75,0))))</f>
        <v>0</v>
      </c>
      <c r="V35" s="18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ca="1">IF(V34=0,0,
IF(OR(V34="",COUNTIF(V34,"*保育無し*")),"",
IF(MOD(V35-V34,1)*24&gt;=8,1,
IF(MOD(V35-V34,1)*24&gt;=6,0.75,0))))</f>
        <v>0</v>
      </c>
      <c r="X35" s="18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ca="1">IF(X34=0,0,
IF(OR(X34="",COUNTIF(X34,"*保育無し*")),"",
IF(MOD(X35-X34,1)*24&gt;=8,1,
IF(MOD(X35-X34,1)*24&gt;=6,0.75,0))))</f>
        <v>0</v>
      </c>
      <c r="Z35" s="18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ca="1">IF(Z34=0,0,
IF(OR(Z34="",COUNTIF(Z34,"*保育無し*")),"",
IF(MOD(Z35-Z34,1)*24&gt;=8,1,
IF(MOD(Z35-Z34,1)*24&gt;=6,0.75,0))))</f>
        <v>0</v>
      </c>
      <c r="AB35" s="18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ca="1">IF(AB34=0,0,
IF(OR(AB34="",COUNTIF(AB34,"*保育無し*")),"",
IF(MOD(AB35-AB34,1)*24&gt;=8,1,
IF(MOD(AB35-AB34,1)*24&gt;=6,0.75,0))))</f>
        <v>0</v>
      </c>
      <c r="AD35" s="18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ca="1">IF(AD34=0,0,
IF(OR(AD34="",COUNTIF(AD34,"*保育無し*")),"",
IF(MOD(AD35-AD34,1)*24&gt;=8,1,
IF(MOD(AD35-AD34,1)*24&gt;=6,0.75,0))))</f>
        <v>0</v>
      </c>
      <c r="AF35" s="18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ca="1">IF(AF34=0,0,
IF(OR(AF34="",COUNTIF(AF34,"*保育無し*")),"",
IF(MOD(AF35-AF34,1)*24&gt;=8,1,
IF(MOD(AF35-AF34,1)*24&gt;=6,0.75,0))))</f>
        <v>0</v>
      </c>
      <c r="AH35" s="18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ca="1">IF(AH34=0,0,
IF(OR(AH34="",COUNTIF(AH34,"*保育無し*")),"",
IF(MOD(AH35-AH34,1)*24&gt;=8,1,
IF(MOD(AH35-AH34,1)*24&gt;=6,0.75,0))))</f>
        <v>0</v>
      </c>
      <c r="AJ35" s="18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ca="1">IF(AJ34=0,0,
IF(OR(AJ34="",COUNTIF(AJ34,"*保育無し*")),"",
IF(MOD(AJ35-AJ34,1)*24&gt;=8,1,
IF(MOD(AJ35-AJ34,1)*24&gt;=6,0.75,0))))</f>
        <v>0</v>
      </c>
      <c r="AL35" s="18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ca="1">IF(AL34=0,0,
IF(OR(AL34="",COUNTIF(AL34,"*保育無し*")),"",
IF(MOD(AL35-AL34,1)*24&gt;=8,1,
IF(MOD(AL35-AL34,1)*24&gt;=6,0.75,0))))</f>
        <v>0</v>
      </c>
      <c r="AN35" s="18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ca="1">IF(AN34=0,0,
IF(OR(AN34="",COUNTIF(AN34,"*保育無し*")),"",
IF(MOD(AN35-AN34,1)*24&gt;=8,1,
IF(MOD(AN35-AN34,1)*24&gt;=6,0.75,0))))</f>
        <v>0</v>
      </c>
      <c r="AP35" s="18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ca="1">IF(AP34=0,0,
IF(OR(AP34="",COUNTIF(AP34,"*保育無し*")),"",
IF(MOD(AP35-AP34,1)*24&gt;=8,1,
IF(MOD(AP35-AP34,1)*24&gt;=6,0.75,0))))</f>
        <v>0</v>
      </c>
      <c r="AR35" s="18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ca="1">IF(AR34=0,0,
IF(OR(AR34="",COUNTIF(AR34,"*保育無し*")),"",
IF(MOD(AR35-AR34,1)*24&gt;=8,1,
IF(MOD(AR35-AR34,1)*24&gt;=6,0.75,0))))</f>
        <v>0</v>
      </c>
      <c r="AT35" s="18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ca="1">IF(AT34=0,0,
IF(OR(AT34="",COUNTIF(AT34,"*保育無し*")),"",
IF(MOD(AT35-AT34,1)*24&gt;=8,1,
IF(MOD(AT35-AT34,1)*24&gt;=6,0.75,0))))</f>
        <v>0</v>
      </c>
      <c r="AV35" s="18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ca="1">IF(AV34=0,0,
IF(OR(AV34="",COUNTIF(AV34,"*保育無し*")),"",
IF(MOD(AV35-AV34,1)*24&gt;=8,1,
IF(MOD(AV35-AV34,1)*24&gt;=6,0.75,0))))</f>
        <v>0</v>
      </c>
      <c r="AX35" s="18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ca="1">IF(AX34=0,0,
IF(OR(AX34="",COUNTIF(AX34,"*保育無し*")),"",
IF(MOD(AX35-AX34,1)*24&gt;=8,1,
IF(MOD(AX35-AX34,1)*24&gt;=6,0.75,0))))</f>
        <v>0</v>
      </c>
      <c r="AZ35" s="18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ca="1">IF(AZ34=0,0,
IF(OR(AZ34="",COUNTIF(AZ34,"*保育無し*")),"",
IF(MOD(AZ35-AZ34,1)*24&gt;=8,1,
IF(MOD(AZ35-AZ34,1)*24&gt;=6,0.75,0))))</f>
        <v>0</v>
      </c>
      <c r="BB35" s="18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ca="1">IF(BB34=0,0,
IF(OR(BB34="",COUNTIF(BB34,"*保育無し*")),"",
IF(MOD(BB35-BB34,1)*24&gt;=8,1,
IF(MOD(BB35-BB34,1)*24&gt;=6,0.75,0))))</f>
        <v>0</v>
      </c>
      <c r="BD35" s="18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ca="1">IF(BD34=0,0,
IF(OR(BD34="",COUNTIF(BD34,"*保育無し*")),"",
IF(MOD(BD35-BD34,1)*24&gt;=8,1,
IF(MOD(BD35-BD34,1)*24&gt;=6,0.75,0))))</f>
        <v>0</v>
      </c>
      <c r="BF35" s="18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ca="1">IF(BF34=0,0,
IF(OR(BF34="",COUNTIF(BF34,"*保育無し*")),"",
IF(MOD(BF35-BF34,1)*24&gt;=8,1,
IF(MOD(BF35-BF34,1)*24&gt;=6,0.75,0))))</f>
        <v>0</v>
      </c>
      <c r="BH35" s="18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ca="1">IF(BH34=0,0,
IF(OR(BH34="",COUNTIF(BH34,"*保育無し*")),"",
IF(MOD(BH35-BH34,1)*24&gt;=8,1,
IF(MOD(BH35-BH34,1)*24&gt;=6,0.75,0))))</f>
        <v>0</v>
      </c>
      <c r="BJ35" s="18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ca="1">IF(BJ34=0,0,
IF(OR(BJ34="",COUNTIF(BJ34,"*保育無し*")),"",
IF(MOD(BJ35-BJ34,1)*24&gt;=8,1,
IF(MOD(BJ35-BJ34,1)*24&gt;=6,0.75,0))))</f>
        <v>0</v>
      </c>
      <c r="BL35" s="18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ca="1">IF(BL34=0,0,
IF(OR(BL34="",COUNTIF(BL34,"*保育無し*")),"",
IF(MOD(BL35-BL34,1)*24&gt;=8,1,
IF(MOD(BL35-BL34,1)*24&gt;=6,0.75,0))))</f>
        <v>0</v>
      </c>
      <c r="BN35" s="18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ca="1">IF(BN34=0,0,
IF(OR(BN34="",COUNTIF(BN34,"*保育無し*")),"",
IF(MOD(BN35-BN34,1)*24&gt;=8,1,
IF(MOD(BN35-BN34,1)*24&gt;=6,0.75,0))))</f>
        <v>0</v>
      </c>
      <c r="BP35" s="18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ca="1">IF(BP34=0,0,
IF(OR(BP34="",COUNTIF(BP34,"*保育無し*")),"",
IF(MOD(BP35-BP34,1)*24&gt;=8,1,
IF(MOD(BP35-BP34,1)*24&gt;=6,0.75,0))))</f>
        <v>0</v>
      </c>
      <c r="BR35" s="18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ca="1">IF(BR34=0,0,
IF(OR(BR34="",COUNTIF(BR34,"*保育無し*")),"",
IF(MOD(BR35-BR34,1)*24&gt;=8,1,
IF(MOD(BR35-BR34,1)*24&gt;=6,0.75,0))))</f>
        <v>0</v>
      </c>
      <c r="BT35" s="18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ca="1">IF(BT34=0,0,
IF(OR(BT34="",COUNTIF(BT34,"*保育無し*")),"",
IF(MOD(BT35-BT34,1)*24&gt;=8,1,
IF(MOD(BT35-BT34,1)*24&gt;=6,0.75,0))))</f>
        <v>0</v>
      </c>
      <c r="BV35" s="18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ca="1">IF(BV34=0,0,
IF(OR(BV34="",COUNTIF(BV34,"*保育無し*")),"",
IF(MOD(BV35-BV34,1)*24&gt;=8,1,
IF(MOD(BV35-BV34,1)*24&gt;=6,0.75,0))))</f>
        <v>0</v>
      </c>
      <c r="BX35" s="18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27" t="str">
        <f t="shared" si="2"/>
        <v/>
      </c>
      <c r="B36" s="30"/>
      <c r="C36" s="30" t="str">
        <f t="array" aca="1" ref="C36" ca="1">IF(B36&lt;&gt;"",INDIRECT("'シフト一覧（転載）'!B"&amp;MATCH(B36,'シフト一覧（転載）'!$A:$A,0)+1),"")</f>
        <v/>
      </c>
      <c r="D36" s="58" t="str">
        <f t="array" aca="1" ref="D36" ca="1">IF(B36&lt;&gt;"",INDIRECT("'シフト一覧（転載）'!B"&amp;MATCH(B36,'シフト一覧（転載）'!$A:$A,0)),"")</f>
        <v/>
      </c>
      <c r="E36" s="23" t="str">
        <f t="array" aca="1" ref="E36" ca="1">IF(B36&lt;&gt;"",INDIRECT("'シフト一覧（転載）'!E"&amp;MATCH(B36,'シフト一覧（転載）'!$A:$A,0)),"")</f>
        <v/>
      </c>
      <c r="F36" s="20" t="str">
        <f t="shared" ca="1" si="0"/>
        <v/>
      </c>
      <c r="G36" s="20" t="str">
        <f t="shared" si="3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4"/>
        <v/>
      </c>
      <c r="J36" s="20" t="str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37"/>
      <c r="L36" s="55"/>
      <c r="M36" s="88" t="str">
        <f t="array" ref="M3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89"/>
      <c r="O36" s="93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>
        <f t="array" ref="P36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>
        <f t="array" ref="Q36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2"/>
        <v/>
      </c>
      <c r="B37" s="30"/>
      <c r="C37" s="30" t="str">
        <f t="array" aca="1" ref="C37" ca="1">IF(B37&lt;&gt;"",INDIRECT("'シフト一覧（転載）'!B"&amp;MATCH(B37,'シフト一覧（転載）'!$A:$A,0)+1),"")</f>
        <v/>
      </c>
      <c r="D37" s="58" t="str">
        <f t="array" aca="1" ref="D37" ca="1">IF(B37&lt;&gt;"",INDIRECT("'シフト一覧（転載）'!B"&amp;MATCH(B37,'シフト一覧（転載）'!$A:$A,0)),"")</f>
        <v/>
      </c>
      <c r="E37" s="23" t="str">
        <f t="array" aca="1" ref="E37" ca="1">IF(B37&lt;&gt;"",INDIRECT("'シフト一覧（転載）'!E"&amp;MATCH(B37,'シフト一覧（転載）'!$A:$A,0)),"")</f>
        <v/>
      </c>
      <c r="F37" s="20" t="str">
        <f t="shared" ca="1" si="0"/>
        <v/>
      </c>
      <c r="G37" s="20" t="str">
        <f t="shared" si="3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4"/>
        <v/>
      </c>
      <c r="J37" s="20" t="str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37"/>
      <c r="L37" s="55"/>
      <c r="M37" s="90"/>
      <c r="N37" s="91"/>
      <c r="O37" s="94"/>
      <c r="P37" s="18">
        <f t="array" ref="P37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>IF(P36=0,0,
IF(OR(P36="",COUNTIF(P36,"*保育無し*")),"",
IF(MOD(P37-P36,1)*24&gt;=8,1,
IF(MOD(P37-P36,1)*24&gt;=6,0.75,0))))</f>
        <v>0</v>
      </c>
      <c r="R37" s="18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ca="1">IF(T36=0,0,
IF(OR(T36="",COUNTIF(T36,"*保育無し*")),"",
IF(MOD(T37-T36,1)*24&gt;=8,1,
IF(MOD(T37-T36,1)*24&gt;=6,0.75,0))))</f>
        <v>0</v>
      </c>
      <c r="V37" s="18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ca="1">IF(V36=0,0,
IF(OR(V36="",COUNTIF(V36,"*保育無し*")),"",
IF(MOD(V37-V36,1)*24&gt;=8,1,
IF(MOD(V37-V36,1)*24&gt;=6,0.75,0))))</f>
        <v>0</v>
      </c>
      <c r="X37" s="18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ca="1">IF(X36=0,0,
IF(OR(X36="",COUNTIF(X36,"*保育無し*")),"",
IF(MOD(X37-X36,1)*24&gt;=8,1,
IF(MOD(X37-X36,1)*24&gt;=6,0.75,0))))</f>
        <v>0</v>
      </c>
      <c r="Z37" s="18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ca="1">IF(Z36=0,0,
IF(OR(Z36="",COUNTIF(Z36,"*保育無し*")),"",
IF(MOD(Z37-Z36,1)*24&gt;=8,1,
IF(MOD(Z37-Z36,1)*24&gt;=6,0.75,0))))</f>
        <v>0</v>
      </c>
      <c r="AB37" s="18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ca="1">IF(AB36=0,0,
IF(OR(AB36="",COUNTIF(AB36,"*保育無し*")),"",
IF(MOD(AB37-AB36,1)*24&gt;=8,1,
IF(MOD(AB37-AB36,1)*24&gt;=6,0.75,0))))</f>
        <v>0</v>
      </c>
      <c r="AD37" s="18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ca="1">IF(AD36=0,0,
IF(OR(AD36="",COUNTIF(AD36,"*保育無し*")),"",
IF(MOD(AD37-AD36,1)*24&gt;=8,1,
IF(MOD(AD37-AD36,1)*24&gt;=6,0.75,0))))</f>
        <v>0</v>
      </c>
      <c r="AF37" s="18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ca="1">IF(AF36=0,0,
IF(OR(AF36="",COUNTIF(AF36,"*保育無し*")),"",
IF(MOD(AF37-AF36,1)*24&gt;=8,1,
IF(MOD(AF37-AF36,1)*24&gt;=6,0.75,0))))</f>
        <v>0</v>
      </c>
      <c r="AH37" s="18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ca="1">IF(AH36=0,0,
IF(OR(AH36="",COUNTIF(AH36,"*保育無し*")),"",
IF(MOD(AH37-AH36,1)*24&gt;=8,1,
IF(MOD(AH37-AH36,1)*24&gt;=6,0.75,0))))</f>
        <v>0</v>
      </c>
      <c r="AJ37" s="18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ca="1">IF(AJ36=0,0,
IF(OR(AJ36="",COUNTIF(AJ36,"*保育無し*")),"",
IF(MOD(AJ37-AJ36,1)*24&gt;=8,1,
IF(MOD(AJ37-AJ36,1)*24&gt;=6,0.75,0))))</f>
        <v>0</v>
      </c>
      <c r="AL37" s="18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ca="1">IF(AL36=0,0,
IF(OR(AL36="",COUNTIF(AL36,"*保育無し*")),"",
IF(MOD(AL37-AL36,1)*24&gt;=8,1,
IF(MOD(AL37-AL36,1)*24&gt;=6,0.75,0))))</f>
        <v>0</v>
      </c>
      <c r="AN37" s="18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ca="1">IF(AN36=0,0,
IF(OR(AN36="",COUNTIF(AN36,"*保育無し*")),"",
IF(MOD(AN37-AN36,1)*24&gt;=8,1,
IF(MOD(AN37-AN36,1)*24&gt;=6,0.75,0))))</f>
        <v>0</v>
      </c>
      <c r="AP37" s="18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ca="1">IF(AP36=0,0,
IF(OR(AP36="",COUNTIF(AP36,"*保育無し*")),"",
IF(MOD(AP37-AP36,1)*24&gt;=8,1,
IF(MOD(AP37-AP36,1)*24&gt;=6,0.75,0))))</f>
        <v>0</v>
      </c>
      <c r="AR37" s="18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ca="1">IF(AR36=0,0,
IF(OR(AR36="",COUNTIF(AR36,"*保育無し*")),"",
IF(MOD(AR37-AR36,1)*24&gt;=8,1,
IF(MOD(AR37-AR36,1)*24&gt;=6,0.75,0))))</f>
        <v>0</v>
      </c>
      <c r="AT37" s="18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ca="1">IF(AT36=0,0,
IF(OR(AT36="",COUNTIF(AT36,"*保育無し*")),"",
IF(MOD(AT37-AT36,1)*24&gt;=8,1,
IF(MOD(AT37-AT36,1)*24&gt;=6,0.75,0))))</f>
        <v>0</v>
      </c>
      <c r="AV37" s="18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ca="1">IF(AV36=0,0,
IF(OR(AV36="",COUNTIF(AV36,"*保育無し*")),"",
IF(MOD(AV37-AV36,1)*24&gt;=8,1,
IF(MOD(AV37-AV36,1)*24&gt;=6,0.75,0))))</f>
        <v>0</v>
      </c>
      <c r="AX37" s="18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ca="1">IF(AX36=0,0,
IF(OR(AX36="",COUNTIF(AX36,"*保育無し*")),"",
IF(MOD(AX37-AX36,1)*24&gt;=8,1,
IF(MOD(AX37-AX36,1)*24&gt;=6,0.75,0))))</f>
        <v>0</v>
      </c>
      <c r="AZ37" s="18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ca="1">IF(AZ36=0,0,
IF(OR(AZ36="",COUNTIF(AZ36,"*保育無し*")),"",
IF(MOD(AZ37-AZ36,1)*24&gt;=8,1,
IF(MOD(AZ37-AZ36,1)*24&gt;=6,0.75,0))))</f>
        <v>0</v>
      </c>
      <c r="BB37" s="18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ca="1">IF(BB36=0,0,
IF(OR(BB36="",COUNTIF(BB36,"*保育無し*")),"",
IF(MOD(BB37-BB36,1)*24&gt;=8,1,
IF(MOD(BB37-BB36,1)*24&gt;=6,0.75,0))))</f>
        <v>0</v>
      </c>
      <c r="BD37" s="18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ca="1">IF(BD36=0,0,
IF(OR(BD36="",COUNTIF(BD36,"*保育無し*")),"",
IF(MOD(BD37-BD36,1)*24&gt;=8,1,
IF(MOD(BD37-BD36,1)*24&gt;=6,0.75,0))))</f>
        <v>0</v>
      </c>
      <c r="BF37" s="18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ca="1">IF(BF36=0,0,
IF(OR(BF36="",COUNTIF(BF36,"*保育無し*")),"",
IF(MOD(BF37-BF36,1)*24&gt;=8,1,
IF(MOD(BF37-BF36,1)*24&gt;=6,0.75,0))))</f>
        <v>0</v>
      </c>
      <c r="BH37" s="18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ca="1">IF(BH36=0,0,
IF(OR(BH36="",COUNTIF(BH36,"*保育無し*")),"",
IF(MOD(BH37-BH36,1)*24&gt;=8,1,
IF(MOD(BH37-BH36,1)*24&gt;=6,0.75,0))))</f>
        <v>0</v>
      </c>
      <c r="BJ37" s="18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ca="1">IF(BJ36=0,0,
IF(OR(BJ36="",COUNTIF(BJ36,"*保育無し*")),"",
IF(MOD(BJ37-BJ36,1)*24&gt;=8,1,
IF(MOD(BJ37-BJ36,1)*24&gt;=6,0.75,0))))</f>
        <v>0</v>
      </c>
      <c r="BL37" s="18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ca="1">IF(BL36=0,0,
IF(OR(BL36="",COUNTIF(BL36,"*保育無し*")),"",
IF(MOD(BL37-BL36,1)*24&gt;=8,1,
IF(MOD(BL37-BL36,1)*24&gt;=6,0.75,0))))</f>
        <v>0</v>
      </c>
      <c r="BN37" s="18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ca="1">IF(BN36=0,0,
IF(OR(BN36="",COUNTIF(BN36,"*保育無し*")),"",
IF(MOD(BN37-BN36,1)*24&gt;=8,1,
IF(MOD(BN37-BN36,1)*24&gt;=6,0.75,0))))</f>
        <v>0</v>
      </c>
      <c r="BP37" s="18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ca="1">IF(BP36=0,0,
IF(OR(BP36="",COUNTIF(BP36,"*保育無し*")),"",
IF(MOD(BP37-BP36,1)*24&gt;=8,1,
IF(MOD(BP37-BP36,1)*24&gt;=6,0.75,0))))</f>
        <v>0</v>
      </c>
      <c r="BR37" s="18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ca="1">IF(BR36=0,0,
IF(OR(BR36="",COUNTIF(BR36,"*保育無し*")),"",
IF(MOD(BR37-BR36,1)*24&gt;=8,1,
IF(MOD(BR37-BR36,1)*24&gt;=6,0.75,0))))</f>
        <v>0</v>
      </c>
      <c r="BT37" s="18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ca="1">IF(BT36=0,0,
IF(OR(BT36="",COUNTIF(BT36,"*保育無し*")),"",
IF(MOD(BT37-BT36,1)*24&gt;=8,1,
IF(MOD(BT37-BT36,1)*24&gt;=6,0.75,0))))</f>
        <v>0</v>
      </c>
      <c r="BV37" s="18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ca="1">IF(BV36=0,0,
IF(OR(BV36="",COUNTIF(BV36,"*保育無し*")),"",
IF(MOD(BV37-BV36,1)*24&gt;=8,1,
IF(MOD(BV37-BV36,1)*24&gt;=6,0.75,0))))</f>
        <v>0</v>
      </c>
      <c r="BX37" s="18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27" t="str">
        <f t="shared" si="2"/>
        <v/>
      </c>
      <c r="B38" s="30"/>
      <c r="C38" s="30" t="str">
        <f t="array" aca="1" ref="C38" ca="1">IF(B38&lt;&gt;"",INDIRECT("'シフト一覧（転載）'!B"&amp;MATCH(B38,'シフト一覧（転載）'!$A:$A,0)+1),"")</f>
        <v/>
      </c>
      <c r="D38" s="58" t="str">
        <f t="array" aca="1" ref="D38" ca="1">IF(B38&lt;&gt;"",INDIRECT("'シフト一覧（転載）'!B"&amp;MATCH(B38,'シフト一覧（転載）'!$A:$A,0)),"")</f>
        <v/>
      </c>
      <c r="E38" s="23" t="str">
        <f t="array" aca="1" ref="E38" ca="1">IF(B38&lt;&gt;"",INDIRECT("'シフト一覧（転載）'!E"&amp;MATCH(B38,'シフト一覧（転載）'!$A:$A,0)),"")</f>
        <v/>
      </c>
      <c r="F38" s="20" t="str">
        <f t="shared" ca="1" si="0"/>
        <v/>
      </c>
      <c r="G38" s="20" t="str">
        <f t="shared" si="3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4"/>
        <v/>
      </c>
      <c r="J38" s="20" t="str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37"/>
      <c r="L38" s="55"/>
      <c r="M38" s="88" t="str">
        <f t="array" ref="M3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89"/>
      <c r="O38" s="93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>
        <f t="array" ref="P38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>
        <f t="array" ref="Q38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2"/>
        <v/>
      </c>
      <c r="B39" s="30"/>
      <c r="C39" s="30" t="str">
        <f t="array" aca="1" ref="C39" ca="1">IF(B39&lt;&gt;"",INDIRECT("'シフト一覧（転載）'!B"&amp;MATCH(B39,'シフト一覧（転載）'!$A:$A,0)+1),"")</f>
        <v/>
      </c>
      <c r="D39" s="58" t="str">
        <f t="array" aca="1" ref="D39" ca="1">IF(B39&lt;&gt;"",INDIRECT("'シフト一覧（転載）'!B"&amp;MATCH(B39,'シフト一覧（転載）'!$A:$A,0)),"")</f>
        <v/>
      </c>
      <c r="E39" s="23" t="str">
        <f t="array" aca="1" ref="E39" ca="1">IF(B39&lt;&gt;"",INDIRECT("'シフト一覧（転載）'!E"&amp;MATCH(B39,'シフト一覧（転載）'!$A:$A,0)),"")</f>
        <v/>
      </c>
      <c r="F39" s="20" t="str">
        <f t="shared" ca="1" si="0"/>
        <v/>
      </c>
      <c r="G39" s="20" t="str">
        <f t="shared" si="3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4"/>
        <v/>
      </c>
      <c r="J39" s="20" t="str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37"/>
      <c r="L39" s="55"/>
      <c r="M39" s="90"/>
      <c r="N39" s="91"/>
      <c r="O39" s="94"/>
      <c r="P39" s="18">
        <f t="array" ref="P39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>IF(P38=0,0,
IF(OR(P38="",COUNTIF(P38,"*保育無し*")),"",
IF(MOD(P39-P38,1)*24&gt;=8,1,
IF(MOD(P39-P38,1)*24&gt;=6,0.75,0))))</f>
        <v>0</v>
      </c>
      <c r="R39" s="18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ca="1">IF(T38=0,0,
IF(OR(T38="",COUNTIF(T38,"*保育無し*")),"",
IF(MOD(T39-T38,1)*24&gt;=8,1,
IF(MOD(T39-T38,1)*24&gt;=6,0.75,0))))</f>
        <v>0</v>
      </c>
      <c r="V39" s="18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ca="1">IF(V38=0,0,
IF(OR(V38="",COUNTIF(V38,"*保育無し*")),"",
IF(MOD(V39-V38,1)*24&gt;=8,1,
IF(MOD(V39-V38,1)*24&gt;=6,0.75,0))))</f>
        <v>0</v>
      </c>
      <c r="X39" s="18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ca="1">IF(X38=0,0,
IF(OR(X38="",COUNTIF(X38,"*保育無し*")),"",
IF(MOD(X39-X38,1)*24&gt;=8,1,
IF(MOD(X39-X38,1)*24&gt;=6,0.75,0))))</f>
        <v>0</v>
      </c>
      <c r="Z39" s="18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ca="1">IF(Z38=0,0,
IF(OR(Z38="",COUNTIF(Z38,"*保育無し*")),"",
IF(MOD(Z39-Z38,1)*24&gt;=8,1,
IF(MOD(Z39-Z38,1)*24&gt;=6,0.75,0))))</f>
        <v>0</v>
      </c>
      <c r="AB39" s="18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ca="1">IF(AB38=0,0,
IF(OR(AB38="",COUNTIF(AB38,"*保育無し*")),"",
IF(MOD(AB39-AB38,1)*24&gt;=8,1,
IF(MOD(AB39-AB38,1)*24&gt;=6,0.75,0))))</f>
        <v>0</v>
      </c>
      <c r="AD39" s="18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ca="1">IF(AD38=0,0,
IF(OR(AD38="",COUNTIF(AD38,"*保育無し*")),"",
IF(MOD(AD39-AD38,1)*24&gt;=8,1,
IF(MOD(AD39-AD38,1)*24&gt;=6,0.75,0))))</f>
        <v>0</v>
      </c>
      <c r="AF39" s="18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ca="1">IF(AF38=0,0,
IF(OR(AF38="",COUNTIF(AF38,"*保育無し*")),"",
IF(MOD(AF39-AF38,1)*24&gt;=8,1,
IF(MOD(AF39-AF38,1)*24&gt;=6,0.75,0))))</f>
        <v>0</v>
      </c>
      <c r="AH39" s="18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ca="1">IF(AH38=0,0,
IF(OR(AH38="",COUNTIF(AH38,"*保育無し*")),"",
IF(MOD(AH39-AH38,1)*24&gt;=8,1,
IF(MOD(AH39-AH38,1)*24&gt;=6,0.75,0))))</f>
        <v>0</v>
      </c>
      <c r="AJ39" s="18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ca="1">IF(AJ38=0,0,
IF(OR(AJ38="",COUNTIF(AJ38,"*保育無し*")),"",
IF(MOD(AJ39-AJ38,1)*24&gt;=8,1,
IF(MOD(AJ39-AJ38,1)*24&gt;=6,0.75,0))))</f>
        <v>0</v>
      </c>
      <c r="AL39" s="18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ca="1">IF(AL38=0,0,
IF(OR(AL38="",COUNTIF(AL38,"*保育無し*")),"",
IF(MOD(AL39-AL38,1)*24&gt;=8,1,
IF(MOD(AL39-AL38,1)*24&gt;=6,0.75,0))))</f>
        <v>0</v>
      </c>
      <c r="AN39" s="18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ca="1">IF(AN38=0,0,
IF(OR(AN38="",COUNTIF(AN38,"*保育無し*")),"",
IF(MOD(AN39-AN38,1)*24&gt;=8,1,
IF(MOD(AN39-AN38,1)*24&gt;=6,0.75,0))))</f>
        <v>0</v>
      </c>
      <c r="AP39" s="18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ca="1">IF(AP38=0,0,
IF(OR(AP38="",COUNTIF(AP38,"*保育無し*")),"",
IF(MOD(AP39-AP38,1)*24&gt;=8,1,
IF(MOD(AP39-AP38,1)*24&gt;=6,0.75,0))))</f>
        <v>0</v>
      </c>
      <c r="AR39" s="18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ca="1">IF(AR38=0,0,
IF(OR(AR38="",COUNTIF(AR38,"*保育無し*")),"",
IF(MOD(AR39-AR38,1)*24&gt;=8,1,
IF(MOD(AR39-AR38,1)*24&gt;=6,0.75,0))))</f>
        <v>0</v>
      </c>
      <c r="AT39" s="18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ca="1">IF(AT38=0,0,
IF(OR(AT38="",COUNTIF(AT38,"*保育無し*")),"",
IF(MOD(AT39-AT38,1)*24&gt;=8,1,
IF(MOD(AT39-AT38,1)*24&gt;=6,0.75,0))))</f>
        <v>0</v>
      </c>
      <c r="AV39" s="18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ca="1">IF(AV38=0,0,
IF(OR(AV38="",COUNTIF(AV38,"*保育無し*")),"",
IF(MOD(AV39-AV38,1)*24&gt;=8,1,
IF(MOD(AV39-AV38,1)*24&gt;=6,0.75,0))))</f>
        <v>0</v>
      </c>
      <c r="AX39" s="18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ca="1">IF(AX38=0,0,
IF(OR(AX38="",COUNTIF(AX38,"*保育無し*")),"",
IF(MOD(AX39-AX38,1)*24&gt;=8,1,
IF(MOD(AX39-AX38,1)*24&gt;=6,0.75,0))))</f>
        <v>0</v>
      </c>
      <c r="AZ39" s="18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ca="1">IF(AZ38=0,0,
IF(OR(AZ38="",COUNTIF(AZ38,"*保育無し*")),"",
IF(MOD(AZ39-AZ38,1)*24&gt;=8,1,
IF(MOD(AZ39-AZ38,1)*24&gt;=6,0.75,0))))</f>
        <v>0</v>
      </c>
      <c r="BB39" s="18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ca="1">IF(BB38=0,0,
IF(OR(BB38="",COUNTIF(BB38,"*保育無し*")),"",
IF(MOD(BB39-BB38,1)*24&gt;=8,1,
IF(MOD(BB39-BB38,1)*24&gt;=6,0.75,0))))</f>
        <v>0</v>
      </c>
      <c r="BD39" s="18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ca="1">IF(BD38=0,0,
IF(OR(BD38="",COUNTIF(BD38,"*保育無し*")),"",
IF(MOD(BD39-BD38,1)*24&gt;=8,1,
IF(MOD(BD39-BD38,1)*24&gt;=6,0.75,0))))</f>
        <v>0</v>
      </c>
      <c r="BF39" s="18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ca="1">IF(BF38=0,0,
IF(OR(BF38="",COUNTIF(BF38,"*保育無し*")),"",
IF(MOD(BF39-BF38,1)*24&gt;=8,1,
IF(MOD(BF39-BF38,1)*24&gt;=6,0.75,0))))</f>
        <v>0</v>
      </c>
      <c r="BH39" s="18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ca="1">IF(BH38=0,0,
IF(OR(BH38="",COUNTIF(BH38,"*保育無し*")),"",
IF(MOD(BH39-BH38,1)*24&gt;=8,1,
IF(MOD(BH39-BH38,1)*24&gt;=6,0.75,0))))</f>
        <v>0</v>
      </c>
      <c r="BJ39" s="18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ca="1">IF(BJ38=0,0,
IF(OR(BJ38="",COUNTIF(BJ38,"*保育無し*")),"",
IF(MOD(BJ39-BJ38,1)*24&gt;=8,1,
IF(MOD(BJ39-BJ38,1)*24&gt;=6,0.75,0))))</f>
        <v>0</v>
      </c>
      <c r="BL39" s="18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ca="1">IF(BL38=0,0,
IF(OR(BL38="",COUNTIF(BL38,"*保育無し*")),"",
IF(MOD(BL39-BL38,1)*24&gt;=8,1,
IF(MOD(BL39-BL38,1)*24&gt;=6,0.75,0))))</f>
        <v>0</v>
      </c>
      <c r="BN39" s="18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ca="1">IF(BN38=0,0,
IF(OR(BN38="",COUNTIF(BN38,"*保育無し*")),"",
IF(MOD(BN39-BN38,1)*24&gt;=8,1,
IF(MOD(BN39-BN38,1)*24&gt;=6,0.75,0))))</f>
        <v>0</v>
      </c>
      <c r="BP39" s="18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ca="1">IF(BP38=0,0,
IF(OR(BP38="",COUNTIF(BP38,"*保育無し*")),"",
IF(MOD(BP39-BP38,1)*24&gt;=8,1,
IF(MOD(BP39-BP38,1)*24&gt;=6,0.75,0))))</f>
        <v>0</v>
      </c>
      <c r="BR39" s="18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ca="1">IF(BR38=0,0,
IF(OR(BR38="",COUNTIF(BR38,"*保育無し*")),"",
IF(MOD(BR39-BR38,1)*24&gt;=8,1,
IF(MOD(BR39-BR38,1)*24&gt;=6,0.75,0))))</f>
        <v>0</v>
      </c>
      <c r="BT39" s="18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ca="1">IF(BT38=0,0,
IF(OR(BT38="",COUNTIF(BT38,"*保育無し*")),"",
IF(MOD(BT39-BT38,1)*24&gt;=8,1,
IF(MOD(BT39-BT38,1)*24&gt;=6,0.75,0))))</f>
        <v>0</v>
      </c>
      <c r="BV39" s="18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ca="1">IF(BV38=0,0,
IF(OR(BV38="",COUNTIF(BV38,"*保育無し*")),"",
IF(MOD(BV39-BV38,1)*24&gt;=8,1,
IF(MOD(BV39-BV38,1)*24&gt;=6,0.75,0))))</f>
        <v>0</v>
      </c>
      <c r="BX39" s="18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27" t="str">
        <f t="shared" si="2"/>
        <v/>
      </c>
      <c r="B40" s="30"/>
      <c r="C40" s="30" t="str">
        <f t="array" aca="1" ref="C40" ca="1">IF(B40&lt;&gt;"",INDIRECT("'シフト一覧（転載）'!B"&amp;MATCH(B40,'シフト一覧（転載）'!$A:$A,0)+1),"")</f>
        <v/>
      </c>
      <c r="D40" s="58" t="str">
        <f t="array" aca="1" ref="D40" ca="1">IF(B40&lt;&gt;"",INDIRECT("'シフト一覧（転載）'!B"&amp;MATCH(B40,'シフト一覧（転載）'!$A:$A,0)),"")</f>
        <v/>
      </c>
      <c r="E40" s="23" t="str">
        <f t="array" aca="1" ref="E40" ca="1">IF(B40&lt;&gt;"",INDIRECT("'シフト一覧（転載）'!E"&amp;MATCH(B40,'シフト一覧（転載）'!$A:$A,0)),"")</f>
        <v/>
      </c>
      <c r="F40" s="20" t="str">
        <f t="shared" ca="1" si="0"/>
        <v/>
      </c>
      <c r="G40" s="20" t="str">
        <f t="shared" si="3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4"/>
        <v/>
      </c>
      <c r="J40" s="20" t="str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37"/>
      <c r="L40" s="55"/>
      <c r="M40" s="88" t="str">
        <f t="array" ref="M4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89"/>
      <c r="O40" s="93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>
        <f t="array" ref="P40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>
        <f t="array" ref="Q40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2"/>
        <v/>
      </c>
      <c r="B41" s="31"/>
      <c r="C41" s="31" t="str">
        <f t="array" aca="1" ref="C41" ca="1">IF(B41&lt;&gt;"",INDIRECT("'シフト一覧（転載）'!B"&amp;MATCH(B41,'シフト一覧（転載）'!$A:$A,0)+1),"")</f>
        <v/>
      </c>
      <c r="D41" s="59" t="str">
        <f t="array" aca="1" ref="D41" ca="1">IF(B41&lt;&gt;"",INDIRECT("'シフト一覧（転載）'!B"&amp;MATCH(B41,'シフト一覧（転載）'!$A:$A,0)),"")</f>
        <v/>
      </c>
      <c r="E41" s="24" t="str">
        <f t="array" aca="1" ref="E41" ca="1">IF(B41&lt;&gt;"",INDIRECT("'シフト一覧（転載）'!E"&amp;MATCH(B41,'シフト一覧（転載）'!$A:$A,0)),"")</f>
        <v/>
      </c>
      <c r="F41" s="21" t="str">
        <f t="shared" ca="1" si="0"/>
        <v/>
      </c>
      <c r="G41" s="21" t="str">
        <f t="shared" si="3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4"/>
        <v/>
      </c>
      <c r="J41" s="21" t="str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38"/>
      <c r="L41" s="55"/>
      <c r="M41" s="90"/>
      <c r="N41" s="91"/>
      <c r="O41" s="94"/>
      <c r="P41" s="18">
        <f t="array" ref="P4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>IF(P40=0,0,
IF(OR(P40="",COUNTIF(P40,"*保育無し*")),"",
IF(MOD(P41-P40,1)*24&gt;=8,1,
IF(MOD(P41-P40,1)*24&gt;=6,0.75,0))))</f>
        <v>0</v>
      </c>
      <c r="R41" s="18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ca="1">IF(T40=0,0,
IF(OR(T40="",COUNTIF(T40,"*保育無し*")),"",
IF(MOD(T41-T40,1)*24&gt;=8,1,
IF(MOD(T41-T40,1)*24&gt;=6,0.75,0))))</f>
        <v>0</v>
      </c>
      <c r="V41" s="18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ca="1">IF(V40=0,0,
IF(OR(V40="",COUNTIF(V40,"*保育無し*")),"",
IF(MOD(V41-V40,1)*24&gt;=8,1,
IF(MOD(V41-V40,1)*24&gt;=6,0.75,0))))</f>
        <v>0</v>
      </c>
      <c r="X41" s="18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ca="1">IF(X40=0,0,
IF(OR(X40="",COUNTIF(X40,"*保育無し*")),"",
IF(MOD(X41-X40,1)*24&gt;=8,1,
IF(MOD(X41-X40,1)*24&gt;=6,0.75,0))))</f>
        <v>0</v>
      </c>
      <c r="Z41" s="18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ca="1">IF(Z40=0,0,
IF(OR(Z40="",COUNTIF(Z40,"*保育無し*")),"",
IF(MOD(Z41-Z40,1)*24&gt;=8,1,
IF(MOD(Z41-Z40,1)*24&gt;=6,0.75,0))))</f>
        <v>0</v>
      </c>
      <c r="AB41" s="18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ca="1">IF(AB40=0,0,
IF(OR(AB40="",COUNTIF(AB40,"*保育無し*")),"",
IF(MOD(AB41-AB40,1)*24&gt;=8,1,
IF(MOD(AB41-AB40,1)*24&gt;=6,0.75,0))))</f>
        <v>0</v>
      </c>
      <c r="AD41" s="18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ca="1">IF(AD40=0,0,
IF(OR(AD40="",COUNTIF(AD40,"*保育無し*")),"",
IF(MOD(AD41-AD40,1)*24&gt;=8,1,
IF(MOD(AD41-AD40,1)*24&gt;=6,0.75,0))))</f>
        <v>0</v>
      </c>
      <c r="AF41" s="18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ca="1">IF(AF40=0,0,
IF(OR(AF40="",COUNTIF(AF40,"*保育無し*")),"",
IF(MOD(AF41-AF40,1)*24&gt;=8,1,
IF(MOD(AF41-AF40,1)*24&gt;=6,0.75,0))))</f>
        <v>0</v>
      </c>
      <c r="AH41" s="18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ca="1">IF(AH40=0,0,
IF(OR(AH40="",COUNTIF(AH40,"*保育無し*")),"",
IF(MOD(AH41-AH40,1)*24&gt;=8,1,
IF(MOD(AH41-AH40,1)*24&gt;=6,0.75,0))))</f>
        <v>0</v>
      </c>
      <c r="AJ41" s="18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ca="1">IF(AJ40=0,0,
IF(OR(AJ40="",COUNTIF(AJ40,"*保育無し*")),"",
IF(MOD(AJ41-AJ40,1)*24&gt;=8,1,
IF(MOD(AJ41-AJ40,1)*24&gt;=6,0.75,0))))</f>
        <v>0</v>
      </c>
      <c r="AL41" s="18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ca="1">IF(AL40=0,0,
IF(OR(AL40="",COUNTIF(AL40,"*保育無し*")),"",
IF(MOD(AL41-AL40,1)*24&gt;=8,1,
IF(MOD(AL41-AL40,1)*24&gt;=6,0.75,0))))</f>
        <v>0</v>
      </c>
      <c r="AN41" s="18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ca="1">IF(AN40=0,0,
IF(OR(AN40="",COUNTIF(AN40,"*保育無し*")),"",
IF(MOD(AN41-AN40,1)*24&gt;=8,1,
IF(MOD(AN41-AN40,1)*24&gt;=6,0.75,0))))</f>
        <v>0</v>
      </c>
      <c r="AP41" s="18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ca="1">IF(AP40=0,0,
IF(OR(AP40="",COUNTIF(AP40,"*保育無し*")),"",
IF(MOD(AP41-AP40,1)*24&gt;=8,1,
IF(MOD(AP41-AP40,1)*24&gt;=6,0.75,0))))</f>
        <v>0</v>
      </c>
      <c r="AR41" s="18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ca="1">IF(AR40=0,0,
IF(OR(AR40="",COUNTIF(AR40,"*保育無し*")),"",
IF(MOD(AR41-AR40,1)*24&gt;=8,1,
IF(MOD(AR41-AR40,1)*24&gt;=6,0.75,0))))</f>
        <v>0</v>
      </c>
      <c r="AT41" s="18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ca="1">IF(AT40=0,0,
IF(OR(AT40="",COUNTIF(AT40,"*保育無し*")),"",
IF(MOD(AT41-AT40,1)*24&gt;=8,1,
IF(MOD(AT41-AT40,1)*24&gt;=6,0.75,0))))</f>
        <v>0</v>
      </c>
      <c r="AV41" s="18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ca="1">IF(AV40=0,0,
IF(OR(AV40="",COUNTIF(AV40,"*保育無し*")),"",
IF(MOD(AV41-AV40,1)*24&gt;=8,1,
IF(MOD(AV41-AV40,1)*24&gt;=6,0.75,0))))</f>
        <v>0</v>
      </c>
      <c r="AX41" s="18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ca="1">IF(AX40=0,0,
IF(OR(AX40="",COUNTIF(AX40,"*保育無し*")),"",
IF(MOD(AX41-AX40,1)*24&gt;=8,1,
IF(MOD(AX41-AX40,1)*24&gt;=6,0.75,0))))</f>
        <v>0</v>
      </c>
      <c r="AZ41" s="18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ca="1">IF(AZ40=0,0,
IF(OR(AZ40="",COUNTIF(AZ40,"*保育無し*")),"",
IF(MOD(AZ41-AZ40,1)*24&gt;=8,1,
IF(MOD(AZ41-AZ40,1)*24&gt;=6,0.75,0))))</f>
        <v>0</v>
      </c>
      <c r="BB41" s="18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ca="1">IF(BB40=0,0,
IF(OR(BB40="",COUNTIF(BB40,"*保育無し*")),"",
IF(MOD(BB41-BB40,1)*24&gt;=8,1,
IF(MOD(BB41-BB40,1)*24&gt;=6,0.75,0))))</f>
        <v>0</v>
      </c>
      <c r="BD41" s="18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ca="1">IF(BD40=0,0,
IF(OR(BD40="",COUNTIF(BD40,"*保育無し*")),"",
IF(MOD(BD41-BD40,1)*24&gt;=8,1,
IF(MOD(BD41-BD40,1)*24&gt;=6,0.75,0))))</f>
        <v>0</v>
      </c>
      <c r="BF41" s="18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ca="1">IF(BF40=0,0,
IF(OR(BF40="",COUNTIF(BF40,"*保育無し*")),"",
IF(MOD(BF41-BF40,1)*24&gt;=8,1,
IF(MOD(BF41-BF40,1)*24&gt;=6,0.75,0))))</f>
        <v>0</v>
      </c>
      <c r="BH41" s="18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ca="1">IF(BH40=0,0,
IF(OR(BH40="",COUNTIF(BH40,"*保育無し*")),"",
IF(MOD(BH41-BH40,1)*24&gt;=8,1,
IF(MOD(BH41-BH40,1)*24&gt;=6,0.75,0))))</f>
        <v>0</v>
      </c>
      <c r="BJ41" s="18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ca="1">IF(BJ40=0,0,
IF(OR(BJ40="",COUNTIF(BJ40,"*保育無し*")),"",
IF(MOD(BJ41-BJ40,1)*24&gt;=8,1,
IF(MOD(BJ41-BJ40,1)*24&gt;=6,0.75,0))))</f>
        <v>0</v>
      </c>
      <c r="BL41" s="18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ca="1">IF(BL40=0,0,
IF(OR(BL40="",COUNTIF(BL40,"*保育無し*")),"",
IF(MOD(BL41-BL40,1)*24&gt;=8,1,
IF(MOD(BL41-BL40,1)*24&gt;=6,0.75,0))))</f>
        <v>0</v>
      </c>
      <c r="BN41" s="18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ca="1">IF(BN40=0,0,
IF(OR(BN40="",COUNTIF(BN40,"*保育無し*")),"",
IF(MOD(BN41-BN40,1)*24&gt;=8,1,
IF(MOD(BN41-BN40,1)*24&gt;=6,0.75,0))))</f>
        <v>0</v>
      </c>
      <c r="BP41" s="18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ca="1">IF(BP40=0,0,
IF(OR(BP40="",COUNTIF(BP40,"*保育無し*")),"",
IF(MOD(BP41-BP40,1)*24&gt;=8,1,
IF(MOD(BP41-BP40,1)*24&gt;=6,0.75,0))))</f>
        <v>0</v>
      </c>
      <c r="BR41" s="18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ca="1">IF(BR40=0,0,
IF(OR(BR40="",COUNTIF(BR40,"*保育無し*")),"",
IF(MOD(BR41-BR40,1)*24&gt;=8,1,
IF(MOD(BR41-BR40,1)*24&gt;=6,0.75,0))))</f>
        <v>0</v>
      </c>
      <c r="BT41" s="18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ca="1">IF(BT40=0,0,
IF(OR(BT40="",COUNTIF(BT40,"*保育無し*")),"",
IF(MOD(BT41-BT40,1)*24&gt;=8,1,
IF(MOD(BT41-BT40,1)*24&gt;=6,0.75,0))))</f>
        <v>0</v>
      </c>
      <c r="BV41" s="18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ca="1">IF(BV40=0,0,
IF(OR(BV40="",COUNTIF(BV40,"*保育無し*")),"",
IF(MOD(BV41-BV40,1)*24&gt;=8,1,
IF(MOD(BV41-BV40,1)*24&gt;=6,0.75,0))))</f>
        <v>0</v>
      </c>
      <c r="BX41" s="18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88" t="str">
        <f t="array" ref="M4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89"/>
      <c r="O42" s="93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>
        <f t="array" ref="P42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>
        <f t="array" ref="Q42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90"/>
      <c r="N43" s="91"/>
      <c r="O43" s="94"/>
      <c r="P43" s="18">
        <f t="array" ref="P43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>IF(P42=0,0,
IF(OR(P42="",COUNTIF(P42,"*保育無し*")),"",
IF(MOD(P43-P42,1)*24&gt;=8,1,
IF(MOD(P43-P42,1)*24&gt;=6,0.75,0))))</f>
        <v>0</v>
      </c>
      <c r="R43" s="18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ca="1">IF(T42=0,0,
IF(OR(T42="",COUNTIF(T42,"*保育無し*")),"",
IF(MOD(T43-T42,1)*24&gt;=8,1,
IF(MOD(T43-T42,1)*24&gt;=6,0.75,0))))</f>
        <v>0</v>
      </c>
      <c r="V43" s="18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ca="1">IF(V42=0,0,
IF(OR(V42="",COUNTIF(V42,"*保育無し*")),"",
IF(MOD(V43-V42,1)*24&gt;=8,1,
IF(MOD(V43-V42,1)*24&gt;=6,0.75,0))))</f>
        <v>0</v>
      </c>
      <c r="X43" s="18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ca="1">IF(X42=0,0,
IF(OR(X42="",COUNTIF(X42,"*保育無し*")),"",
IF(MOD(X43-X42,1)*24&gt;=8,1,
IF(MOD(X43-X42,1)*24&gt;=6,0.75,0))))</f>
        <v>0</v>
      </c>
      <c r="Z43" s="18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ca="1">IF(Z42=0,0,
IF(OR(Z42="",COUNTIF(Z42,"*保育無し*")),"",
IF(MOD(Z43-Z42,1)*24&gt;=8,1,
IF(MOD(Z43-Z42,1)*24&gt;=6,0.75,0))))</f>
        <v>0</v>
      </c>
      <c r="AB43" s="18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ca="1">IF(AB42=0,0,
IF(OR(AB42="",COUNTIF(AB42,"*保育無し*")),"",
IF(MOD(AB43-AB42,1)*24&gt;=8,1,
IF(MOD(AB43-AB42,1)*24&gt;=6,0.75,0))))</f>
        <v>0</v>
      </c>
      <c r="AD43" s="18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ca="1">IF(AD42=0,0,
IF(OR(AD42="",COUNTIF(AD42,"*保育無し*")),"",
IF(MOD(AD43-AD42,1)*24&gt;=8,1,
IF(MOD(AD43-AD42,1)*24&gt;=6,0.75,0))))</f>
        <v>0</v>
      </c>
      <c r="AF43" s="18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ca="1">IF(AF42=0,0,
IF(OR(AF42="",COUNTIF(AF42,"*保育無し*")),"",
IF(MOD(AF43-AF42,1)*24&gt;=8,1,
IF(MOD(AF43-AF42,1)*24&gt;=6,0.75,0))))</f>
        <v>0</v>
      </c>
      <c r="AH43" s="18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ca="1">IF(AH42=0,0,
IF(OR(AH42="",COUNTIF(AH42,"*保育無し*")),"",
IF(MOD(AH43-AH42,1)*24&gt;=8,1,
IF(MOD(AH43-AH42,1)*24&gt;=6,0.75,0))))</f>
        <v>0</v>
      </c>
      <c r="AJ43" s="18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ca="1">IF(AJ42=0,0,
IF(OR(AJ42="",COUNTIF(AJ42,"*保育無し*")),"",
IF(MOD(AJ43-AJ42,1)*24&gt;=8,1,
IF(MOD(AJ43-AJ42,1)*24&gt;=6,0.75,0))))</f>
        <v>0</v>
      </c>
      <c r="AL43" s="18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ca="1">IF(AL42=0,0,
IF(OR(AL42="",COUNTIF(AL42,"*保育無し*")),"",
IF(MOD(AL43-AL42,1)*24&gt;=8,1,
IF(MOD(AL43-AL42,1)*24&gt;=6,0.75,0))))</f>
        <v>0</v>
      </c>
      <c r="AN43" s="18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ca="1">IF(AN42=0,0,
IF(OR(AN42="",COUNTIF(AN42,"*保育無し*")),"",
IF(MOD(AN43-AN42,1)*24&gt;=8,1,
IF(MOD(AN43-AN42,1)*24&gt;=6,0.75,0))))</f>
        <v>0</v>
      </c>
      <c r="AP43" s="18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ca="1">IF(AP42=0,0,
IF(OR(AP42="",COUNTIF(AP42,"*保育無し*")),"",
IF(MOD(AP43-AP42,1)*24&gt;=8,1,
IF(MOD(AP43-AP42,1)*24&gt;=6,0.75,0))))</f>
        <v>0</v>
      </c>
      <c r="AR43" s="18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ca="1">IF(AR42=0,0,
IF(OR(AR42="",COUNTIF(AR42,"*保育無し*")),"",
IF(MOD(AR43-AR42,1)*24&gt;=8,1,
IF(MOD(AR43-AR42,1)*24&gt;=6,0.75,0))))</f>
        <v>0</v>
      </c>
      <c r="AT43" s="18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ca="1">IF(AT42=0,0,
IF(OR(AT42="",COUNTIF(AT42,"*保育無し*")),"",
IF(MOD(AT43-AT42,1)*24&gt;=8,1,
IF(MOD(AT43-AT42,1)*24&gt;=6,0.75,0))))</f>
        <v>0</v>
      </c>
      <c r="AV43" s="18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ca="1">IF(AV42=0,0,
IF(OR(AV42="",COUNTIF(AV42,"*保育無し*")),"",
IF(MOD(AV43-AV42,1)*24&gt;=8,1,
IF(MOD(AV43-AV42,1)*24&gt;=6,0.75,0))))</f>
        <v>0</v>
      </c>
      <c r="AX43" s="18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ca="1">IF(AX42=0,0,
IF(OR(AX42="",COUNTIF(AX42,"*保育無し*")),"",
IF(MOD(AX43-AX42,1)*24&gt;=8,1,
IF(MOD(AX43-AX42,1)*24&gt;=6,0.75,0))))</f>
        <v>0</v>
      </c>
      <c r="AZ43" s="18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ca="1">IF(AZ42=0,0,
IF(OR(AZ42="",COUNTIF(AZ42,"*保育無し*")),"",
IF(MOD(AZ43-AZ42,1)*24&gt;=8,1,
IF(MOD(AZ43-AZ42,1)*24&gt;=6,0.75,0))))</f>
        <v>0</v>
      </c>
      <c r="BB43" s="18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ca="1">IF(BB42=0,0,
IF(OR(BB42="",COUNTIF(BB42,"*保育無し*")),"",
IF(MOD(BB43-BB42,1)*24&gt;=8,1,
IF(MOD(BB43-BB42,1)*24&gt;=6,0.75,0))))</f>
        <v>0</v>
      </c>
      <c r="BD43" s="18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ca="1">IF(BD42=0,0,
IF(OR(BD42="",COUNTIF(BD42,"*保育無し*")),"",
IF(MOD(BD43-BD42,1)*24&gt;=8,1,
IF(MOD(BD43-BD42,1)*24&gt;=6,0.75,0))))</f>
        <v>0</v>
      </c>
      <c r="BF43" s="18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ca="1">IF(BF42=0,0,
IF(OR(BF42="",COUNTIF(BF42,"*保育無し*")),"",
IF(MOD(BF43-BF42,1)*24&gt;=8,1,
IF(MOD(BF43-BF42,1)*24&gt;=6,0.75,0))))</f>
        <v>0</v>
      </c>
      <c r="BH43" s="18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ca="1">IF(BH42=0,0,
IF(OR(BH42="",COUNTIF(BH42,"*保育無し*")),"",
IF(MOD(BH43-BH42,1)*24&gt;=8,1,
IF(MOD(BH43-BH42,1)*24&gt;=6,0.75,0))))</f>
        <v>0</v>
      </c>
      <c r="BJ43" s="18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ca="1">IF(BJ42=0,0,
IF(OR(BJ42="",COUNTIF(BJ42,"*保育無し*")),"",
IF(MOD(BJ43-BJ42,1)*24&gt;=8,1,
IF(MOD(BJ43-BJ42,1)*24&gt;=6,0.75,0))))</f>
        <v>0</v>
      </c>
      <c r="BL43" s="18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ca="1">IF(BL42=0,0,
IF(OR(BL42="",COUNTIF(BL42,"*保育無し*")),"",
IF(MOD(BL43-BL42,1)*24&gt;=8,1,
IF(MOD(BL43-BL42,1)*24&gt;=6,0.75,0))))</f>
        <v>0</v>
      </c>
      <c r="BN43" s="18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ca="1">IF(BN42=0,0,
IF(OR(BN42="",COUNTIF(BN42,"*保育無し*")),"",
IF(MOD(BN43-BN42,1)*24&gt;=8,1,
IF(MOD(BN43-BN42,1)*24&gt;=6,0.75,0))))</f>
        <v>0</v>
      </c>
      <c r="BP43" s="18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ca="1">IF(BP42=0,0,
IF(OR(BP42="",COUNTIF(BP42,"*保育無し*")),"",
IF(MOD(BP43-BP42,1)*24&gt;=8,1,
IF(MOD(BP43-BP42,1)*24&gt;=6,0.75,0))))</f>
        <v>0</v>
      </c>
      <c r="BR43" s="18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ca="1">IF(BR42=0,0,
IF(OR(BR42="",COUNTIF(BR42,"*保育無し*")),"",
IF(MOD(BR43-BR42,1)*24&gt;=8,1,
IF(MOD(BR43-BR42,1)*24&gt;=6,0.75,0))))</f>
        <v>0</v>
      </c>
      <c r="BT43" s="18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ca="1">IF(BT42=0,0,
IF(OR(BT42="",COUNTIF(BT42,"*保育無し*")),"",
IF(MOD(BT43-BT42,1)*24&gt;=8,1,
IF(MOD(BT43-BT42,1)*24&gt;=6,0.75,0))))</f>
        <v>0</v>
      </c>
      <c r="BV43" s="18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ca="1">IF(BV42=0,0,
IF(OR(BV42="",COUNTIF(BV42,"*保育無し*")),"",
IF(MOD(BV43-BV42,1)*24&gt;=8,1,
IF(MOD(BV43-BV42,1)*24&gt;=6,0.75,0))))</f>
        <v>0</v>
      </c>
      <c r="BX43" s="18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88" t="str">
        <f t="array" ref="M4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89"/>
      <c r="O44" s="93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>
        <f t="array" ref="P44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>
        <f t="array" ref="Q44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90"/>
      <c r="N45" s="91"/>
      <c r="O45" s="94"/>
      <c r="P45" s="18">
        <f t="array" ref="P45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>IF(P44=0,0,
IF(OR(P44="",COUNTIF(P44,"*保育無し*")),"",
IF(MOD(P45-P44,1)*24&gt;=8,1,
IF(MOD(P45-P44,1)*24&gt;=6,0.75,0))))</f>
        <v>0</v>
      </c>
      <c r="R45" s="18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ca="1">IF(T44=0,0,
IF(OR(T44="",COUNTIF(T44,"*保育無し*")),"",
IF(MOD(T45-T44,1)*24&gt;=8,1,
IF(MOD(T45-T44,1)*24&gt;=6,0.75,0))))</f>
        <v>0</v>
      </c>
      <c r="V45" s="18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ca="1">IF(V44=0,0,
IF(OR(V44="",COUNTIF(V44,"*保育無し*")),"",
IF(MOD(V45-V44,1)*24&gt;=8,1,
IF(MOD(V45-V44,1)*24&gt;=6,0.75,0))))</f>
        <v>0</v>
      </c>
      <c r="X45" s="18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ca="1">IF(X44=0,0,
IF(OR(X44="",COUNTIF(X44,"*保育無し*")),"",
IF(MOD(X45-X44,1)*24&gt;=8,1,
IF(MOD(X45-X44,1)*24&gt;=6,0.75,0))))</f>
        <v>0</v>
      </c>
      <c r="Z45" s="18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ca="1">IF(Z44=0,0,
IF(OR(Z44="",COUNTIF(Z44,"*保育無し*")),"",
IF(MOD(Z45-Z44,1)*24&gt;=8,1,
IF(MOD(Z45-Z44,1)*24&gt;=6,0.75,0))))</f>
        <v>0</v>
      </c>
      <c r="AB45" s="18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ca="1">IF(AB44=0,0,
IF(OR(AB44="",COUNTIF(AB44,"*保育無し*")),"",
IF(MOD(AB45-AB44,1)*24&gt;=8,1,
IF(MOD(AB45-AB44,1)*24&gt;=6,0.75,0))))</f>
        <v>0</v>
      </c>
      <c r="AD45" s="18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ca="1">IF(AD44=0,0,
IF(OR(AD44="",COUNTIF(AD44,"*保育無し*")),"",
IF(MOD(AD45-AD44,1)*24&gt;=8,1,
IF(MOD(AD45-AD44,1)*24&gt;=6,0.75,0))))</f>
        <v>0</v>
      </c>
      <c r="AF45" s="18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ca="1">IF(AF44=0,0,
IF(OR(AF44="",COUNTIF(AF44,"*保育無し*")),"",
IF(MOD(AF45-AF44,1)*24&gt;=8,1,
IF(MOD(AF45-AF44,1)*24&gt;=6,0.75,0))))</f>
        <v>0</v>
      </c>
      <c r="AH45" s="18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ca="1">IF(AH44=0,0,
IF(OR(AH44="",COUNTIF(AH44,"*保育無し*")),"",
IF(MOD(AH45-AH44,1)*24&gt;=8,1,
IF(MOD(AH45-AH44,1)*24&gt;=6,0.75,0))))</f>
        <v>0</v>
      </c>
      <c r="AJ45" s="18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ca="1">IF(AJ44=0,0,
IF(OR(AJ44="",COUNTIF(AJ44,"*保育無し*")),"",
IF(MOD(AJ45-AJ44,1)*24&gt;=8,1,
IF(MOD(AJ45-AJ44,1)*24&gt;=6,0.75,0))))</f>
        <v>0</v>
      </c>
      <c r="AL45" s="18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ca="1">IF(AL44=0,0,
IF(OR(AL44="",COUNTIF(AL44,"*保育無し*")),"",
IF(MOD(AL45-AL44,1)*24&gt;=8,1,
IF(MOD(AL45-AL44,1)*24&gt;=6,0.75,0))))</f>
        <v>0</v>
      </c>
      <c r="AN45" s="18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ca="1">IF(AN44=0,0,
IF(OR(AN44="",COUNTIF(AN44,"*保育無し*")),"",
IF(MOD(AN45-AN44,1)*24&gt;=8,1,
IF(MOD(AN45-AN44,1)*24&gt;=6,0.75,0))))</f>
        <v>0</v>
      </c>
      <c r="AP45" s="18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ca="1">IF(AP44=0,0,
IF(OR(AP44="",COUNTIF(AP44,"*保育無し*")),"",
IF(MOD(AP45-AP44,1)*24&gt;=8,1,
IF(MOD(AP45-AP44,1)*24&gt;=6,0.75,0))))</f>
        <v>0</v>
      </c>
      <c r="AR45" s="18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ca="1">IF(AR44=0,0,
IF(OR(AR44="",COUNTIF(AR44,"*保育無し*")),"",
IF(MOD(AR45-AR44,1)*24&gt;=8,1,
IF(MOD(AR45-AR44,1)*24&gt;=6,0.75,0))))</f>
        <v>0</v>
      </c>
      <c r="AT45" s="18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ca="1">IF(AT44=0,0,
IF(OR(AT44="",COUNTIF(AT44,"*保育無し*")),"",
IF(MOD(AT45-AT44,1)*24&gt;=8,1,
IF(MOD(AT45-AT44,1)*24&gt;=6,0.75,0))))</f>
        <v>0</v>
      </c>
      <c r="AV45" s="18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ca="1">IF(AV44=0,0,
IF(OR(AV44="",COUNTIF(AV44,"*保育無し*")),"",
IF(MOD(AV45-AV44,1)*24&gt;=8,1,
IF(MOD(AV45-AV44,1)*24&gt;=6,0.75,0))))</f>
        <v>0</v>
      </c>
      <c r="AX45" s="18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ca="1">IF(AX44=0,0,
IF(OR(AX44="",COUNTIF(AX44,"*保育無し*")),"",
IF(MOD(AX45-AX44,1)*24&gt;=8,1,
IF(MOD(AX45-AX44,1)*24&gt;=6,0.75,0))))</f>
        <v>0</v>
      </c>
      <c r="AZ45" s="18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ca="1">IF(AZ44=0,0,
IF(OR(AZ44="",COUNTIF(AZ44,"*保育無し*")),"",
IF(MOD(AZ45-AZ44,1)*24&gt;=8,1,
IF(MOD(AZ45-AZ44,1)*24&gt;=6,0.75,0))))</f>
        <v>0</v>
      </c>
      <c r="BB45" s="18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ca="1">IF(BB44=0,0,
IF(OR(BB44="",COUNTIF(BB44,"*保育無し*")),"",
IF(MOD(BB45-BB44,1)*24&gt;=8,1,
IF(MOD(BB45-BB44,1)*24&gt;=6,0.75,0))))</f>
        <v>0</v>
      </c>
      <c r="BD45" s="18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ca="1">IF(BD44=0,0,
IF(OR(BD44="",COUNTIF(BD44,"*保育無し*")),"",
IF(MOD(BD45-BD44,1)*24&gt;=8,1,
IF(MOD(BD45-BD44,1)*24&gt;=6,0.75,0))))</f>
        <v>0</v>
      </c>
      <c r="BF45" s="18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ca="1">IF(BF44=0,0,
IF(OR(BF44="",COUNTIF(BF44,"*保育無し*")),"",
IF(MOD(BF45-BF44,1)*24&gt;=8,1,
IF(MOD(BF45-BF44,1)*24&gt;=6,0.75,0))))</f>
        <v>0</v>
      </c>
      <c r="BH45" s="18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ca="1">IF(BH44=0,0,
IF(OR(BH44="",COUNTIF(BH44,"*保育無し*")),"",
IF(MOD(BH45-BH44,1)*24&gt;=8,1,
IF(MOD(BH45-BH44,1)*24&gt;=6,0.75,0))))</f>
        <v>0</v>
      </c>
      <c r="BJ45" s="18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ca="1">IF(BJ44=0,0,
IF(OR(BJ44="",COUNTIF(BJ44,"*保育無し*")),"",
IF(MOD(BJ45-BJ44,1)*24&gt;=8,1,
IF(MOD(BJ45-BJ44,1)*24&gt;=6,0.75,0))))</f>
        <v>0</v>
      </c>
      <c r="BL45" s="18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ca="1">IF(BL44=0,0,
IF(OR(BL44="",COUNTIF(BL44,"*保育無し*")),"",
IF(MOD(BL45-BL44,1)*24&gt;=8,1,
IF(MOD(BL45-BL44,1)*24&gt;=6,0.75,0))))</f>
        <v>0</v>
      </c>
      <c r="BN45" s="18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ca="1">IF(BN44=0,0,
IF(OR(BN44="",COUNTIF(BN44,"*保育無し*")),"",
IF(MOD(BN45-BN44,1)*24&gt;=8,1,
IF(MOD(BN45-BN44,1)*24&gt;=6,0.75,0))))</f>
        <v>0</v>
      </c>
      <c r="BP45" s="18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ca="1">IF(BP44=0,0,
IF(OR(BP44="",COUNTIF(BP44,"*保育無し*")),"",
IF(MOD(BP45-BP44,1)*24&gt;=8,1,
IF(MOD(BP45-BP44,1)*24&gt;=6,0.75,0))))</f>
        <v>0</v>
      </c>
      <c r="BR45" s="18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ca="1">IF(BR44=0,0,
IF(OR(BR44="",COUNTIF(BR44,"*保育無し*")),"",
IF(MOD(BR45-BR44,1)*24&gt;=8,1,
IF(MOD(BR45-BR44,1)*24&gt;=6,0.75,0))))</f>
        <v>0</v>
      </c>
      <c r="BT45" s="18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ca="1">IF(BT44=0,0,
IF(OR(BT44="",COUNTIF(BT44,"*保育無し*")),"",
IF(MOD(BT45-BT44,1)*24&gt;=8,1,
IF(MOD(BT45-BT44,1)*24&gt;=6,0.75,0))))</f>
        <v>0</v>
      </c>
      <c r="BV45" s="18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ca="1">IF(BV44=0,0,
IF(OR(BV44="",COUNTIF(BV44,"*保育無し*")),"",
IF(MOD(BV45-BV44,1)*24&gt;=8,1,
IF(MOD(BV45-BV44,1)*24&gt;=6,0.75,0))))</f>
        <v>0</v>
      </c>
      <c r="BX45" s="18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88" t="str">
        <f t="array" ref="M4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89"/>
      <c r="O46" s="93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>
        <f t="array" ref="P46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>
        <f t="array" ref="Q46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90"/>
      <c r="N47" s="91"/>
      <c r="O47" s="94"/>
      <c r="P47" s="18">
        <f t="array" ref="P47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>IF(P46=0,0,
IF(OR(P46="",COUNTIF(P46,"*保育無し*")),"",
IF(MOD(P47-P46,1)*24&gt;=8,1,
IF(MOD(P47-P46,1)*24&gt;=6,0.75,0))))</f>
        <v>0</v>
      </c>
      <c r="R47" s="18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ca="1">IF(T46=0,0,
IF(OR(T46="",COUNTIF(T46,"*保育無し*")),"",
IF(MOD(T47-T46,1)*24&gt;=8,1,
IF(MOD(T47-T46,1)*24&gt;=6,0.75,0))))</f>
        <v>0</v>
      </c>
      <c r="V47" s="18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ca="1">IF(V46=0,0,
IF(OR(V46="",COUNTIF(V46,"*保育無し*")),"",
IF(MOD(V47-V46,1)*24&gt;=8,1,
IF(MOD(V47-V46,1)*24&gt;=6,0.75,0))))</f>
        <v>0</v>
      </c>
      <c r="X47" s="18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ca="1">IF(X46=0,0,
IF(OR(X46="",COUNTIF(X46,"*保育無し*")),"",
IF(MOD(X47-X46,1)*24&gt;=8,1,
IF(MOD(X47-X46,1)*24&gt;=6,0.75,0))))</f>
        <v>0</v>
      </c>
      <c r="Z47" s="18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ca="1">IF(Z46=0,0,
IF(OR(Z46="",COUNTIF(Z46,"*保育無し*")),"",
IF(MOD(Z47-Z46,1)*24&gt;=8,1,
IF(MOD(Z47-Z46,1)*24&gt;=6,0.75,0))))</f>
        <v>0</v>
      </c>
      <c r="AB47" s="18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ca="1">IF(AB46=0,0,
IF(OR(AB46="",COUNTIF(AB46,"*保育無し*")),"",
IF(MOD(AB47-AB46,1)*24&gt;=8,1,
IF(MOD(AB47-AB46,1)*24&gt;=6,0.75,0))))</f>
        <v>0</v>
      </c>
      <c r="AD47" s="18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ca="1">IF(AD46=0,0,
IF(OR(AD46="",COUNTIF(AD46,"*保育無し*")),"",
IF(MOD(AD47-AD46,1)*24&gt;=8,1,
IF(MOD(AD47-AD46,1)*24&gt;=6,0.75,0))))</f>
        <v>0</v>
      </c>
      <c r="AF47" s="18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ca="1">IF(AF46=0,0,
IF(OR(AF46="",COUNTIF(AF46,"*保育無し*")),"",
IF(MOD(AF47-AF46,1)*24&gt;=8,1,
IF(MOD(AF47-AF46,1)*24&gt;=6,0.75,0))))</f>
        <v>0</v>
      </c>
      <c r="AH47" s="18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ca="1">IF(AH46=0,0,
IF(OR(AH46="",COUNTIF(AH46,"*保育無し*")),"",
IF(MOD(AH47-AH46,1)*24&gt;=8,1,
IF(MOD(AH47-AH46,1)*24&gt;=6,0.75,0))))</f>
        <v>0</v>
      </c>
      <c r="AJ47" s="18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ca="1">IF(AJ46=0,0,
IF(OR(AJ46="",COUNTIF(AJ46,"*保育無し*")),"",
IF(MOD(AJ47-AJ46,1)*24&gt;=8,1,
IF(MOD(AJ47-AJ46,1)*24&gt;=6,0.75,0))))</f>
        <v>0</v>
      </c>
      <c r="AL47" s="18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ca="1">IF(AL46=0,0,
IF(OR(AL46="",COUNTIF(AL46,"*保育無し*")),"",
IF(MOD(AL47-AL46,1)*24&gt;=8,1,
IF(MOD(AL47-AL46,1)*24&gt;=6,0.75,0))))</f>
        <v>0</v>
      </c>
      <c r="AN47" s="18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ca="1">IF(AN46=0,0,
IF(OR(AN46="",COUNTIF(AN46,"*保育無し*")),"",
IF(MOD(AN47-AN46,1)*24&gt;=8,1,
IF(MOD(AN47-AN46,1)*24&gt;=6,0.75,0))))</f>
        <v>0</v>
      </c>
      <c r="AP47" s="18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ca="1">IF(AP46=0,0,
IF(OR(AP46="",COUNTIF(AP46,"*保育無し*")),"",
IF(MOD(AP47-AP46,1)*24&gt;=8,1,
IF(MOD(AP47-AP46,1)*24&gt;=6,0.75,0))))</f>
        <v>0</v>
      </c>
      <c r="AR47" s="18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ca="1">IF(AR46=0,0,
IF(OR(AR46="",COUNTIF(AR46,"*保育無し*")),"",
IF(MOD(AR47-AR46,1)*24&gt;=8,1,
IF(MOD(AR47-AR46,1)*24&gt;=6,0.75,0))))</f>
        <v>0</v>
      </c>
      <c r="AT47" s="18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ca="1">IF(AT46=0,0,
IF(OR(AT46="",COUNTIF(AT46,"*保育無し*")),"",
IF(MOD(AT47-AT46,1)*24&gt;=8,1,
IF(MOD(AT47-AT46,1)*24&gt;=6,0.75,0))))</f>
        <v>0</v>
      </c>
      <c r="AV47" s="18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ca="1">IF(AV46=0,0,
IF(OR(AV46="",COUNTIF(AV46,"*保育無し*")),"",
IF(MOD(AV47-AV46,1)*24&gt;=8,1,
IF(MOD(AV47-AV46,1)*24&gt;=6,0.75,0))))</f>
        <v>0</v>
      </c>
      <c r="AX47" s="18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ca="1">IF(AX46=0,0,
IF(OR(AX46="",COUNTIF(AX46,"*保育無し*")),"",
IF(MOD(AX47-AX46,1)*24&gt;=8,1,
IF(MOD(AX47-AX46,1)*24&gt;=6,0.75,0))))</f>
        <v>0</v>
      </c>
      <c r="AZ47" s="18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ca="1">IF(AZ46=0,0,
IF(OR(AZ46="",COUNTIF(AZ46,"*保育無し*")),"",
IF(MOD(AZ47-AZ46,1)*24&gt;=8,1,
IF(MOD(AZ47-AZ46,1)*24&gt;=6,0.75,0))))</f>
        <v>0</v>
      </c>
      <c r="BB47" s="18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ca="1">IF(BB46=0,0,
IF(OR(BB46="",COUNTIF(BB46,"*保育無し*")),"",
IF(MOD(BB47-BB46,1)*24&gt;=8,1,
IF(MOD(BB47-BB46,1)*24&gt;=6,0.75,0))))</f>
        <v>0</v>
      </c>
      <c r="BD47" s="18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ca="1">IF(BD46=0,0,
IF(OR(BD46="",COUNTIF(BD46,"*保育無し*")),"",
IF(MOD(BD47-BD46,1)*24&gt;=8,1,
IF(MOD(BD47-BD46,1)*24&gt;=6,0.75,0))))</f>
        <v>0</v>
      </c>
      <c r="BF47" s="18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ca="1">IF(BF46=0,0,
IF(OR(BF46="",COUNTIF(BF46,"*保育無し*")),"",
IF(MOD(BF47-BF46,1)*24&gt;=8,1,
IF(MOD(BF47-BF46,1)*24&gt;=6,0.75,0))))</f>
        <v>0</v>
      </c>
      <c r="BH47" s="18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ca="1">IF(BH46=0,0,
IF(OR(BH46="",COUNTIF(BH46,"*保育無し*")),"",
IF(MOD(BH47-BH46,1)*24&gt;=8,1,
IF(MOD(BH47-BH46,1)*24&gt;=6,0.75,0))))</f>
        <v>0</v>
      </c>
      <c r="BJ47" s="18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ca="1">IF(BJ46=0,0,
IF(OR(BJ46="",COUNTIF(BJ46,"*保育無し*")),"",
IF(MOD(BJ47-BJ46,1)*24&gt;=8,1,
IF(MOD(BJ47-BJ46,1)*24&gt;=6,0.75,0))))</f>
        <v>0</v>
      </c>
      <c r="BL47" s="18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ca="1">IF(BL46=0,0,
IF(OR(BL46="",COUNTIF(BL46,"*保育無し*")),"",
IF(MOD(BL47-BL46,1)*24&gt;=8,1,
IF(MOD(BL47-BL46,1)*24&gt;=6,0.75,0))))</f>
        <v>0</v>
      </c>
      <c r="BN47" s="18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ca="1">IF(BN46=0,0,
IF(OR(BN46="",COUNTIF(BN46,"*保育無し*")),"",
IF(MOD(BN47-BN46,1)*24&gt;=8,1,
IF(MOD(BN47-BN46,1)*24&gt;=6,0.75,0))))</f>
        <v>0</v>
      </c>
      <c r="BP47" s="18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ca="1">IF(BP46=0,0,
IF(OR(BP46="",COUNTIF(BP46,"*保育無し*")),"",
IF(MOD(BP47-BP46,1)*24&gt;=8,1,
IF(MOD(BP47-BP46,1)*24&gt;=6,0.75,0))))</f>
        <v>0</v>
      </c>
      <c r="BR47" s="18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ca="1">IF(BR46=0,0,
IF(OR(BR46="",COUNTIF(BR46,"*保育無し*")),"",
IF(MOD(BR47-BR46,1)*24&gt;=8,1,
IF(MOD(BR47-BR46,1)*24&gt;=6,0.75,0))))</f>
        <v>0</v>
      </c>
      <c r="BT47" s="18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ca="1">IF(BT46=0,0,
IF(OR(BT46="",COUNTIF(BT46,"*保育無し*")),"",
IF(MOD(BT47-BT46,1)*24&gt;=8,1,
IF(MOD(BT47-BT46,1)*24&gt;=6,0.75,0))))</f>
        <v>0</v>
      </c>
      <c r="BV47" s="18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ca="1">IF(BV46=0,0,
IF(OR(BV46="",COUNTIF(BV46,"*保育無し*")),"",
IF(MOD(BV47-BV46,1)*24&gt;=8,1,
IF(MOD(BV47-BV46,1)*24&gt;=6,0.75,0))))</f>
        <v>0</v>
      </c>
      <c r="BX47" s="18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88" t="str">
        <f t="array" ref="M4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89"/>
      <c r="O48" s="93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>
        <f t="array" ref="P48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>
        <f t="array" ref="Q48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90"/>
      <c r="N49" s="91"/>
      <c r="O49" s="94"/>
      <c r="P49" s="18">
        <f t="array" ref="P49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>IF(P48=0,0,
IF(OR(P48="",COUNTIF(P48,"*保育無し*")),"",
IF(MOD(P49-P48,1)*24&gt;=8,1,
IF(MOD(P49-P48,1)*24&gt;=6,0.75,0))))</f>
        <v>0</v>
      </c>
      <c r="R49" s="18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ca="1">IF(T48=0,0,
IF(OR(T48="",COUNTIF(T48,"*保育無し*")),"",
IF(MOD(T49-T48,1)*24&gt;=8,1,
IF(MOD(T49-T48,1)*24&gt;=6,0.75,0))))</f>
        <v>0</v>
      </c>
      <c r="V49" s="18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ca="1">IF(V48=0,0,
IF(OR(V48="",COUNTIF(V48,"*保育無し*")),"",
IF(MOD(V49-V48,1)*24&gt;=8,1,
IF(MOD(V49-V48,1)*24&gt;=6,0.75,0))))</f>
        <v>0</v>
      </c>
      <c r="X49" s="18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ca="1">IF(X48=0,0,
IF(OR(X48="",COUNTIF(X48,"*保育無し*")),"",
IF(MOD(X49-X48,1)*24&gt;=8,1,
IF(MOD(X49-X48,1)*24&gt;=6,0.75,0))))</f>
        <v>0</v>
      </c>
      <c r="Z49" s="18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ca="1">IF(Z48=0,0,
IF(OR(Z48="",COUNTIF(Z48,"*保育無し*")),"",
IF(MOD(Z49-Z48,1)*24&gt;=8,1,
IF(MOD(Z49-Z48,1)*24&gt;=6,0.75,0))))</f>
        <v>0</v>
      </c>
      <c r="AB49" s="18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ca="1">IF(AB48=0,0,
IF(OR(AB48="",COUNTIF(AB48,"*保育無し*")),"",
IF(MOD(AB49-AB48,1)*24&gt;=8,1,
IF(MOD(AB49-AB48,1)*24&gt;=6,0.75,0))))</f>
        <v>0</v>
      </c>
      <c r="AD49" s="18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ca="1">IF(AD48=0,0,
IF(OR(AD48="",COUNTIF(AD48,"*保育無し*")),"",
IF(MOD(AD49-AD48,1)*24&gt;=8,1,
IF(MOD(AD49-AD48,1)*24&gt;=6,0.75,0))))</f>
        <v>0</v>
      </c>
      <c r="AF49" s="18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ca="1">IF(AF48=0,0,
IF(OR(AF48="",COUNTIF(AF48,"*保育無し*")),"",
IF(MOD(AF49-AF48,1)*24&gt;=8,1,
IF(MOD(AF49-AF48,1)*24&gt;=6,0.75,0))))</f>
        <v>0</v>
      </c>
      <c r="AH49" s="18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ca="1">IF(AH48=0,0,
IF(OR(AH48="",COUNTIF(AH48,"*保育無し*")),"",
IF(MOD(AH49-AH48,1)*24&gt;=8,1,
IF(MOD(AH49-AH48,1)*24&gt;=6,0.75,0))))</f>
        <v>0</v>
      </c>
      <c r="AJ49" s="18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ca="1">IF(AJ48=0,0,
IF(OR(AJ48="",COUNTIF(AJ48,"*保育無し*")),"",
IF(MOD(AJ49-AJ48,1)*24&gt;=8,1,
IF(MOD(AJ49-AJ48,1)*24&gt;=6,0.75,0))))</f>
        <v>0</v>
      </c>
      <c r="AL49" s="18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ca="1">IF(AL48=0,0,
IF(OR(AL48="",COUNTIF(AL48,"*保育無し*")),"",
IF(MOD(AL49-AL48,1)*24&gt;=8,1,
IF(MOD(AL49-AL48,1)*24&gt;=6,0.75,0))))</f>
        <v>0</v>
      </c>
      <c r="AN49" s="18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ca="1">IF(AN48=0,0,
IF(OR(AN48="",COUNTIF(AN48,"*保育無し*")),"",
IF(MOD(AN49-AN48,1)*24&gt;=8,1,
IF(MOD(AN49-AN48,1)*24&gt;=6,0.75,0))))</f>
        <v>0</v>
      </c>
      <c r="AP49" s="18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ca="1">IF(AP48=0,0,
IF(OR(AP48="",COUNTIF(AP48,"*保育無し*")),"",
IF(MOD(AP49-AP48,1)*24&gt;=8,1,
IF(MOD(AP49-AP48,1)*24&gt;=6,0.75,0))))</f>
        <v>0</v>
      </c>
      <c r="AR49" s="18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ca="1">IF(AR48=0,0,
IF(OR(AR48="",COUNTIF(AR48,"*保育無し*")),"",
IF(MOD(AR49-AR48,1)*24&gt;=8,1,
IF(MOD(AR49-AR48,1)*24&gt;=6,0.75,0))))</f>
        <v>0</v>
      </c>
      <c r="AT49" s="18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ca="1">IF(AT48=0,0,
IF(OR(AT48="",COUNTIF(AT48,"*保育無し*")),"",
IF(MOD(AT49-AT48,1)*24&gt;=8,1,
IF(MOD(AT49-AT48,1)*24&gt;=6,0.75,0))))</f>
        <v>0</v>
      </c>
      <c r="AV49" s="18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ca="1">IF(AV48=0,0,
IF(OR(AV48="",COUNTIF(AV48,"*保育無し*")),"",
IF(MOD(AV49-AV48,1)*24&gt;=8,1,
IF(MOD(AV49-AV48,1)*24&gt;=6,0.75,0))))</f>
        <v>0</v>
      </c>
      <c r="AX49" s="18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ca="1">IF(AX48=0,0,
IF(OR(AX48="",COUNTIF(AX48,"*保育無し*")),"",
IF(MOD(AX49-AX48,1)*24&gt;=8,1,
IF(MOD(AX49-AX48,1)*24&gt;=6,0.75,0))))</f>
        <v>0</v>
      </c>
      <c r="AZ49" s="18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ca="1">IF(AZ48=0,0,
IF(OR(AZ48="",COUNTIF(AZ48,"*保育無し*")),"",
IF(MOD(AZ49-AZ48,1)*24&gt;=8,1,
IF(MOD(AZ49-AZ48,1)*24&gt;=6,0.75,0))))</f>
        <v>0</v>
      </c>
      <c r="BB49" s="18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ca="1">IF(BB48=0,0,
IF(OR(BB48="",COUNTIF(BB48,"*保育無し*")),"",
IF(MOD(BB49-BB48,1)*24&gt;=8,1,
IF(MOD(BB49-BB48,1)*24&gt;=6,0.75,0))))</f>
        <v>0</v>
      </c>
      <c r="BD49" s="18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ca="1">IF(BD48=0,0,
IF(OR(BD48="",COUNTIF(BD48,"*保育無し*")),"",
IF(MOD(BD49-BD48,1)*24&gt;=8,1,
IF(MOD(BD49-BD48,1)*24&gt;=6,0.75,0))))</f>
        <v>0</v>
      </c>
      <c r="BF49" s="18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ca="1">IF(BF48=0,0,
IF(OR(BF48="",COUNTIF(BF48,"*保育無し*")),"",
IF(MOD(BF49-BF48,1)*24&gt;=8,1,
IF(MOD(BF49-BF48,1)*24&gt;=6,0.75,0))))</f>
        <v>0</v>
      </c>
      <c r="BH49" s="18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ca="1">IF(BH48=0,0,
IF(OR(BH48="",COUNTIF(BH48,"*保育無し*")),"",
IF(MOD(BH49-BH48,1)*24&gt;=8,1,
IF(MOD(BH49-BH48,1)*24&gt;=6,0.75,0))))</f>
        <v>0</v>
      </c>
      <c r="BJ49" s="18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ca="1">IF(BJ48=0,0,
IF(OR(BJ48="",COUNTIF(BJ48,"*保育無し*")),"",
IF(MOD(BJ49-BJ48,1)*24&gt;=8,1,
IF(MOD(BJ49-BJ48,1)*24&gt;=6,0.75,0))))</f>
        <v>0</v>
      </c>
      <c r="BL49" s="18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ca="1">IF(BL48=0,0,
IF(OR(BL48="",COUNTIF(BL48,"*保育無し*")),"",
IF(MOD(BL49-BL48,1)*24&gt;=8,1,
IF(MOD(BL49-BL48,1)*24&gt;=6,0.75,0))))</f>
        <v>0</v>
      </c>
      <c r="BN49" s="18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ca="1">IF(BN48=0,0,
IF(OR(BN48="",COUNTIF(BN48,"*保育無し*")),"",
IF(MOD(BN49-BN48,1)*24&gt;=8,1,
IF(MOD(BN49-BN48,1)*24&gt;=6,0.75,0))))</f>
        <v>0</v>
      </c>
      <c r="BP49" s="18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ca="1">IF(BP48=0,0,
IF(OR(BP48="",COUNTIF(BP48,"*保育無し*")),"",
IF(MOD(BP49-BP48,1)*24&gt;=8,1,
IF(MOD(BP49-BP48,1)*24&gt;=6,0.75,0))))</f>
        <v>0</v>
      </c>
      <c r="BR49" s="18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ca="1">IF(BR48=0,0,
IF(OR(BR48="",COUNTIF(BR48,"*保育無し*")),"",
IF(MOD(BR49-BR48,1)*24&gt;=8,1,
IF(MOD(BR49-BR48,1)*24&gt;=6,0.75,0))))</f>
        <v>0</v>
      </c>
      <c r="BT49" s="18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ca="1">IF(BT48=0,0,
IF(OR(BT48="",COUNTIF(BT48,"*保育無し*")),"",
IF(MOD(BT49-BT48,1)*24&gt;=8,1,
IF(MOD(BT49-BT48,1)*24&gt;=6,0.75,0))))</f>
        <v>0</v>
      </c>
      <c r="BV49" s="18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ca="1">IF(BV48=0,0,
IF(OR(BV48="",COUNTIF(BV48,"*保育無し*")),"",
IF(MOD(BV49-BV48,1)*24&gt;=8,1,
IF(MOD(BV49-BV48,1)*24&gt;=6,0.75,0))))</f>
        <v>0</v>
      </c>
      <c r="BX49" s="18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88" t="str">
        <f t="array" ref="M5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89"/>
      <c r="O50" s="93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>
        <f t="array" ref="P50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>
        <f t="array" ref="Q50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90"/>
      <c r="N51" s="91"/>
      <c r="O51" s="94"/>
      <c r="P51" s="18">
        <f t="array" ref="P5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>IF(P50=0,0,
IF(OR(P50="",COUNTIF(P50,"*保育無し*")),"",
IF(MOD(P51-P50,1)*24&gt;=8,1,
IF(MOD(P51-P50,1)*24&gt;=6,0.75,0))))</f>
        <v>0</v>
      </c>
      <c r="R51" s="18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ca="1">IF(T50=0,0,
IF(OR(T50="",COUNTIF(T50,"*保育無し*")),"",
IF(MOD(T51-T50,1)*24&gt;=8,1,
IF(MOD(T51-T50,1)*24&gt;=6,0.75,0))))</f>
        <v>0</v>
      </c>
      <c r="V51" s="18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ca="1">IF(V50=0,0,
IF(OR(V50="",COUNTIF(V50,"*保育無し*")),"",
IF(MOD(V51-V50,1)*24&gt;=8,1,
IF(MOD(V51-V50,1)*24&gt;=6,0.75,0))))</f>
        <v>0</v>
      </c>
      <c r="X51" s="18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ca="1">IF(X50=0,0,
IF(OR(X50="",COUNTIF(X50,"*保育無し*")),"",
IF(MOD(X51-X50,1)*24&gt;=8,1,
IF(MOD(X51-X50,1)*24&gt;=6,0.75,0))))</f>
        <v>0</v>
      </c>
      <c r="Z51" s="18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ca="1">IF(Z50=0,0,
IF(OR(Z50="",COUNTIF(Z50,"*保育無し*")),"",
IF(MOD(Z51-Z50,1)*24&gt;=8,1,
IF(MOD(Z51-Z50,1)*24&gt;=6,0.75,0))))</f>
        <v>0</v>
      </c>
      <c r="AB51" s="18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ca="1">IF(AB50=0,0,
IF(OR(AB50="",COUNTIF(AB50,"*保育無し*")),"",
IF(MOD(AB51-AB50,1)*24&gt;=8,1,
IF(MOD(AB51-AB50,1)*24&gt;=6,0.75,0))))</f>
        <v>0</v>
      </c>
      <c r="AD51" s="18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ca="1">IF(AD50=0,0,
IF(OR(AD50="",COUNTIF(AD50,"*保育無し*")),"",
IF(MOD(AD51-AD50,1)*24&gt;=8,1,
IF(MOD(AD51-AD50,1)*24&gt;=6,0.75,0))))</f>
        <v>0</v>
      </c>
      <c r="AF51" s="18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ca="1">IF(AF50=0,0,
IF(OR(AF50="",COUNTIF(AF50,"*保育無し*")),"",
IF(MOD(AF51-AF50,1)*24&gt;=8,1,
IF(MOD(AF51-AF50,1)*24&gt;=6,0.75,0))))</f>
        <v>0</v>
      </c>
      <c r="AH51" s="18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ca="1">IF(AH50=0,0,
IF(OR(AH50="",COUNTIF(AH50,"*保育無し*")),"",
IF(MOD(AH51-AH50,1)*24&gt;=8,1,
IF(MOD(AH51-AH50,1)*24&gt;=6,0.75,0))))</f>
        <v>0</v>
      </c>
      <c r="AJ51" s="18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ca="1">IF(AJ50=0,0,
IF(OR(AJ50="",COUNTIF(AJ50,"*保育無し*")),"",
IF(MOD(AJ51-AJ50,1)*24&gt;=8,1,
IF(MOD(AJ51-AJ50,1)*24&gt;=6,0.75,0))))</f>
        <v>0</v>
      </c>
      <c r="AL51" s="18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ca="1">IF(AL50=0,0,
IF(OR(AL50="",COUNTIF(AL50,"*保育無し*")),"",
IF(MOD(AL51-AL50,1)*24&gt;=8,1,
IF(MOD(AL51-AL50,1)*24&gt;=6,0.75,0))))</f>
        <v>0</v>
      </c>
      <c r="AN51" s="18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ca="1">IF(AN50=0,0,
IF(OR(AN50="",COUNTIF(AN50,"*保育無し*")),"",
IF(MOD(AN51-AN50,1)*24&gt;=8,1,
IF(MOD(AN51-AN50,1)*24&gt;=6,0.75,0))))</f>
        <v>0</v>
      </c>
      <c r="AP51" s="18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ca="1">IF(AP50=0,0,
IF(OR(AP50="",COUNTIF(AP50,"*保育無し*")),"",
IF(MOD(AP51-AP50,1)*24&gt;=8,1,
IF(MOD(AP51-AP50,1)*24&gt;=6,0.75,0))))</f>
        <v>0</v>
      </c>
      <c r="AR51" s="18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ca="1">IF(AR50=0,0,
IF(OR(AR50="",COUNTIF(AR50,"*保育無し*")),"",
IF(MOD(AR51-AR50,1)*24&gt;=8,1,
IF(MOD(AR51-AR50,1)*24&gt;=6,0.75,0))))</f>
        <v>0</v>
      </c>
      <c r="AT51" s="18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ca="1">IF(AT50=0,0,
IF(OR(AT50="",COUNTIF(AT50,"*保育無し*")),"",
IF(MOD(AT51-AT50,1)*24&gt;=8,1,
IF(MOD(AT51-AT50,1)*24&gt;=6,0.75,0))))</f>
        <v>0</v>
      </c>
      <c r="AV51" s="18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ca="1">IF(AV50=0,0,
IF(OR(AV50="",COUNTIF(AV50,"*保育無し*")),"",
IF(MOD(AV51-AV50,1)*24&gt;=8,1,
IF(MOD(AV51-AV50,1)*24&gt;=6,0.75,0))))</f>
        <v>0</v>
      </c>
      <c r="AX51" s="18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ca="1">IF(AX50=0,0,
IF(OR(AX50="",COUNTIF(AX50,"*保育無し*")),"",
IF(MOD(AX51-AX50,1)*24&gt;=8,1,
IF(MOD(AX51-AX50,1)*24&gt;=6,0.75,0))))</f>
        <v>0</v>
      </c>
      <c r="AZ51" s="18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ca="1">IF(AZ50=0,0,
IF(OR(AZ50="",COUNTIF(AZ50,"*保育無し*")),"",
IF(MOD(AZ51-AZ50,1)*24&gt;=8,1,
IF(MOD(AZ51-AZ50,1)*24&gt;=6,0.75,0))))</f>
        <v>0</v>
      </c>
      <c r="BB51" s="18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ca="1">IF(BB50=0,0,
IF(OR(BB50="",COUNTIF(BB50,"*保育無し*")),"",
IF(MOD(BB51-BB50,1)*24&gt;=8,1,
IF(MOD(BB51-BB50,1)*24&gt;=6,0.75,0))))</f>
        <v>0</v>
      </c>
      <c r="BD51" s="18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ca="1">IF(BD50=0,0,
IF(OR(BD50="",COUNTIF(BD50,"*保育無し*")),"",
IF(MOD(BD51-BD50,1)*24&gt;=8,1,
IF(MOD(BD51-BD50,1)*24&gt;=6,0.75,0))))</f>
        <v>0</v>
      </c>
      <c r="BF51" s="18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ca="1">IF(BF50=0,0,
IF(OR(BF50="",COUNTIF(BF50,"*保育無し*")),"",
IF(MOD(BF51-BF50,1)*24&gt;=8,1,
IF(MOD(BF51-BF50,1)*24&gt;=6,0.75,0))))</f>
        <v>0</v>
      </c>
      <c r="BH51" s="18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ca="1">IF(BH50=0,0,
IF(OR(BH50="",COUNTIF(BH50,"*保育無し*")),"",
IF(MOD(BH51-BH50,1)*24&gt;=8,1,
IF(MOD(BH51-BH50,1)*24&gt;=6,0.75,0))))</f>
        <v>0</v>
      </c>
      <c r="BJ51" s="18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ca="1">IF(BJ50=0,0,
IF(OR(BJ50="",COUNTIF(BJ50,"*保育無し*")),"",
IF(MOD(BJ51-BJ50,1)*24&gt;=8,1,
IF(MOD(BJ51-BJ50,1)*24&gt;=6,0.75,0))))</f>
        <v>0</v>
      </c>
      <c r="BL51" s="18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ca="1">IF(BL50=0,0,
IF(OR(BL50="",COUNTIF(BL50,"*保育無し*")),"",
IF(MOD(BL51-BL50,1)*24&gt;=8,1,
IF(MOD(BL51-BL50,1)*24&gt;=6,0.75,0))))</f>
        <v>0</v>
      </c>
      <c r="BN51" s="18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ca="1">IF(BN50=0,0,
IF(OR(BN50="",COUNTIF(BN50,"*保育無し*")),"",
IF(MOD(BN51-BN50,1)*24&gt;=8,1,
IF(MOD(BN51-BN50,1)*24&gt;=6,0.75,0))))</f>
        <v>0</v>
      </c>
      <c r="BP51" s="18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ca="1">IF(BP50=0,0,
IF(OR(BP50="",COUNTIF(BP50,"*保育無し*")),"",
IF(MOD(BP51-BP50,1)*24&gt;=8,1,
IF(MOD(BP51-BP50,1)*24&gt;=6,0.75,0))))</f>
        <v>0</v>
      </c>
      <c r="BR51" s="18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ca="1">IF(BR50=0,0,
IF(OR(BR50="",COUNTIF(BR50,"*保育無し*")),"",
IF(MOD(BR51-BR50,1)*24&gt;=8,1,
IF(MOD(BR51-BR50,1)*24&gt;=6,0.75,0))))</f>
        <v>0</v>
      </c>
      <c r="BT51" s="18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ca="1">IF(BT50=0,0,
IF(OR(BT50="",COUNTIF(BT50,"*保育無し*")),"",
IF(MOD(BT51-BT50,1)*24&gt;=8,1,
IF(MOD(BT51-BT50,1)*24&gt;=6,0.75,0))))</f>
        <v>0</v>
      </c>
      <c r="BV51" s="18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ca="1">IF(BV50=0,0,
IF(OR(BV50="",COUNTIF(BV50,"*保育無し*")),"",
IF(MOD(BV51-BV50,1)*24&gt;=8,1,
IF(MOD(BV51-BV50,1)*24&gt;=6,0.75,0))))</f>
        <v>0</v>
      </c>
      <c r="BX51" s="18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88" t="str">
        <f t="array" ref="M5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89"/>
      <c r="O52" s="93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>
        <f t="array" ref="P52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>
        <f t="array" ref="Q52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90"/>
      <c r="N53" s="91"/>
      <c r="O53" s="94"/>
      <c r="P53" s="18">
        <f t="array" ref="P53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>IF(P52=0,0,
IF(OR(P52="",COUNTIF(P52,"*保育無し*")),"",
IF(MOD(P53-P52,1)*24&gt;=8,1,
IF(MOD(P53-P52,1)*24&gt;=6,0.75,0))))</f>
        <v>0</v>
      </c>
      <c r="R53" s="18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ca="1">IF(T52=0,0,
IF(OR(T52="",COUNTIF(T52,"*保育無し*")),"",
IF(MOD(T53-T52,1)*24&gt;=8,1,
IF(MOD(T53-T52,1)*24&gt;=6,0.75,0))))</f>
        <v>0</v>
      </c>
      <c r="V53" s="18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ca="1">IF(V52=0,0,
IF(OR(V52="",COUNTIF(V52,"*保育無し*")),"",
IF(MOD(V53-V52,1)*24&gt;=8,1,
IF(MOD(V53-V52,1)*24&gt;=6,0.75,0))))</f>
        <v>0</v>
      </c>
      <c r="X53" s="18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ca="1">IF(X52=0,0,
IF(OR(X52="",COUNTIF(X52,"*保育無し*")),"",
IF(MOD(X53-X52,1)*24&gt;=8,1,
IF(MOD(X53-X52,1)*24&gt;=6,0.75,0))))</f>
        <v>0</v>
      </c>
      <c r="Z53" s="18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ca="1">IF(Z52=0,0,
IF(OR(Z52="",COUNTIF(Z52,"*保育無し*")),"",
IF(MOD(Z53-Z52,1)*24&gt;=8,1,
IF(MOD(Z53-Z52,1)*24&gt;=6,0.75,0))))</f>
        <v>0</v>
      </c>
      <c r="AB53" s="18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ca="1">IF(AB52=0,0,
IF(OR(AB52="",COUNTIF(AB52,"*保育無し*")),"",
IF(MOD(AB53-AB52,1)*24&gt;=8,1,
IF(MOD(AB53-AB52,1)*24&gt;=6,0.75,0))))</f>
        <v>0</v>
      </c>
      <c r="AD53" s="18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ca="1">IF(AD52=0,0,
IF(OR(AD52="",COUNTIF(AD52,"*保育無し*")),"",
IF(MOD(AD53-AD52,1)*24&gt;=8,1,
IF(MOD(AD53-AD52,1)*24&gt;=6,0.75,0))))</f>
        <v>0</v>
      </c>
      <c r="AF53" s="18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ca="1">IF(AF52=0,0,
IF(OR(AF52="",COUNTIF(AF52,"*保育無し*")),"",
IF(MOD(AF53-AF52,1)*24&gt;=8,1,
IF(MOD(AF53-AF52,1)*24&gt;=6,0.75,0))))</f>
        <v>0</v>
      </c>
      <c r="AH53" s="18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ca="1">IF(AH52=0,0,
IF(OR(AH52="",COUNTIF(AH52,"*保育無し*")),"",
IF(MOD(AH53-AH52,1)*24&gt;=8,1,
IF(MOD(AH53-AH52,1)*24&gt;=6,0.75,0))))</f>
        <v>0</v>
      </c>
      <c r="AJ53" s="18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ca="1">IF(AJ52=0,0,
IF(OR(AJ52="",COUNTIF(AJ52,"*保育無し*")),"",
IF(MOD(AJ53-AJ52,1)*24&gt;=8,1,
IF(MOD(AJ53-AJ52,1)*24&gt;=6,0.75,0))))</f>
        <v>0</v>
      </c>
      <c r="AL53" s="18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ca="1">IF(AL52=0,0,
IF(OR(AL52="",COUNTIF(AL52,"*保育無し*")),"",
IF(MOD(AL53-AL52,1)*24&gt;=8,1,
IF(MOD(AL53-AL52,1)*24&gt;=6,0.75,0))))</f>
        <v>0</v>
      </c>
      <c r="AN53" s="18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ca="1">IF(AN52=0,0,
IF(OR(AN52="",COUNTIF(AN52,"*保育無し*")),"",
IF(MOD(AN53-AN52,1)*24&gt;=8,1,
IF(MOD(AN53-AN52,1)*24&gt;=6,0.75,0))))</f>
        <v>0</v>
      </c>
      <c r="AP53" s="18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ca="1">IF(AP52=0,0,
IF(OR(AP52="",COUNTIF(AP52,"*保育無し*")),"",
IF(MOD(AP53-AP52,1)*24&gt;=8,1,
IF(MOD(AP53-AP52,1)*24&gt;=6,0.75,0))))</f>
        <v>0</v>
      </c>
      <c r="AR53" s="18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ca="1">IF(AR52=0,0,
IF(OR(AR52="",COUNTIF(AR52,"*保育無し*")),"",
IF(MOD(AR53-AR52,1)*24&gt;=8,1,
IF(MOD(AR53-AR52,1)*24&gt;=6,0.75,0))))</f>
        <v>0</v>
      </c>
      <c r="AT53" s="18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ca="1">IF(AT52=0,0,
IF(OR(AT52="",COUNTIF(AT52,"*保育無し*")),"",
IF(MOD(AT53-AT52,1)*24&gt;=8,1,
IF(MOD(AT53-AT52,1)*24&gt;=6,0.75,0))))</f>
        <v>0</v>
      </c>
      <c r="AV53" s="18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ca="1">IF(AV52=0,0,
IF(OR(AV52="",COUNTIF(AV52,"*保育無し*")),"",
IF(MOD(AV53-AV52,1)*24&gt;=8,1,
IF(MOD(AV53-AV52,1)*24&gt;=6,0.75,0))))</f>
        <v>0</v>
      </c>
      <c r="AX53" s="18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ca="1">IF(AX52=0,0,
IF(OR(AX52="",COUNTIF(AX52,"*保育無し*")),"",
IF(MOD(AX53-AX52,1)*24&gt;=8,1,
IF(MOD(AX53-AX52,1)*24&gt;=6,0.75,0))))</f>
        <v>0</v>
      </c>
      <c r="AZ53" s="18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ca="1">IF(AZ52=0,0,
IF(OR(AZ52="",COUNTIF(AZ52,"*保育無し*")),"",
IF(MOD(AZ53-AZ52,1)*24&gt;=8,1,
IF(MOD(AZ53-AZ52,1)*24&gt;=6,0.75,0))))</f>
        <v>0</v>
      </c>
      <c r="BB53" s="18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ca="1">IF(BB52=0,0,
IF(OR(BB52="",COUNTIF(BB52,"*保育無し*")),"",
IF(MOD(BB53-BB52,1)*24&gt;=8,1,
IF(MOD(BB53-BB52,1)*24&gt;=6,0.75,0))))</f>
        <v>0</v>
      </c>
      <c r="BD53" s="18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ca="1">IF(BD52=0,0,
IF(OR(BD52="",COUNTIF(BD52,"*保育無し*")),"",
IF(MOD(BD53-BD52,1)*24&gt;=8,1,
IF(MOD(BD53-BD52,1)*24&gt;=6,0.75,0))))</f>
        <v>0</v>
      </c>
      <c r="BF53" s="18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ca="1">IF(BF52=0,0,
IF(OR(BF52="",COUNTIF(BF52,"*保育無し*")),"",
IF(MOD(BF53-BF52,1)*24&gt;=8,1,
IF(MOD(BF53-BF52,1)*24&gt;=6,0.75,0))))</f>
        <v>0</v>
      </c>
      <c r="BH53" s="18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ca="1">IF(BH52=0,0,
IF(OR(BH52="",COUNTIF(BH52,"*保育無し*")),"",
IF(MOD(BH53-BH52,1)*24&gt;=8,1,
IF(MOD(BH53-BH52,1)*24&gt;=6,0.75,0))))</f>
        <v>0</v>
      </c>
      <c r="BJ53" s="18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ca="1">IF(BJ52=0,0,
IF(OR(BJ52="",COUNTIF(BJ52,"*保育無し*")),"",
IF(MOD(BJ53-BJ52,1)*24&gt;=8,1,
IF(MOD(BJ53-BJ52,1)*24&gt;=6,0.75,0))))</f>
        <v>0</v>
      </c>
      <c r="BL53" s="18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ca="1">IF(BL52=0,0,
IF(OR(BL52="",COUNTIF(BL52,"*保育無し*")),"",
IF(MOD(BL53-BL52,1)*24&gt;=8,1,
IF(MOD(BL53-BL52,1)*24&gt;=6,0.75,0))))</f>
        <v>0</v>
      </c>
      <c r="BN53" s="18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ca="1">IF(BN52=0,0,
IF(OR(BN52="",COUNTIF(BN52,"*保育無し*")),"",
IF(MOD(BN53-BN52,1)*24&gt;=8,1,
IF(MOD(BN53-BN52,1)*24&gt;=6,0.75,0))))</f>
        <v>0</v>
      </c>
      <c r="BP53" s="18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ca="1">IF(BP52=0,0,
IF(OR(BP52="",COUNTIF(BP52,"*保育無し*")),"",
IF(MOD(BP53-BP52,1)*24&gt;=8,1,
IF(MOD(BP53-BP52,1)*24&gt;=6,0.75,0))))</f>
        <v>0</v>
      </c>
      <c r="BR53" s="18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ca="1">IF(BR52=0,0,
IF(OR(BR52="",COUNTIF(BR52,"*保育無し*")),"",
IF(MOD(BR53-BR52,1)*24&gt;=8,1,
IF(MOD(BR53-BR52,1)*24&gt;=6,0.75,0))))</f>
        <v>0</v>
      </c>
      <c r="BT53" s="18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ca="1">IF(BT52=0,0,
IF(OR(BT52="",COUNTIF(BT52,"*保育無し*")),"",
IF(MOD(BT53-BT52,1)*24&gt;=8,1,
IF(MOD(BT53-BT52,1)*24&gt;=6,0.75,0))))</f>
        <v>0</v>
      </c>
      <c r="BV53" s="18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ca="1">IF(BV52=0,0,
IF(OR(BV52="",COUNTIF(BV52,"*保育無し*")),"",
IF(MOD(BV53-BV52,1)*24&gt;=8,1,
IF(MOD(BV53-BV52,1)*24&gt;=6,0.75,0))))</f>
        <v>0</v>
      </c>
      <c r="BX53" s="18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88" t="str">
        <f t="array" ref="M5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89"/>
      <c r="O54" s="93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>
        <f t="array" ref="P54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>
        <f t="array" ref="Q54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90"/>
      <c r="N55" s="91"/>
      <c r="O55" s="94"/>
      <c r="P55" s="18">
        <f t="array" ref="P55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>IF(P54=0,0,
IF(OR(P54="",COUNTIF(P54,"*保育無し*")),"",
IF(MOD(P55-P54,1)*24&gt;=8,1,
IF(MOD(P55-P54,1)*24&gt;=6,0.75,0))))</f>
        <v>0</v>
      </c>
      <c r="R55" s="18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ca="1">IF(T54=0,0,
IF(OR(T54="",COUNTIF(T54,"*保育無し*")),"",
IF(MOD(T55-T54,1)*24&gt;=8,1,
IF(MOD(T55-T54,1)*24&gt;=6,0.75,0))))</f>
        <v>0</v>
      </c>
      <c r="V55" s="18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ca="1">IF(V54=0,0,
IF(OR(V54="",COUNTIF(V54,"*保育無し*")),"",
IF(MOD(V55-V54,1)*24&gt;=8,1,
IF(MOD(V55-V54,1)*24&gt;=6,0.75,0))))</f>
        <v>0</v>
      </c>
      <c r="X55" s="18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ca="1">IF(X54=0,0,
IF(OR(X54="",COUNTIF(X54,"*保育無し*")),"",
IF(MOD(X55-X54,1)*24&gt;=8,1,
IF(MOD(X55-X54,1)*24&gt;=6,0.75,0))))</f>
        <v>0</v>
      </c>
      <c r="Z55" s="18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ca="1">IF(Z54=0,0,
IF(OR(Z54="",COUNTIF(Z54,"*保育無し*")),"",
IF(MOD(Z55-Z54,1)*24&gt;=8,1,
IF(MOD(Z55-Z54,1)*24&gt;=6,0.75,0))))</f>
        <v>0</v>
      </c>
      <c r="AB55" s="18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ca="1">IF(AB54=0,0,
IF(OR(AB54="",COUNTIF(AB54,"*保育無し*")),"",
IF(MOD(AB55-AB54,1)*24&gt;=8,1,
IF(MOD(AB55-AB54,1)*24&gt;=6,0.75,0))))</f>
        <v>0</v>
      </c>
      <c r="AD55" s="18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ca="1">IF(AD54=0,0,
IF(OR(AD54="",COUNTIF(AD54,"*保育無し*")),"",
IF(MOD(AD55-AD54,1)*24&gt;=8,1,
IF(MOD(AD55-AD54,1)*24&gt;=6,0.75,0))))</f>
        <v>0</v>
      </c>
      <c r="AF55" s="18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ca="1">IF(AF54=0,0,
IF(OR(AF54="",COUNTIF(AF54,"*保育無し*")),"",
IF(MOD(AF55-AF54,1)*24&gt;=8,1,
IF(MOD(AF55-AF54,1)*24&gt;=6,0.75,0))))</f>
        <v>0</v>
      </c>
      <c r="AH55" s="18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ca="1">IF(AH54=0,0,
IF(OR(AH54="",COUNTIF(AH54,"*保育無し*")),"",
IF(MOD(AH55-AH54,1)*24&gt;=8,1,
IF(MOD(AH55-AH54,1)*24&gt;=6,0.75,0))))</f>
        <v>0</v>
      </c>
      <c r="AJ55" s="18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ca="1">IF(AJ54=0,0,
IF(OR(AJ54="",COUNTIF(AJ54,"*保育無し*")),"",
IF(MOD(AJ55-AJ54,1)*24&gt;=8,1,
IF(MOD(AJ55-AJ54,1)*24&gt;=6,0.75,0))))</f>
        <v>0</v>
      </c>
      <c r="AL55" s="18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ca="1">IF(AL54=0,0,
IF(OR(AL54="",COUNTIF(AL54,"*保育無し*")),"",
IF(MOD(AL55-AL54,1)*24&gt;=8,1,
IF(MOD(AL55-AL54,1)*24&gt;=6,0.75,0))))</f>
        <v>0</v>
      </c>
      <c r="AN55" s="18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ca="1">IF(AN54=0,0,
IF(OR(AN54="",COUNTIF(AN54,"*保育無し*")),"",
IF(MOD(AN55-AN54,1)*24&gt;=8,1,
IF(MOD(AN55-AN54,1)*24&gt;=6,0.75,0))))</f>
        <v>0</v>
      </c>
      <c r="AP55" s="18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ca="1">IF(AP54=0,0,
IF(OR(AP54="",COUNTIF(AP54,"*保育無し*")),"",
IF(MOD(AP55-AP54,1)*24&gt;=8,1,
IF(MOD(AP55-AP54,1)*24&gt;=6,0.75,0))))</f>
        <v>0</v>
      </c>
      <c r="AR55" s="18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ca="1">IF(AR54=0,0,
IF(OR(AR54="",COUNTIF(AR54,"*保育無し*")),"",
IF(MOD(AR55-AR54,1)*24&gt;=8,1,
IF(MOD(AR55-AR54,1)*24&gt;=6,0.75,0))))</f>
        <v>0</v>
      </c>
      <c r="AT55" s="18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ca="1">IF(AT54=0,0,
IF(OR(AT54="",COUNTIF(AT54,"*保育無し*")),"",
IF(MOD(AT55-AT54,1)*24&gt;=8,1,
IF(MOD(AT55-AT54,1)*24&gt;=6,0.75,0))))</f>
        <v>0</v>
      </c>
      <c r="AV55" s="18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ca="1">IF(AV54=0,0,
IF(OR(AV54="",COUNTIF(AV54,"*保育無し*")),"",
IF(MOD(AV55-AV54,1)*24&gt;=8,1,
IF(MOD(AV55-AV54,1)*24&gt;=6,0.75,0))))</f>
        <v>0</v>
      </c>
      <c r="AX55" s="18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ca="1">IF(AX54=0,0,
IF(OR(AX54="",COUNTIF(AX54,"*保育無し*")),"",
IF(MOD(AX55-AX54,1)*24&gt;=8,1,
IF(MOD(AX55-AX54,1)*24&gt;=6,0.75,0))))</f>
        <v>0</v>
      </c>
      <c r="AZ55" s="18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ca="1">IF(AZ54=0,0,
IF(OR(AZ54="",COUNTIF(AZ54,"*保育無し*")),"",
IF(MOD(AZ55-AZ54,1)*24&gt;=8,1,
IF(MOD(AZ55-AZ54,1)*24&gt;=6,0.75,0))))</f>
        <v>0</v>
      </c>
      <c r="BB55" s="18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ca="1">IF(BB54=0,0,
IF(OR(BB54="",COUNTIF(BB54,"*保育無し*")),"",
IF(MOD(BB55-BB54,1)*24&gt;=8,1,
IF(MOD(BB55-BB54,1)*24&gt;=6,0.75,0))))</f>
        <v>0</v>
      </c>
      <c r="BD55" s="18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ca="1">IF(BD54=0,0,
IF(OR(BD54="",COUNTIF(BD54,"*保育無し*")),"",
IF(MOD(BD55-BD54,1)*24&gt;=8,1,
IF(MOD(BD55-BD54,1)*24&gt;=6,0.75,0))))</f>
        <v>0</v>
      </c>
      <c r="BF55" s="18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ca="1">IF(BF54=0,0,
IF(OR(BF54="",COUNTIF(BF54,"*保育無し*")),"",
IF(MOD(BF55-BF54,1)*24&gt;=8,1,
IF(MOD(BF55-BF54,1)*24&gt;=6,0.75,0))))</f>
        <v>0</v>
      </c>
      <c r="BH55" s="18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ca="1">IF(BH54=0,0,
IF(OR(BH54="",COUNTIF(BH54,"*保育無し*")),"",
IF(MOD(BH55-BH54,1)*24&gt;=8,1,
IF(MOD(BH55-BH54,1)*24&gt;=6,0.75,0))))</f>
        <v>0</v>
      </c>
      <c r="BJ55" s="18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ca="1">IF(BJ54=0,0,
IF(OR(BJ54="",COUNTIF(BJ54,"*保育無し*")),"",
IF(MOD(BJ55-BJ54,1)*24&gt;=8,1,
IF(MOD(BJ55-BJ54,1)*24&gt;=6,0.75,0))))</f>
        <v>0</v>
      </c>
      <c r="BL55" s="18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ca="1">IF(BL54=0,0,
IF(OR(BL54="",COUNTIF(BL54,"*保育無し*")),"",
IF(MOD(BL55-BL54,1)*24&gt;=8,1,
IF(MOD(BL55-BL54,1)*24&gt;=6,0.75,0))))</f>
        <v>0</v>
      </c>
      <c r="BN55" s="18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ca="1">IF(BN54=0,0,
IF(OR(BN54="",COUNTIF(BN54,"*保育無し*")),"",
IF(MOD(BN55-BN54,1)*24&gt;=8,1,
IF(MOD(BN55-BN54,1)*24&gt;=6,0.75,0))))</f>
        <v>0</v>
      </c>
      <c r="BP55" s="18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ca="1">IF(BP54=0,0,
IF(OR(BP54="",COUNTIF(BP54,"*保育無し*")),"",
IF(MOD(BP55-BP54,1)*24&gt;=8,1,
IF(MOD(BP55-BP54,1)*24&gt;=6,0.75,0))))</f>
        <v>0</v>
      </c>
      <c r="BR55" s="18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ca="1">IF(BR54=0,0,
IF(OR(BR54="",COUNTIF(BR54,"*保育無し*")),"",
IF(MOD(BR55-BR54,1)*24&gt;=8,1,
IF(MOD(BR55-BR54,1)*24&gt;=6,0.75,0))))</f>
        <v>0</v>
      </c>
      <c r="BT55" s="18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ca="1">IF(BT54=0,0,
IF(OR(BT54="",COUNTIF(BT54,"*保育無し*")),"",
IF(MOD(BT55-BT54,1)*24&gt;=8,1,
IF(MOD(BT55-BT54,1)*24&gt;=6,0.75,0))))</f>
        <v>0</v>
      </c>
      <c r="BV55" s="18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ca="1">IF(BV54=0,0,
IF(OR(BV54="",COUNTIF(BV54,"*保育無し*")),"",
IF(MOD(BV55-BV54,1)*24&gt;=8,1,
IF(MOD(BV55-BV54,1)*24&gt;=6,0.75,0))))</f>
        <v>0</v>
      </c>
      <c r="BX55" s="18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88" t="str">
        <f t="array" ref="M5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89"/>
      <c r="O56" s="93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>
        <f t="array" ref="P56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>
        <f t="array" ref="Q56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90"/>
      <c r="N57" s="91"/>
      <c r="O57" s="94"/>
      <c r="P57" s="18">
        <f t="array" ref="P57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>IF(P56=0,0,
IF(OR(P56="",COUNTIF(P56,"*保育無し*")),"",
IF(MOD(P57-P56,1)*24&gt;=8,1,
IF(MOD(P57-P56,1)*24&gt;=6,0.75,0))))</f>
        <v>0</v>
      </c>
      <c r="R57" s="18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ca="1">IF(T56=0,0,
IF(OR(T56="",COUNTIF(T56,"*保育無し*")),"",
IF(MOD(T57-T56,1)*24&gt;=8,1,
IF(MOD(T57-T56,1)*24&gt;=6,0.75,0))))</f>
        <v>0</v>
      </c>
      <c r="V57" s="18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ca="1">IF(V56=0,0,
IF(OR(V56="",COUNTIF(V56,"*保育無し*")),"",
IF(MOD(V57-V56,1)*24&gt;=8,1,
IF(MOD(V57-V56,1)*24&gt;=6,0.75,0))))</f>
        <v>0</v>
      </c>
      <c r="X57" s="18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ca="1">IF(X56=0,0,
IF(OR(X56="",COUNTIF(X56,"*保育無し*")),"",
IF(MOD(X57-X56,1)*24&gt;=8,1,
IF(MOD(X57-X56,1)*24&gt;=6,0.75,0))))</f>
        <v>0</v>
      </c>
      <c r="Z57" s="18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ca="1">IF(Z56=0,0,
IF(OR(Z56="",COUNTIF(Z56,"*保育無し*")),"",
IF(MOD(Z57-Z56,1)*24&gt;=8,1,
IF(MOD(Z57-Z56,1)*24&gt;=6,0.75,0))))</f>
        <v>0</v>
      </c>
      <c r="AB57" s="18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ca="1">IF(AB56=0,0,
IF(OR(AB56="",COUNTIF(AB56,"*保育無し*")),"",
IF(MOD(AB57-AB56,1)*24&gt;=8,1,
IF(MOD(AB57-AB56,1)*24&gt;=6,0.75,0))))</f>
        <v>0</v>
      </c>
      <c r="AD57" s="18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ca="1">IF(AD56=0,0,
IF(OR(AD56="",COUNTIF(AD56,"*保育無し*")),"",
IF(MOD(AD57-AD56,1)*24&gt;=8,1,
IF(MOD(AD57-AD56,1)*24&gt;=6,0.75,0))))</f>
        <v>0</v>
      </c>
      <c r="AF57" s="18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ca="1">IF(AF56=0,0,
IF(OR(AF56="",COUNTIF(AF56,"*保育無し*")),"",
IF(MOD(AF57-AF56,1)*24&gt;=8,1,
IF(MOD(AF57-AF56,1)*24&gt;=6,0.75,0))))</f>
        <v>0</v>
      </c>
      <c r="AH57" s="18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ca="1">IF(AH56=0,0,
IF(OR(AH56="",COUNTIF(AH56,"*保育無し*")),"",
IF(MOD(AH57-AH56,1)*24&gt;=8,1,
IF(MOD(AH57-AH56,1)*24&gt;=6,0.75,0))))</f>
        <v>0</v>
      </c>
      <c r="AJ57" s="18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ca="1">IF(AJ56=0,0,
IF(OR(AJ56="",COUNTIF(AJ56,"*保育無し*")),"",
IF(MOD(AJ57-AJ56,1)*24&gt;=8,1,
IF(MOD(AJ57-AJ56,1)*24&gt;=6,0.75,0))))</f>
        <v>0</v>
      </c>
      <c r="AL57" s="18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ca="1">IF(AL56=0,0,
IF(OR(AL56="",COUNTIF(AL56,"*保育無し*")),"",
IF(MOD(AL57-AL56,1)*24&gt;=8,1,
IF(MOD(AL57-AL56,1)*24&gt;=6,0.75,0))))</f>
        <v>0</v>
      </c>
      <c r="AN57" s="18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ca="1">IF(AN56=0,0,
IF(OR(AN56="",COUNTIF(AN56,"*保育無し*")),"",
IF(MOD(AN57-AN56,1)*24&gt;=8,1,
IF(MOD(AN57-AN56,1)*24&gt;=6,0.75,0))))</f>
        <v>0</v>
      </c>
      <c r="AP57" s="18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ca="1">IF(AP56=0,0,
IF(OR(AP56="",COUNTIF(AP56,"*保育無し*")),"",
IF(MOD(AP57-AP56,1)*24&gt;=8,1,
IF(MOD(AP57-AP56,1)*24&gt;=6,0.75,0))))</f>
        <v>0</v>
      </c>
      <c r="AR57" s="18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ca="1">IF(AR56=0,0,
IF(OR(AR56="",COUNTIF(AR56,"*保育無し*")),"",
IF(MOD(AR57-AR56,1)*24&gt;=8,1,
IF(MOD(AR57-AR56,1)*24&gt;=6,0.75,0))))</f>
        <v>0</v>
      </c>
      <c r="AT57" s="18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ca="1">IF(AT56=0,0,
IF(OR(AT56="",COUNTIF(AT56,"*保育無し*")),"",
IF(MOD(AT57-AT56,1)*24&gt;=8,1,
IF(MOD(AT57-AT56,1)*24&gt;=6,0.75,0))))</f>
        <v>0</v>
      </c>
      <c r="AV57" s="18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ca="1">IF(AV56=0,0,
IF(OR(AV56="",COUNTIF(AV56,"*保育無し*")),"",
IF(MOD(AV57-AV56,1)*24&gt;=8,1,
IF(MOD(AV57-AV56,1)*24&gt;=6,0.75,0))))</f>
        <v>0</v>
      </c>
      <c r="AX57" s="18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ca="1">IF(AX56=0,0,
IF(OR(AX56="",COUNTIF(AX56,"*保育無し*")),"",
IF(MOD(AX57-AX56,1)*24&gt;=8,1,
IF(MOD(AX57-AX56,1)*24&gt;=6,0.75,0))))</f>
        <v>0</v>
      </c>
      <c r="AZ57" s="18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ca="1">IF(AZ56=0,0,
IF(OR(AZ56="",COUNTIF(AZ56,"*保育無し*")),"",
IF(MOD(AZ57-AZ56,1)*24&gt;=8,1,
IF(MOD(AZ57-AZ56,1)*24&gt;=6,0.75,0))))</f>
        <v>0</v>
      </c>
      <c r="BB57" s="18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ca="1">IF(BB56=0,0,
IF(OR(BB56="",COUNTIF(BB56,"*保育無し*")),"",
IF(MOD(BB57-BB56,1)*24&gt;=8,1,
IF(MOD(BB57-BB56,1)*24&gt;=6,0.75,0))))</f>
        <v>0</v>
      </c>
      <c r="BD57" s="18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ca="1">IF(BD56=0,0,
IF(OR(BD56="",COUNTIF(BD56,"*保育無し*")),"",
IF(MOD(BD57-BD56,1)*24&gt;=8,1,
IF(MOD(BD57-BD56,1)*24&gt;=6,0.75,0))))</f>
        <v>0</v>
      </c>
      <c r="BF57" s="18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ca="1">IF(BF56=0,0,
IF(OR(BF56="",COUNTIF(BF56,"*保育無し*")),"",
IF(MOD(BF57-BF56,1)*24&gt;=8,1,
IF(MOD(BF57-BF56,1)*24&gt;=6,0.75,0))))</f>
        <v>0</v>
      </c>
      <c r="BH57" s="18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ca="1">IF(BH56=0,0,
IF(OR(BH56="",COUNTIF(BH56,"*保育無し*")),"",
IF(MOD(BH57-BH56,1)*24&gt;=8,1,
IF(MOD(BH57-BH56,1)*24&gt;=6,0.75,0))))</f>
        <v>0</v>
      </c>
      <c r="BJ57" s="18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ca="1">IF(BJ56=0,0,
IF(OR(BJ56="",COUNTIF(BJ56,"*保育無し*")),"",
IF(MOD(BJ57-BJ56,1)*24&gt;=8,1,
IF(MOD(BJ57-BJ56,1)*24&gt;=6,0.75,0))))</f>
        <v>0</v>
      </c>
      <c r="BL57" s="18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ca="1">IF(BL56=0,0,
IF(OR(BL56="",COUNTIF(BL56,"*保育無し*")),"",
IF(MOD(BL57-BL56,1)*24&gt;=8,1,
IF(MOD(BL57-BL56,1)*24&gt;=6,0.75,0))))</f>
        <v>0</v>
      </c>
      <c r="BN57" s="18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ca="1">IF(BN56=0,0,
IF(OR(BN56="",COUNTIF(BN56,"*保育無し*")),"",
IF(MOD(BN57-BN56,1)*24&gt;=8,1,
IF(MOD(BN57-BN56,1)*24&gt;=6,0.75,0))))</f>
        <v>0</v>
      </c>
      <c r="BP57" s="18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ca="1">IF(BP56=0,0,
IF(OR(BP56="",COUNTIF(BP56,"*保育無し*")),"",
IF(MOD(BP57-BP56,1)*24&gt;=8,1,
IF(MOD(BP57-BP56,1)*24&gt;=6,0.75,0))))</f>
        <v>0</v>
      </c>
      <c r="BR57" s="18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ca="1">IF(BR56=0,0,
IF(OR(BR56="",COUNTIF(BR56,"*保育無し*")),"",
IF(MOD(BR57-BR56,1)*24&gt;=8,1,
IF(MOD(BR57-BR56,1)*24&gt;=6,0.75,0))))</f>
        <v>0</v>
      </c>
      <c r="BT57" s="18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ca="1">IF(BT56=0,0,
IF(OR(BT56="",COUNTIF(BT56,"*保育無し*")),"",
IF(MOD(BT57-BT56,1)*24&gt;=8,1,
IF(MOD(BT57-BT56,1)*24&gt;=6,0.75,0))))</f>
        <v>0</v>
      </c>
      <c r="BV57" s="18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ca="1">IF(BV56=0,0,
IF(OR(BV56="",COUNTIF(BV56,"*保育無し*")),"",
IF(MOD(BV57-BV56,1)*24&gt;=8,1,
IF(MOD(BV57-BV56,1)*24&gt;=6,0.75,0))))</f>
        <v>0</v>
      </c>
      <c r="BX57" s="18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88" t="str">
        <f t="array" ref="M5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89"/>
      <c r="O58" s="93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>
        <f t="array" ref="P58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>
        <f t="array" ref="Q58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90"/>
      <c r="N59" s="91"/>
      <c r="O59" s="94"/>
      <c r="P59" s="18">
        <f t="array" ref="P59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>IF(P58=0,0,
IF(OR(P58="",COUNTIF(P58,"*保育無し*")),"",
IF(MOD(P59-P58,1)*24&gt;=8,1,
IF(MOD(P59-P58,1)*24&gt;=6,0.75,0))))</f>
        <v>0</v>
      </c>
      <c r="R59" s="18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ca="1">IF(T58=0,0,
IF(OR(T58="",COUNTIF(T58,"*保育無し*")),"",
IF(MOD(T59-T58,1)*24&gt;=8,1,
IF(MOD(T59-T58,1)*24&gt;=6,0.75,0))))</f>
        <v>0</v>
      </c>
      <c r="V59" s="18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ca="1">IF(V58=0,0,
IF(OR(V58="",COUNTIF(V58,"*保育無し*")),"",
IF(MOD(V59-V58,1)*24&gt;=8,1,
IF(MOD(V59-V58,1)*24&gt;=6,0.75,0))))</f>
        <v>0</v>
      </c>
      <c r="X59" s="18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ca="1">IF(X58=0,0,
IF(OR(X58="",COUNTIF(X58,"*保育無し*")),"",
IF(MOD(X59-X58,1)*24&gt;=8,1,
IF(MOD(X59-X58,1)*24&gt;=6,0.75,0))))</f>
        <v>0</v>
      </c>
      <c r="Z59" s="18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ca="1">IF(Z58=0,0,
IF(OR(Z58="",COUNTIF(Z58,"*保育無し*")),"",
IF(MOD(Z59-Z58,1)*24&gt;=8,1,
IF(MOD(Z59-Z58,1)*24&gt;=6,0.75,0))))</f>
        <v>0</v>
      </c>
      <c r="AB59" s="18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ca="1">IF(AB58=0,0,
IF(OR(AB58="",COUNTIF(AB58,"*保育無し*")),"",
IF(MOD(AB59-AB58,1)*24&gt;=8,1,
IF(MOD(AB59-AB58,1)*24&gt;=6,0.75,0))))</f>
        <v>0</v>
      </c>
      <c r="AD59" s="18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ca="1">IF(AD58=0,0,
IF(OR(AD58="",COUNTIF(AD58,"*保育無し*")),"",
IF(MOD(AD59-AD58,1)*24&gt;=8,1,
IF(MOD(AD59-AD58,1)*24&gt;=6,0.75,0))))</f>
        <v>0</v>
      </c>
      <c r="AF59" s="18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ca="1">IF(AF58=0,0,
IF(OR(AF58="",COUNTIF(AF58,"*保育無し*")),"",
IF(MOD(AF59-AF58,1)*24&gt;=8,1,
IF(MOD(AF59-AF58,1)*24&gt;=6,0.75,0))))</f>
        <v>0</v>
      </c>
      <c r="AH59" s="18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ca="1">IF(AH58=0,0,
IF(OR(AH58="",COUNTIF(AH58,"*保育無し*")),"",
IF(MOD(AH59-AH58,1)*24&gt;=8,1,
IF(MOD(AH59-AH58,1)*24&gt;=6,0.75,0))))</f>
        <v>0</v>
      </c>
      <c r="AJ59" s="18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ca="1">IF(AJ58=0,0,
IF(OR(AJ58="",COUNTIF(AJ58,"*保育無し*")),"",
IF(MOD(AJ59-AJ58,1)*24&gt;=8,1,
IF(MOD(AJ59-AJ58,1)*24&gt;=6,0.75,0))))</f>
        <v>0</v>
      </c>
      <c r="AL59" s="18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ca="1">IF(AL58=0,0,
IF(OR(AL58="",COUNTIF(AL58,"*保育無し*")),"",
IF(MOD(AL59-AL58,1)*24&gt;=8,1,
IF(MOD(AL59-AL58,1)*24&gt;=6,0.75,0))))</f>
        <v>0</v>
      </c>
      <c r="AN59" s="18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ca="1">IF(AN58=0,0,
IF(OR(AN58="",COUNTIF(AN58,"*保育無し*")),"",
IF(MOD(AN59-AN58,1)*24&gt;=8,1,
IF(MOD(AN59-AN58,1)*24&gt;=6,0.75,0))))</f>
        <v>0</v>
      </c>
      <c r="AP59" s="18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ca="1">IF(AP58=0,0,
IF(OR(AP58="",COUNTIF(AP58,"*保育無し*")),"",
IF(MOD(AP59-AP58,1)*24&gt;=8,1,
IF(MOD(AP59-AP58,1)*24&gt;=6,0.75,0))))</f>
        <v>0</v>
      </c>
      <c r="AR59" s="18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ca="1">IF(AR58=0,0,
IF(OR(AR58="",COUNTIF(AR58,"*保育無し*")),"",
IF(MOD(AR59-AR58,1)*24&gt;=8,1,
IF(MOD(AR59-AR58,1)*24&gt;=6,0.75,0))))</f>
        <v>0</v>
      </c>
      <c r="AT59" s="18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ca="1">IF(AT58=0,0,
IF(OR(AT58="",COUNTIF(AT58,"*保育無し*")),"",
IF(MOD(AT59-AT58,1)*24&gt;=8,1,
IF(MOD(AT59-AT58,1)*24&gt;=6,0.75,0))))</f>
        <v>0</v>
      </c>
      <c r="AV59" s="18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ca="1">IF(AV58=0,0,
IF(OR(AV58="",COUNTIF(AV58,"*保育無し*")),"",
IF(MOD(AV59-AV58,1)*24&gt;=8,1,
IF(MOD(AV59-AV58,1)*24&gt;=6,0.75,0))))</f>
        <v>0</v>
      </c>
      <c r="AX59" s="18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ca="1">IF(AX58=0,0,
IF(OR(AX58="",COUNTIF(AX58,"*保育無し*")),"",
IF(MOD(AX59-AX58,1)*24&gt;=8,1,
IF(MOD(AX59-AX58,1)*24&gt;=6,0.75,0))))</f>
        <v>0</v>
      </c>
      <c r="AZ59" s="18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ca="1">IF(AZ58=0,0,
IF(OR(AZ58="",COUNTIF(AZ58,"*保育無し*")),"",
IF(MOD(AZ59-AZ58,1)*24&gt;=8,1,
IF(MOD(AZ59-AZ58,1)*24&gt;=6,0.75,0))))</f>
        <v>0</v>
      </c>
      <c r="BB59" s="18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ca="1">IF(BB58=0,0,
IF(OR(BB58="",COUNTIF(BB58,"*保育無し*")),"",
IF(MOD(BB59-BB58,1)*24&gt;=8,1,
IF(MOD(BB59-BB58,1)*24&gt;=6,0.75,0))))</f>
        <v>0</v>
      </c>
      <c r="BD59" s="18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ca="1">IF(BD58=0,0,
IF(OR(BD58="",COUNTIF(BD58,"*保育無し*")),"",
IF(MOD(BD59-BD58,1)*24&gt;=8,1,
IF(MOD(BD59-BD58,1)*24&gt;=6,0.75,0))))</f>
        <v>0</v>
      </c>
      <c r="BF59" s="18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ca="1">IF(BF58=0,0,
IF(OR(BF58="",COUNTIF(BF58,"*保育無し*")),"",
IF(MOD(BF59-BF58,1)*24&gt;=8,1,
IF(MOD(BF59-BF58,1)*24&gt;=6,0.75,0))))</f>
        <v>0</v>
      </c>
      <c r="BH59" s="18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ca="1">IF(BH58=0,0,
IF(OR(BH58="",COUNTIF(BH58,"*保育無し*")),"",
IF(MOD(BH59-BH58,1)*24&gt;=8,1,
IF(MOD(BH59-BH58,1)*24&gt;=6,0.75,0))))</f>
        <v>0</v>
      </c>
      <c r="BJ59" s="18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ca="1">IF(BJ58=0,0,
IF(OR(BJ58="",COUNTIF(BJ58,"*保育無し*")),"",
IF(MOD(BJ59-BJ58,1)*24&gt;=8,1,
IF(MOD(BJ59-BJ58,1)*24&gt;=6,0.75,0))))</f>
        <v>0</v>
      </c>
      <c r="BL59" s="18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ca="1">IF(BL58=0,0,
IF(OR(BL58="",COUNTIF(BL58,"*保育無し*")),"",
IF(MOD(BL59-BL58,1)*24&gt;=8,1,
IF(MOD(BL59-BL58,1)*24&gt;=6,0.75,0))))</f>
        <v>0</v>
      </c>
      <c r="BN59" s="18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ca="1">IF(BN58=0,0,
IF(OR(BN58="",COUNTIF(BN58,"*保育無し*")),"",
IF(MOD(BN59-BN58,1)*24&gt;=8,1,
IF(MOD(BN59-BN58,1)*24&gt;=6,0.75,0))))</f>
        <v>0</v>
      </c>
      <c r="BP59" s="18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ca="1">IF(BP58=0,0,
IF(OR(BP58="",COUNTIF(BP58,"*保育無し*")),"",
IF(MOD(BP59-BP58,1)*24&gt;=8,1,
IF(MOD(BP59-BP58,1)*24&gt;=6,0.75,0))))</f>
        <v>0</v>
      </c>
      <c r="BR59" s="18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ca="1">IF(BR58=0,0,
IF(OR(BR58="",COUNTIF(BR58,"*保育無し*")),"",
IF(MOD(BR59-BR58,1)*24&gt;=8,1,
IF(MOD(BR59-BR58,1)*24&gt;=6,0.75,0))))</f>
        <v>0</v>
      </c>
      <c r="BT59" s="18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ca="1">IF(BT58=0,0,
IF(OR(BT58="",COUNTIF(BT58,"*保育無し*")),"",
IF(MOD(BT59-BT58,1)*24&gt;=8,1,
IF(MOD(BT59-BT58,1)*24&gt;=6,0.75,0))))</f>
        <v>0</v>
      </c>
      <c r="BV59" s="18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ca="1">IF(BV58=0,0,
IF(OR(BV58="",COUNTIF(BV58,"*保育無し*")),"",
IF(MOD(BV59-BV58,1)*24&gt;=8,1,
IF(MOD(BV59-BV58,1)*24&gt;=6,0.75,0))))</f>
        <v>0</v>
      </c>
      <c r="BX59" s="18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88" t="str">
        <f t="array" ref="M6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89"/>
      <c r="O60" s="93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>
        <f t="array" ref="P60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>
        <f t="array" ref="Q60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90"/>
      <c r="N61" s="91"/>
      <c r="O61" s="94"/>
      <c r="P61" s="18">
        <f t="array" ref="P6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>IF(P60=0,0,
IF(OR(P60="",COUNTIF(P60,"*保育無し*")),"",
IF(MOD(P61-P60,1)*24&gt;=8,1,
IF(MOD(P61-P60,1)*24&gt;=6,0.75,0))))</f>
        <v>0</v>
      </c>
      <c r="R61" s="18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ca="1">IF(T60=0,0,
IF(OR(T60="",COUNTIF(T60,"*保育無し*")),"",
IF(MOD(T61-T60,1)*24&gt;=8,1,
IF(MOD(T61-T60,1)*24&gt;=6,0.75,0))))</f>
        <v>0</v>
      </c>
      <c r="V61" s="18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ca="1">IF(V60=0,0,
IF(OR(V60="",COUNTIF(V60,"*保育無し*")),"",
IF(MOD(V61-V60,1)*24&gt;=8,1,
IF(MOD(V61-V60,1)*24&gt;=6,0.75,0))))</f>
        <v>0</v>
      </c>
      <c r="X61" s="18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ca="1">IF(X60=0,0,
IF(OR(X60="",COUNTIF(X60,"*保育無し*")),"",
IF(MOD(X61-X60,1)*24&gt;=8,1,
IF(MOD(X61-X60,1)*24&gt;=6,0.75,0))))</f>
        <v>0</v>
      </c>
      <c r="Z61" s="18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ca="1">IF(Z60=0,0,
IF(OR(Z60="",COUNTIF(Z60,"*保育無し*")),"",
IF(MOD(Z61-Z60,1)*24&gt;=8,1,
IF(MOD(Z61-Z60,1)*24&gt;=6,0.75,0))))</f>
        <v>0</v>
      </c>
      <c r="AB61" s="18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ca="1">IF(AB60=0,0,
IF(OR(AB60="",COUNTIF(AB60,"*保育無し*")),"",
IF(MOD(AB61-AB60,1)*24&gt;=8,1,
IF(MOD(AB61-AB60,1)*24&gt;=6,0.75,0))))</f>
        <v>0</v>
      </c>
      <c r="AD61" s="18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ca="1">IF(AD60=0,0,
IF(OR(AD60="",COUNTIF(AD60,"*保育無し*")),"",
IF(MOD(AD61-AD60,1)*24&gt;=8,1,
IF(MOD(AD61-AD60,1)*24&gt;=6,0.75,0))))</f>
        <v>0</v>
      </c>
      <c r="AF61" s="18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ca="1">IF(AF60=0,0,
IF(OR(AF60="",COUNTIF(AF60,"*保育無し*")),"",
IF(MOD(AF61-AF60,1)*24&gt;=8,1,
IF(MOD(AF61-AF60,1)*24&gt;=6,0.75,0))))</f>
        <v>0</v>
      </c>
      <c r="AH61" s="18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ca="1">IF(AH60=0,0,
IF(OR(AH60="",COUNTIF(AH60,"*保育無し*")),"",
IF(MOD(AH61-AH60,1)*24&gt;=8,1,
IF(MOD(AH61-AH60,1)*24&gt;=6,0.75,0))))</f>
        <v>0</v>
      </c>
      <c r="AJ61" s="18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ca="1">IF(AJ60=0,0,
IF(OR(AJ60="",COUNTIF(AJ60,"*保育無し*")),"",
IF(MOD(AJ61-AJ60,1)*24&gt;=8,1,
IF(MOD(AJ61-AJ60,1)*24&gt;=6,0.75,0))))</f>
        <v>0</v>
      </c>
      <c r="AL61" s="18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ca="1">IF(AL60=0,0,
IF(OR(AL60="",COUNTIF(AL60,"*保育無し*")),"",
IF(MOD(AL61-AL60,1)*24&gt;=8,1,
IF(MOD(AL61-AL60,1)*24&gt;=6,0.75,0))))</f>
        <v>0</v>
      </c>
      <c r="AN61" s="18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ca="1">IF(AN60=0,0,
IF(OR(AN60="",COUNTIF(AN60,"*保育無し*")),"",
IF(MOD(AN61-AN60,1)*24&gt;=8,1,
IF(MOD(AN61-AN60,1)*24&gt;=6,0.75,0))))</f>
        <v>0</v>
      </c>
      <c r="AP61" s="18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ca="1">IF(AP60=0,0,
IF(OR(AP60="",COUNTIF(AP60,"*保育無し*")),"",
IF(MOD(AP61-AP60,1)*24&gt;=8,1,
IF(MOD(AP61-AP60,1)*24&gt;=6,0.75,0))))</f>
        <v>0</v>
      </c>
      <c r="AR61" s="18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ca="1">IF(AR60=0,0,
IF(OR(AR60="",COUNTIF(AR60,"*保育無し*")),"",
IF(MOD(AR61-AR60,1)*24&gt;=8,1,
IF(MOD(AR61-AR60,1)*24&gt;=6,0.75,0))))</f>
        <v>0</v>
      </c>
      <c r="AT61" s="18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ca="1">IF(AT60=0,0,
IF(OR(AT60="",COUNTIF(AT60,"*保育無し*")),"",
IF(MOD(AT61-AT60,1)*24&gt;=8,1,
IF(MOD(AT61-AT60,1)*24&gt;=6,0.75,0))))</f>
        <v>0</v>
      </c>
      <c r="AV61" s="18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ca="1">IF(AV60=0,0,
IF(OR(AV60="",COUNTIF(AV60,"*保育無し*")),"",
IF(MOD(AV61-AV60,1)*24&gt;=8,1,
IF(MOD(AV61-AV60,1)*24&gt;=6,0.75,0))))</f>
        <v>0</v>
      </c>
      <c r="AX61" s="18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ca="1">IF(AX60=0,0,
IF(OR(AX60="",COUNTIF(AX60,"*保育無し*")),"",
IF(MOD(AX61-AX60,1)*24&gt;=8,1,
IF(MOD(AX61-AX60,1)*24&gt;=6,0.75,0))))</f>
        <v>0</v>
      </c>
      <c r="AZ61" s="18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ca="1">IF(AZ60=0,0,
IF(OR(AZ60="",COUNTIF(AZ60,"*保育無し*")),"",
IF(MOD(AZ61-AZ60,1)*24&gt;=8,1,
IF(MOD(AZ61-AZ60,1)*24&gt;=6,0.75,0))))</f>
        <v>0</v>
      </c>
      <c r="BB61" s="18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ca="1">IF(BB60=0,0,
IF(OR(BB60="",COUNTIF(BB60,"*保育無し*")),"",
IF(MOD(BB61-BB60,1)*24&gt;=8,1,
IF(MOD(BB61-BB60,1)*24&gt;=6,0.75,0))))</f>
        <v>0</v>
      </c>
      <c r="BD61" s="18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ca="1">IF(BD60=0,0,
IF(OR(BD60="",COUNTIF(BD60,"*保育無し*")),"",
IF(MOD(BD61-BD60,1)*24&gt;=8,1,
IF(MOD(BD61-BD60,1)*24&gt;=6,0.75,0))))</f>
        <v>0</v>
      </c>
      <c r="BF61" s="18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ca="1">IF(BF60=0,0,
IF(OR(BF60="",COUNTIF(BF60,"*保育無し*")),"",
IF(MOD(BF61-BF60,1)*24&gt;=8,1,
IF(MOD(BF61-BF60,1)*24&gt;=6,0.75,0))))</f>
        <v>0</v>
      </c>
      <c r="BH61" s="18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ca="1">IF(BH60=0,0,
IF(OR(BH60="",COUNTIF(BH60,"*保育無し*")),"",
IF(MOD(BH61-BH60,1)*24&gt;=8,1,
IF(MOD(BH61-BH60,1)*24&gt;=6,0.75,0))))</f>
        <v>0</v>
      </c>
      <c r="BJ61" s="18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ca="1">IF(BJ60=0,0,
IF(OR(BJ60="",COUNTIF(BJ60,"*保育無し*")),"",
IF(MOD(BJ61-BJ60,1)*24&gt;=8,1,
IF(MOD(BJ61-BJ60,1)*24&gt;=6,0.75,0))))</f>
        <v>0</v>
      </c>
      <c r="BL61" s="18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ca="1">IF(BL60=0,0,
IF(OR(BL60="",COUNTIF(BL60,"*保育無し*")),"",
IF(MOD(BL61-BL60,1)*24&gt;=8,1,
IF(MOD(BL61-BL60,1)*24&gt;=6,0.75,0))))</f>
        <v>0</v>
      </c>
      <c r="BN61" s="18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ca="1">IF(BN60=0,0,
IF(OR(BN60="",COUNTIF(BN60,"*保育無し*")),"",
IF(MOD(BN61-BN60,1)*24&gt;=8,1,
IF(MOD(BN61-BN60,1)*24&gt;=6,0.75,0))))</f>
        <v>0</v>
      </c>
      <c r="BP61" s="18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ca="1">IF(BP60=0,0,
IF(OR(BP60="",COUNTIF(BP60,"*保育無し*")),"",
IF(MOD(BP61-BP60,1)*24&gt;=8,1,
IF(MOD(BP61-BP60,1)*24&gt;=6,0.75,0))))</f>
        <v>0</v>
      </c>
      <c r="BR61" s="18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ca="1">IF(BR60=0,0,
IF(OR(BR60="",COUNTIF(BR60,"*保育無し*")),"",
IF(MOD(BR61-BR60,1)*24&gt;=8,1,
IF(MOD(BR61-BR60,1)*24&gt;=6,0.75,0))))</f>
        <v>0</v>
      </c>
      <c r="BT61" s="18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ca="1">IF(BT60=0,0,
IF(OR(BT60="",COUNTIF(BT60,"*保育無し*")),"",
IF(MOD(BT61-BT60,1)*24&gt;=8,1,
IF(MOD(BT61-BT60,1)*24&gt;=6,0.75,0))))</f>
        <v>0</v>
      </c>
      <c r="BV61" s="18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ca="1">IF(BV60=0,0,
IF(OR(BV60="",COUNTIF(BV60,"*保育無し*")),"",
IF(MOD(BV61-BV60,1)*24&gt;=8,1,
IF(MOD(BV61-BV60,1)*24&gt;=6,0.75,0))))</f>
        <v>0</v>
      </c>
      <c r="BX61" s="18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88" t="str">
        <f t="array" ref="M6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89"/>
      <c r="O62" s="93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>
        <f t="array" ref="P62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>
        <f t="array" ref="Q62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90"/>
      <c r="N63" s="91"/>
      <c r="O63" s="94"/>
      <c r="P63" s="18">
        <f t="array" ref="P63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>IF(P62=0,0,
IF(OR(P62="",COUNTIF(P62,"*保育無し*")),"",
IF(MOD(P63-P62,1)*24&gt;=8,1,
IF(MOD(P63-P62,1)*24&gt;=6,0.75,0))))</f>
        <v>0</v>
      </c>
      <c r="R63" s="18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ca="1">IF(T62=0,0,
IF(OR(T62="",COUNTIF(T62,"*保育無し*")),"",
IF(MOD(T63-T62,1)*24&gt;=8,1,
IF(MOD(T63-T62,1)*24&gt;=6,0.75,0))))</f>
        <v>0</v>
      </c>
      <c r="V63" s="18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ca="1">IF(V62=0,0,
IF(OR(V62="",COUNTIF(V62,"*保育無し*")),"",
IF(MOD(V63-V62,1)*24&gt;=8,1,
IF(MOD(V63-V62,1)*24&gt;=6,0.75,0))))</f>
        <v>0</v>
      </c>
      <c r="X63" s="18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ca="1">IF(X62=0,0,
IF(OR(X62="",COUNTIF(X62,"*保育無し*")),"",
IF(MOD(X63-X62,1)*24&gt;=8,1,
IF(MOD(X63-X62,1)*24&gt;=6,0.75,0))))</f>
        <v>0</v>
      </c>
      <c r="Z63" s="18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ca="1">IF(Z62=0,0,
IF(OR(Z62="",COUNTIF(Z62,"*保育無し*")),"",
IF(MOD(Z63-Z62,1)*24&gt;=8,1,
IF(MOD(Z63-Z62,1)*24&gt;=6,0.75,0))))</f>
        <v>0</v>
      </c>
      <c r="AB63" s="18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ca="1">IF(AB62=0,0,
IF(OR(AB62="",COUNTIF(AB62,"*保育無し*")),"",
IF(MOD(AB63-AB62,1)*24&gt;=8,1,
IF(MOD(AB63-AB62,1)*24&gt;=6,0.75,0))))</f>
        <v>0</v>
      </c>
      <c r="AD63" s="18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ca="1">IF(AD62=0,0,
IF(OR(AD62="",COUNTIF(AD62,"*保育無し*")),"",
IF(MOD(AD63-AD62,1)*24&gt;=8,1,
IF(MOD(AD63-AD62,1)*24&gt;=6,0.75,0))))</f>
        <v>0</v>
      </c>
      <c r="AF63" s="18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ca="1">IF(AF62=0,0,
IF(OR(AF62="",COUNTIF(AF62,"*保育無し*")),"",
IF(MOD(AF63-AF62,1)*24&gt;=8,1,
IF(MOD(AF63-AF62,1)*24&gt;=6,0.75,0))))</f>
        <v>0</v>
      </c>
      <c r="AH63" s="18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ca="1">IF(AH62=0,0,
IF(OR(AH62="",COUNTIF(AH62,"*保育無し*")),"",
IF(MOD(AH63-AH62,1)*24&gt;=8,1,
IF(MOD(AH63-AH62,1)*24&gt;=6,0.75,0))))</f>
        <v>0</v>
      </c>
      <c r="AJ63" s="18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ca="1">IF(AJ62=0,0,
IF(OR(AJ62="",COUNTIF(AJ62,"*保育無し*")),"",
IF(MOD(AJ63-AJ62,1)*24&gt;=8,1,
IF(MOD(AJ63-AJ62,1)*24&gt;=6,0.75,0))))</f>
        <v>0</v>
      </c>
      <c r="AL63" s="18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ca="1">IF(AL62=0,0,
IF(OR(AL62="",COUNTIF(AL62,"*保育無し*")),"",
IF(MOD(AL63-AL62,1)*24&gt;=8,1,
IF(MOD(AL63-AL62,1)*24&gt;=6,0.75,0))))</f>
        <v>0</v>
      </c>
      <c r="AN63" s="18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ca="1">IF(AN62=0,0,
IF(OR(AN62="",COUNTIF(AN62,"*保育無し*")),"",
IF(MOD(AN63-AN62,1)*24&gt;=8,1,
IF(MOD(AN63-AN62,1)*24&gt;=6,0.75,0))))</f>
        <v>0</v>
      </c>
      <c r="AP63" s="18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ca="1">IF(AP62=0,0,
IF(OR(AP62="",COUNTIF(AP62,"*保育無し*")),"",
IF(MOD(AP63-AP62,1)*24&gt;=8,1,
IF(MOD(AP63-AP62,1)*24&gt;=6,0.75,0))))</f>
        <v>0</v>
      </c>
      <c r="AR63" s="18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ca="1">IF(AR62=0,0,
IF(OR(AR62="",COUNTIF(AR62,"*保育無し*")),"",
IF(MOD(AR63-AR62,1)*24&gt;=8,1,
IF(MOD(AR63-AR62,1)*24&gt;=6,0.75,0))))</f>
        <v>0</v>
      </c>
      <c r="AT63" s="18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ca="1">IF(AT62=0,0,
IF(OR(AT62="",COUNTIF(AT62,"*保育無し*")),"",
IF(MOD(AT63-AT62,1)*24&gt;=8,1,
IF(MOD(AT63-AT62,1)*24&gt;=6,0.75,0))))</f>
        <v>0</v>
      </c>
      <c r="AV63" s="18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ca="1">IF(AV62=0,0,
IF(OR(AV62="",COUNTIF(AV62,"*保育無し*")),"",
IF(MOD(AV63-AV62,1)*24&gt;=8,1,
IF(MOD(AV63-AV62,1)*24&gt;=6,0.75,0))))</f>
        <v>0</v>
      </c>
      <c r="AX63" s="18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ca="1">IF(AX62=0,0,
IF(OR(AX62="",COUNTIF(AX62,"*保育無し*")),"",
IF(MOD(AX63-AX62,1)*24&gt;=8,1,
IF(MOD(AX63-AX62,1)*24&gt;=6,0.75,0))))</f>
        <v>0</v>
      </c>
      <c r="AZ63" s="18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ca="1">IF(AZ62=0,0,
IF(OR(AZ62="",COUNTIF(AZ62,"*保育無し*")),"",
IF(MOD(AZ63-AZ62,1)*24&gt;=8,1,
IF(MOD(AZ63-AZ62,1)*24&gt;=6,0.75,0))))</f>
        <v>0</v>
      </c>
      <c r="BB63" s="18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ca="1">IF(BB62=0,0,
IF(OR(BB62="",COUNTIF(BB62,"*保育無し*")),"",
IF(MOD(BB63-BB62,1)*24&gt;=8,1,
IF(MOD(BB63-BB62,1)*24&gt;=6,0.75,0))))</f>
        <v>0</v>
      </c>
      <c r="BD63" s="18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ca="1">IF(BD62=0,0,
IF(OR(BD62="",COUNTIF(BD62,"*保育無し*")),"",
IF(MOD(BD63-BD62,1)*24&gt;=8,1,
IF(MOD(BD63-BD62,1)*24&gt;=6,0.75,0))))</f>
        <v>0</v>
      </c>
      <c r="BF63" s="18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ca="1">IF(BF62=0,0,
IF(OR(BF62="",COUNTIF(BF62,"*保育無し*")),"",
IF(MOD(BF63-BF62,1)*24&gt;=8,1,
IF(MOD(BF63-BF62,1)*24&gt;=6,0.75,0))))</f>
        <v>0</v>
      </c>
      <c r="BH63" s="18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ca="1">IF(BH62=0,0,
IF(OR(BH62="",COUNTIF(BH62,"*保育無し*")),"",
IF(MOD(BH63-BH62,1)*24&gt;=8,1,
IF(MOD(BH63-BH62,1)*24&gt;=6,0.75,0))))</f>
        <v>0</v>
      </c>
      <c r="BJ63" s="18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ca="1">IF(BJ62=0,0,
IF(OR(BJ62="",COUNTIF(BJ62,"*保育無し*")),"",
IF(MOD(BJ63-BJ62,1)*24&gt;=8,1,
IF(MOD(BJ63-BJ62,1)*24&gt;=6,0.75,0))))</f>
        <v>0</v>
      </c>
      <c r="BL63" s="18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ca="1">IF(BL62=0,0,
IF(OR(BL62="",COUNTIF(BL62,"*保育無し*")),"",
IF(MOD(BL63-BL62,1)*24&gt;=8,1,
IF(MOD(BL63-BL62,1)*24&gt;=6,0.75,0))))</f>
        <v>0</v>
      </c>
      <c r="BN63" s="18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ca="1">IF(BN62=0,0,
IF(OR(BN62="",COUNTIF(BN62,"*保育無し*")),"",
IF(MOD(BN63-BN62,1)*24&gt;=8,1,
IF(MOD(BN63-BN62,1)*24&gt;=6,0.75,0))))</f>
        <v>0</v>
      </c>
      <c r="BP63" s="18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ca="1">IF(BP62=0,0,
IF(OR(BP62="",COUNTIF(BP62,"*保育無し*")),"",
IF(MOD(BP63-BP62,1)*24&gt;=8,1,
IF(MOD(BP63-BP62,1)*24&gt;=6,0.75,0))))</f>
        <v>0</v>
      </c>
      <c r="BR63" s="18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ca="1">IF(BR62=0,0,
IF(OR(BR62="",COUNTIF(BR62,"*保育無し*")),"",
IF(MOD(BR63-BR62,1)*24&gt;=8,1,
IF(MOD(BR63-BR62,1)*24&gt;=6,0.75,0))))</f>
        <v>0</v>
      </c>
      <c r="BT63" s="18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ca="1">IF(BT62=0,0,
IF(OR(BT62="",COUNTIF(BT62,"*保育無し*")),"",
IF(MOD(BT63-BT62,1)*24&gt;=8,1,
IF(MOD(BT63-BT62,1)*24&gt;=6,0.75,0))))</f>
        <v>0</v>
      </c>
      <c r="BV63" s="18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ca="1">IF(BV62=0,0,
IF(OR(BV62="",COUNTIF(BV62,"*保育無し*")),"",
IF(MOD(BV63-BV62,1)*24&gt;=8,1,
IF(MOD(BV63-BV62,1)*24&gt;=6,0.75,0))))</f>
        <v>0</v>
      </c>
      <c r="BX63" s="18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88" t="str">
        <f t="array" ref="M6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89"/>
      <c r="O64" s="93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>
        <f t="array" ref="P64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>
        <f t="array" ref="Q64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90"/>
      <c r="N65" s="91"/>
      <c r="O65" s="94"/>
      <c r="P65" s="18">
        <f t="array" ref="P65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>IF(P64=0,0,
IF(OR(P64="",COUNTIF(P64,"*保育無し*")),"",
IF(MOD(P65-P64,1)*24&gt;=8,1,
IF(MOD(P65-P64,1)*24&gt;=6,0.75,0))))</f>
        <v>0</v>
      </c>
      <c r="R65" s="18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ca="1">IF(T64=0,0,
IF(OR(T64="",COUNTIF(T64,"*保育無し*")),"",
IF(MOD(T65-T64,1)*24&gt;=8,1,
IF(MOD(T65-T64,1)*24&gt;=6,0.75,0))))</f>
        <v>0</v>
      </c>
      <c r="V65" s="18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ca="1">IF(V64=0,0,
IF(OR(V64="",COUNTIF(V64,"*保育無し*")),"",
IF(MOD(V65-V64,1)*24&gt;=8,1,
IF(MOD(V65-V64,1)*24&gt;=6,0.75,0))))</f>
        <v>0</v>
      </c>
      <c r="X65" s="18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ca="1">IF(X64=0,0,
IF(OR(X64="",COUNTIF(X64,"*保育無し*")),"",
IF(MOD(X65-X64,1)*24&gt;=8,1,
IF(MOD(X65-X64,1)*24&gt;=6,0.75,0))))</f>
        <v>0</v>
      </c>
      <c r="Z65" s="18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ca="1">IF(Z64=0,0,
IF(OR(Z64="",COUNTIF(Z64,"*保育無し*")),"",
IF(MOD(Z65-Z64,1)*24&gt;=8,1,
IF(MOD(Z65-Z64,1)*24&gt;=6,0.75,0))))</f>
        <v>0</v>
      </c>
      <c r="AB65" s="18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ca="1">IF(AB64=0,0,
IF(OR(AB64="",COUNTIF(AB64,"*保育無し*")),"",
IF(MOD(AB65-AB64,1)*24&gt;=8,1,
IF(MOD(AB65-AB64,1)*24&gt;=6,0.75,0))))</f>
        <v>0</v>
      </c>
      <c r="AD65" s="18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ca="1">IF(AD64=0,0,
IF(OR(AD64="",COUNTIF(AD64,"*保育無し*")),"",
IF(MOD(AD65-AD64,1)*24&gt;=8,1,
IF(MOD(AD65-AD64,1)*24&gt;=6,0.75,0))))</f>
        <v>0</v>
      </c>
      <c r="AF65" s="18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ca="1">IF(AF64=0,0,
IF(OR(AF64="",COUNTIF(AF64,"*保育無し*")),"",
IF(MOD(AF65-AF64,1)*24&gt;=8,1,
IF(MOD(AF65-AF64,1)*24&gt;=6,0.75,0))))</f>
        <v>0</v>
      </c>
      <c r="AH65" s="18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ca="1">IF(AH64=0,0,
IF(OR(AH64="",COUNTIF(AH64,"*保育無し*")),"",
IF(MOD(AH65-AH64,1)*24&gt;=8,1,
IF(MOD(AH65-AH64,1)*24&gt;=6,0.75,0))))</f>
        <v>0</v>
      </c>
      <c r="AJ65" s="18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ca="1">IF(AJ64=0,0,
IF(OR(AJ64="",COUNTIF(AJ64,"*保育無し*")),"",
IF(MOD(AJ65-AJ64,1)*24&gt;=8,1,
IF(MOD(AJ65-AJ64,1)*24&gt;=6,0.75,0))))</f>
        <v>0</v>
      </c>
      <c r="AL65" s="18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ca="1">IF(AL64=0,0,
IF(OR(AL64="",COUNTIF(AL64,"*保育無し*")),"",
IF(MOD(AL65-AL64,1)*24&gt;=8,1,
IF(MOD(AL65-AL64,1)*24&gt;=6,0.75,0))))</f>
        <v>0</v>
      </c>
      <c r="AN65" s="18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ca="1">IF(AN64=0,0,
IF(OR(AN64="",COUNTIF(AN64,"*保育無し*")),"",
IF(MOD(AN65-AN64,1)*24&gt;=8,1,
IF(MOD(AN65-AN64,1)*24&gt;=6,0.75,0))))</f>
        <v>0</v>
      </c>
      <c r="AP65" s="18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ca="1">IF(AP64=0,0,
IF(OR(AP64="",COUNTIF(AP64,"*保育無し*")),"",
IF(MOD(AP65-AP64,1)*24&gt;=8,1,
IF(MOD(AP65-AP64,1)*24&gt;=6,0.75,0))))</f>
        <v>0</v>
      </c>
      <c r="AR65" s="18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ca="1">IF(AR64=0,0,
IF(OR(AR64="",COUNTIF(AR64,"*保育無し*")),"",
IF(MOD(AR65-AR64,1)*24&gt;=8,1,
IF(MOD(AR65-AR64,1)*24&gt;=6,0.75,0))))</f>
        <v>0</v>
      </c>
      <c r="AT65" s="18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ca="1">IF(AT64=0,0,
IF(OR(AT64="",COUNTIF(AT64,"*保育無し*")),"",
IF(MOD(AT65-AT64,1)*24&gt;=8,1,
IF(MOD(AT65-AT64,1)*24&gt;=6,0.75,0))))</f>
        <v>0</v>
      </c>
      <c r="AV65" s="18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ca="1">IF(AV64=0,0,
IF(OR(AV64="",COUNTIF(AV64,"*保育無し*")),"",
IF(MOD(AV65-AV64,1)*24&gt;=8,1,
IF(MOD(AV65-AV64,1)*24&gt;=6,0.75,0))))</f>
        <v>0</v>
      </c>
      <c r="AX65" s="18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ca="1">IF(AX64=0,0,
IF(OR(AX64="",COUNTIF(AX64,"*保育無し*")),"",
IF(MOD(AX65-AX64,1)*24&gt;=8,1,
IF(MOD(AX65-AX64,1)*24&gt;=6,0.75,0))))</f>
        <v>0</v>
      </c>
      <c r="AZ65" s="18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ca="1">IF(AZ64=0,0,
IF(OR(AZ64="",COUNTIF(AZ64,"*保育無し*")),"",
IF(MOD(AZ65-AZ64,1)*24&gt;=8,1,
IF(MOD(AZ65-AZ64,1)*24&gt;=6,0.75,0))))</f>
        <v>0</v>
      </c>
      <c r="BB65" s="18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ca="1">IF(BB64=0,0,
IF(OR(BB64="",COUNTIF(BB64,"*保育無し*")),"",
IF(MOD(BB65-BB64,1)*24&gt;=8,1,
IF(MOD(BB65-BB64,1)*24&gt;=6,0.75,0))))</f>
        <v>0</v>
      </c>
      <c r="BD65" s="18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ca="1">IF(BD64=0,0,
IF(OR(BD64="",COUNTIF(BD64,"*保育無し*")),"",
IF(MOD(BD65-BD64,1)*24&gt;=8,1,
IF(MOD(BD65-BD64,1)*24&gt;=6,0.75,0))))</f>
        <v>0</v>
      </c>
      <c r="BF65" s="18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ca="1">IF(BF64=0,0,
IF(OR(BF64="",COUNTIF(BF64,"*保育無し*")),"",
IF(MOD(BF65-BF64,1)*24&gt;=8,1,
IF(MOD(BF65-BF64,1)*24&gt;=6,0.75,0))))</f>
        <v>0</v>
      </c>
      <c r="BH65" s="18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ca="1">IF(BH64=0,0,
IF(OR(BH64="",COUNTIF(BH64,"*保育無し*")),"",
IF(MOD(BH65-BH64,1)*24&gt;=8,1,
IF(MOD(BH65-BH64,1)*24&gt;=6,0.75,0))))</f>
        <v>0</v>
      </c>
      <c r="BJ65" s="18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ca="1">IF(BJ64=0,0,
IF(OR(BJ64="",COUNTIF(BJ64,"*保育無し*")),"",
IF(MOD(BJ65-BJ64,1)*24&gt;=8,1,
IF(MOD(BJ65-BJ64,1)*24&gt;=6,0.75,0))))</f>
        <v>0</v>
      </c>
      <c r="BL65" s="18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ca="1">IF(BL64=0,0,
IF(OR(BL64="",COUNTIF(BL64,"*保育無し*")),"",
IF(MOD(BL65-BL64,1)*24&gt;=8,1,
IF(MOD(BL65-BL64,1)*24&gt;=6,0.75,0))))</f>
        <v>0</v>
      </c>
      <c r="BN65" s="18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ca="1">IF(BN64=0,0,
IF(OR(BN64="",COUNTIF(BN64,"*保育無し*")),"",
IF(MOD(BN65-BN64,1)*24&gt;=8,1,
IF(MOD(BN65-BN64,1)*24&gt;=6,0.75,0))))</f>
        <v>0</v>
      </c>
      <c r="BP65" s="18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ca="1">IF(BP64=0,0,
IF(OR(BP64="",COUNTIF(BP64,"*保育無し*")),"",
IF(MOD(BP65-BP64,1)*24&gt;=8,1,
IF(MOD(BP65-BP64,1)*24&gt;=6,0.75,0))))</f>
        <v>0</v>
      </c>
      <c r="BR65" s="18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ca="1">IF(BR64=0,0,
IF(OR(BR64="",COUNTIF(BR64,"*保育無し*")),"",
IF(MOD(BR65-BR64,1)*24&gt;=8,1,
IF(MOD(BR65-BR64,1)*24&gt;=6,0.75,0))))</f>
        <v>0</v>
      </c>
      <c r="BT65" s="18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ca="1">IF(BT64=0,0,
IF(OR(BT64="",COUNTIF(BT64,"*保育無し*")),"",
IF(MOD(BT65-BT64,1)*24&gt;=8,1,
IF(MOD(BT65-BT64,1)*24&gt;=6,0.75,0))))</f>
        <v>0</v>
      </c>
      <c r="BV65" s="18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ca="1">IF(BV64=0,0,
IF(OR(BV64="",COUNTIF(BV64,"*保育無し*")),"",
IF(MOD(BV65-BV64,1)*24&gt;=8,1,
IF(MOD(BV65-BV64,1)*24&gt;=6,0.75,0))))</f>
        <v>0</v>
      </c>
      <c r="BX65" s="18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88" t="str">
        <f t="array" ref="M6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89"/>
      <c r="O66" s="93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>
        <f t="array" ref="P66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>
        <f t="array" ref="Q66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90"/>
      <c r="N67" s="91"/>
      <c r="O67" s="94"/>
      <c r="P67" s="18">
        <f t="array" ref="P67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>IF(P66=0,0,
IF(OR(P66="",COUNTIF(P66,"*保育無し*")),"",
IF(MOD(P67-P66,1)*24&gt;=8,1,
IF(MOD(P67-P66,1)*24&gt;=6,0.75,0))))</f>
        <v>0</v>
      </c>
      <c r="R67" s="18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ca="1">IF(T66=0,0,
IF(OR(T66="",COUNTIF(T66,"*保育無し*")),"",
IF(MOD(T67-T66,1)*24&gt;=8,1,
IF(MOD(T67-T66,1)*24&gt;=6,0.75,0))))</f>
        <v>0</v>
      </c>
      <c r="V67" s="18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ca="1">IF(V66=0,0,
IF(OR(V66="",COUNTIF(V66,"*保育無し*")),"",
IF(MOD(V67-V66,1)*24&gt;=8,1,
IF(MOD(V67-V66,1)*24&gt;=6,0.75,0))))</f>
        <v>0</v>
      </c>
      <c r="X67" s="18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ca="1">IF(X66=0,0,
IF(OR(X66="",COUNTIF(X66,"*保育無し*")),"",
IF(MOD(X67-X66,1)*24&gt;=8,1,
IF(MOD(X67-X66,1)*24&gt;=6,0.75,0))))</f>
        <v>0</v>
      </c>
      <c r="Z67" s="18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ca="1">IF(Z66=0,0,
IF(OR(Z66="",COUNTIF(Z66,"*保育無し*")),"",
IF(MOD(Z67-Z66,1)*24&gt;=8,1,
IF(MOD(Z67-Z66,1)*24&gt;=6,0.75,0))))</f>
        <v>0</v>
      </c>
      <c r="AB67" s="18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ca="1">IF(AB66=0,0,
IF(OR(AB66="",COUNTIF(AB66,"*保育無し*")),"",
IF(MOD(AB67-AB66,1)*24&gt;=8,1,
IF(MOD(AB67-AB66,1)*24&gt;=6,0.75,0))))</f>
        <v>0</v>
      </c>
      <c r="AD67" s="18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ca="1">IF(AD66=0,0,
IF(OR(AD66="",COUNTIF(AD66,"*保育無し*")),"",
IF(MOD(AD67-AD66,1)*24&gt;=8,1,
IF(MOD(AD67-AD66,1)*24&gt;=6,0.75,0))))</f>
        <v>0</v>
      </c>
      <c r="AF67" s="18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ca="1">IF(AF66=0,0,
IF(OR(AF66="",COUNTIF(AF66,"*保育無し*")),"",
IF(MOD(AF67-AF66,1)*24&gt;=8,1,
IF(MOD(AF67-AF66,1)*24&gt;=6,0.75,0))))</f>
        <v>0</v>
      </c>
      <c r="AH67" s="18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ca="1">IF(AH66=0,0,
IF(OR(AH66="",COUNTIF(AH66,"*保育無し*")),"",
IF(MOD(AH67-AH66,1)*24&gt;=8,1,
IF(MOD(AH67-AH66,1)*24&gt;=6,0.75,0))))</f>
        <v>0</v>
      </c>
      <c r="AJ67" s="18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ca="1">IF(AJ66=0,0,
IF(OR(AJ66="",COUNTIF(AJ66,"*保育無し*")),"",
IF(MOD(AJ67-AJ66,1)*24&gt;=8,1,
IF(MOD(AJ67-AJ66,1)*24&gt;=6,0.75,0))))</f>
        <v>0</v>
      </c>
      <c r="AL67" s="18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ca="1">IF(AL66=0,0,
IF(OR(AL66="",COUNTIF(AL66,"*保育無し*")),"",
IF(MOD(AL67-AL66,1)*24&gt;=8,1,
IF(MOD(AL67-AL66,1)*24&gt;=6,0.75,0))))</f>
        <v>0</v>
      </c>
      <c r="AN67" s="18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ca="1">IF(AN66=0,0,
IF(OR(AN66="",COUNTIF(AN66,"*保育無し*")),"",
IF(MOD(AN67-AN66,1)*24&gt;=8,1,
IF(MOD(AN67-AN66,1)*24&gt;=6,0.75,0))))</f>
        <v>0</v>
      </c>
      <c r="AP67" s="18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ca="1">IF(AP66=0,0,
IF(OR(AP66="",COUNTIF(AP66,"*保育無し*")),"",
IF(MOD(AP67-AP66,1)*24&gt;=8,1,
IF(MOD(AP67-AP66,1)*24&gt;=6,0.75,0))))</f>
        <v>0</v>
      </c>
      <c r="AR67" s="18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ca="1">IF(AR66=0,0,
IF(OR(AR66="",COUNTIF(AR66,"*保育無し*")),"",
IF(MOD(AR67-AR66,1)*24&gt;=8,1,
IF(MOD(AR67-AR66,1)*24&gt;=6,0.75,0))))</f>
        <v>0</v>
      </c>
      <c r="AT67" s="18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ca="1">IF(AT66=0,0,
IF(OR(AT66="",COUNTIF(AT66,"*保育無し*")),"",
IF(MOD(AT67-AT66,1)*24&gt;=8,1,
IF(MOD(AT67-AT66,1)*24&gt;=6,0.75,0))))</f>
        <v>0</v>
      </c>
      <c r="AV67" s="18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ca="1">IF(AV66=0,0,
IF(OR(AV66="",COUNTIF(AV66,"*保育無し*")),"",
IF(MOD(AV67-AV66,1)*24&gt;=8,1,
IF(MOD(AV67-AV66,1)*24&gt;=6,0.75,0))))</f>
        <v>0</v>
      </c>
      <c r="AX67" s="18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ca="1">IF(AX66=0,0,
IF(OR(AX66="",COUNTIF(AX66,"*保育無し*")),"",
IF(MOD(AX67-AX66,1)*24&gt;=8,1,
IF(MOD(AX67-AX66,1)*24&gt;=6,0.75,0))))</f>
        <v>0</v>
      </c>
      <c r="AZ67" s="18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ca="1">IF(AZ66=0,0,
IF(OR(AZ66="",COUNTIF(AZ66,"*保育無し*")),"",
IF(MOD(AZ67-AZ66,1)*24&gt;=8,1,
IF(MOD(AZ67-AZ66,1)*24&gt;=6,0.75,0))))</f>
        <v>0</v>
      </c>
      <c r="BB67" s="18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ca="1">IF(BB66=0,0,
IF(OR(BB66="",COUNTIF(BB66,"*保育無し*")),"",
IF(MOD(BB67-BB66,1)*24&gt;=8,1,
IF(MOD(BB67-BB66,1)*24&gt;=6,0.75,0))))</f>
        <v>0</v>
      </c>
      <c r="BD67" s="18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ca="1">IF(BD66=0,0,
IF(OR(BD66="",COUNTIF(BD66,"*保育無し*")),"",
IF(MOD(BD67-BD66,1)*24&gt;=8,1,
IF(MOD(BD67-BD66,1)*24&gt;=6,0.75,0))))</f>
        <v>0</v>
      </c>
      <c r="BF67" s="18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ca="1">IF(BF66=0,0,
IF(OR(BF66="",COUNTIF(BF66,"*保育無し*")),"",
IF(MOD(BF67-BF66,1)*24&gt;=8,1,
IF(MOD(BF67-BF66,1)*24&gt;=6,0.75,0))))</f>
        <v>0</v>
      </c>
      <c r="BH67" s="18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ca="1">IF(BH66=0,0,
IF(OR(BH66="",COUNTIF(BH66,"*保育無し*")),"",
IF(MOD(BH67-BH66,1)*24&gt;=8,1,
IF(MOD(BH67-BH66,1)*24&gt;=6,0.75,0))))</f>
        <v>0</v>
      </c>
      <c r="BJ67" s="18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ca="1">IF(BJ66=0,0,
IF(OR(BJ66="",COUNTIF(BJ66,"*保育無し*")),"",
IF(MOD(BJ67-BJ66,1)*24&gt;=8,1,
IF(MOD(BJ67-BJ66,1)*24&gt;=6,0.75,0))))</f>
        <v>0</v>
      </c>
      <c r="BL67" s="18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ca="1">IF(BL66=0,0,
IF(OR(BL66="",COUNTIF(BL66,"*保育無し*")),"",
IF(MOD(BL67-BL66,1)*24&gt;=8,1,
IF(MOD(BL67-BL66,1)*24&gt;=6,0.75,0))))</f>
        <v>0</v>
      </c>
      <c r="BN67" s="18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ca="1">IF(BN66=0,0,
IF(OR(BN66="",COUNTIF(BN66,"*保育無し*")),"",
IF(MOD(BN67-BN66,1)*24&gt;=8,1,
IF(MOD(BN67-BN66,1)*24&gt;=6,0.75,0))))</f>
        <v>0</v>
      </c>
      <c r="BP67" s="18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ca="1">IF(BP66=0,0,
IF(OR(BP66="",COUNTIF(BP66,"*保育無し*")),"",
IF(MOD(BP67-BP66,1)*24&gt;=8,1,
IF(MOD(BP67-BP66,1)*24&gt;=6,0.75,0))))</f>
        <v>0</v>
      </c>
      <c r="BR67" s="18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ca="1">IF(BR66=0,0,
IF(OR(BR66="",COUNTIF(BR66,"*保育無し*")),"",
IF(MOD(BR67-BR66,1)*24&gt;=8,1,
IF(MOD(BR67-BR66,1)*24&gt;=6,0.75,0))))</f>
        <v>0</v>
      </c>
      <c r="BT67" s="18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ca="1">IF(BT66=0,0,
IF(OR(BT66="",COUNTIF(BT66,"*保育無し*")),"",
IF(MOD(BT67-BT66,1)*24&gt;=8,1,
IF(MOD(BT67-BT66,1)*24&gt;=6,0.75,0))))</f>
        <v>0</v>
      </c>
      <c r="BV67" s="18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ca="1">IF(BV66=0,0,
IF(OR(BV66="",COUNTIF(BV66,"*保育無し*")),"",
IF(MOD(BV67-BV66,1)*24&gt;=8,1,
IF(MOD(BV67-BV66,1)*24&gt;=6,0.75,0))))</f>
        <v>0</v>
      </c>
      <c r="BX67" s="18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88" t="str">
        <f t="array" ref="M6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89"/>
      <c r="O68" s="93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>
        <f t="array" ref="P68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>
        <f t="array" ref="Q68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90"/>
      <c r="N69" s="91"/>
      <c r="O69" s="94"/>
      <c r="P69" s="18">
        <f t="array" ref="P69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>IF(P68=0,0,
IF(OR(P68="",COUNTIF(P68,"*保育無し*")),"",
IF(MOD(P69-P68,1)*24&gt;=8,1,
IF(MOD(P69-P68,1)*24&gt;=6,0.75,0))))</f>
        <v>0</v>
      </c>
      <c r="R69" s="18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ca="1">IF(T68=0,0,
IF(OR(T68="",COUNTIF(T68,"*保育無し*")),"",
IF(MOD(T69-T68,1)*24&gt;=8,1,
IF(MOD(T69-T68,1)*24&gt;=6,0.75,0))))</f>
        <v>0</v>
      </c>
      <c r="V69" s="18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ca="1">IF(V68=0,0,
IF(OR(V68="",COUNTIF(V68,"*保育無し*")),"",
IF(MOD(V69-V68,1)*24&gt;=8,1,
IF(MOD(V69-V68,1)*24&gt;=6,0.75,0))))</f>
        <v>0</v>
      </c>
      <c r="X69" s="18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ca="1">IF(X68=0,0,
IF(OR(X68="",COUNTIF(X68,"*保育無し*")),"",
IF(MOD(X69-X68,1)*24&gt;=8,1,
IF(MOD(X69-X68,1)*24&gt;=6,0.75,0))))</f>
        <v>0</v>
      </c>
      <c r="Z69" s="18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ca="1">IF(Z68=0,0,
IF(OR(Z68="",COUNTIF(Z68,"*保育無し*")),"",
IF(MOD(Z69-Z68,1)*24&gt;=8,1,
IF(MOD(Z69-Z68,1)*24&gt;=6,0.75,0))))</f>
        <v>0</v>
      </c>
      <c r="AB69" s="18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ca="1">IF(AB68=0,0,
IF(OR(AB68="",COUNTIF(AB68,"*保育無し*")),"",
IF(MOD(AB69-AB68,1)*24&gt;=8,1,
IF(MOD(AB69-AB68,1)*24&gt;=6,0.75,0))))</f>
        <v>0</v>
      </c>
      <c r="AD69" s="18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ca="1">IF(AD68=0,0,
IF(OR(AD68="",COUNTIF(AD68,"*保育無し*")),"",
IF(MOD(AD69-AD68,1)*24&gt;=8,1,
IF(MOD(AD69-AD68,1)*24&gt;=6,0.75,0))))</f>
        <v>0</v>
      </c>
      <c r="AF69" s="18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ca="1">IF(AF68=0,0,
IF(OR(AF68="",COUNTIF(AF68,"*保育無し*")),"",
IF(MOD(AF69-AF68,1)*24&gt;=8,1,
IF(MOD(AF69-AF68,1)*24&gt;=6,0.75,0))))</f>
        <v>0</v>
      </c>
      <c r="AH69" s="18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ca="1">IF(AH68=0,0,
IF(OR(AH68="",COUNTIF(AH68,"*保育無し*")),"",
IF(MOD(AH69-AH68,1)*24&gt;=8,1,
IF(MOD(AH69-AH68,1)*24&gt;=6,0.75,0))))</f>
        <v>0</v>
      </c>
      <c r="AJ69" s="18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ca="1">IF(AJ68=0,0,
IF(OR(AJ68="",COUNTIF(AJ68,"*保育無し*")),"",
IF(MOD(AJ69-AJ68,1)*24&gt;=8,1,
IF(MOD(AJ69-AJ68,1)*24&gt;=6,0.75,0))))</f>
        <v>0</v>
      </c>
      <c r="AL69" s="18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ca="1">IF(AL68=0,0,
IF(OR(AL68="",COUNTIF(AL68,"*保育無し*")),"",
IF(MOD(AL69-AL68,1)*24&gt;=8,1,
IF(MOD(AL69-AL68,1)*24&gt;=6,0.75,0))))</f>
        <v>0</v>
      </c>
      <c r="AN69" s="18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ca="1">IF(AN68=0,0,
IF(OR(AN68="",COUNTIF(AN68,"*保育無し*")),"",
IF(MOD(AN69-AN68,1)*24&gt;=8,1,
IF(MOD(AN69-AN68,1)*24&gt;=6,0.75,0))))</f>
        <v>0</v>
      </c>
      <c r="AP69" s="18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ca="1">IF(AP68=0,0,
IF(OR(AP68="",COUNTIF(AP68,"*保育無し*")),"",
IF(MOD(AP69-AP68,1)*24&gt;=8,1,
IF(MOD(AP69-AP68,1)*24&gt;=6,0.75,0))))</f>
        <v>0</v>
      </c>
      <c r="AR69" s="18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ca="1">IF(AR68=0,0,
IF(OR(AR68="",COUNTIF(AR68,"*保育無し*")),"",
IF(MOD(AR69-AR68,1)*24&gt;=8,1,
IF(MOD(AR69-AR68,1)*24&gt;=6,0.75,0))))</f>
        <v>0</v>
      </c>
      <c r="AT69" s="18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ca="1">IF(AT68=0,0,
IF(OR(AT68="",COUNTIF(AT68,"*保育無し*")),"",
IF(MOD(AT69-AT68,1)*24&gt;=8,1,
IF(MOD(AT69-AT68,1)*24&gt;=6,0.75,0))))</f>
        <v>0</v>
      </c>
      <c r="AV69" s="18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ca="1">IF(AV68=0,0,
IF(OR(AV68="",COUNTIF(AV68,"*保育無し*")),"",
IF(MOD(AV69-AV68,1)*24&gt;=8,1,
IF(MOD(AV69-AV68,1)*24&gt;=6,0.75,0))))</f>
        <v>0</v>
      </c>
      <c r="AX69" s="18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ca="1">IF(AX68=0,0,
IF(OR(AX68="",COUNTIF(AX68,"*保育無し*")),"",
IF(MOD(AX69-AX68,1)*24&gt;=8,1,
IF(MOD(AX69-AX68,1)*24&gt;=6,0.75,0))))</f>
        <v>0</v>
      </c>
      <c r="AZ69" s="18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ca="1">IF(AZ68=0,0,
IF(OR(AZ68="",COUNTIF(AZ68,"*保育無し*")),"",
IF(MOD(AZ69-AZ68,1)*24&gt;=8,1,
IF(MOD(AZ69-AZ68,1)*24&gt;=6,0.75,0))))</f>
        <v>0</v>
      </c>
      <c r="BB69" s="18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ca="1">IF(BB68=0,0,
IF(OR(BB68="",COUNTIF(BB68,"*保育無し*")),"",
IF(MOD(BB69-BB68,1)*24&gt;=8,1,
IF(MOD(BB69-BB68,1)*24&gt;=6,0.75,0))))</f>
        <v>0</v>
      </c>
      <c r="BD69" s="18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ca="1">IF(BD68=0,0,
IF(OR(BD68="",COUNTIF(BD68,"*保育無し*")),"",
IF(MOD(BD69-BD68,1)*24&gt;=8,1,
IF(MOD(BD69-BD68,1)*24&gt;=6,0.75,0))))</f>
        <v>0</v>
      </c>
      <c r="BF69" s="18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ca="1">IF(BF68=0,0,
IF(OR(BF68="",COUNTIF(BF68,"*保育無し*")),"",
IF(MOD(BF69-BF68,1)*24&gt;=8,1,
IF(MOD(BF69-BF68,1)*24&gt;=6,0.75,0))))</f>
        <v>0</v>
      </c>
      <c r="BH69" s="18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ca="1">IF(BH68=0,0,
IF(OR(BH68="",COUNTIF(BH68,"*保育無し*")),"",
IF(MOD(BH69-BH68,1)*24&gt;=8,1,
IF(MOD(BH69-BH68,1)*24&gt;=6,0.75,0))))</f>
        <v>0</v>
      </c>
      <c r="BJ69" s="18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ca="1">IF(BJ68=0,0,
IF(OR(BJ68="",COUNTIF(BJ68,"*保育無し*")),"",
IF(MOD(BJ69-BJ68,1)*24&gt;=8,1,
IF(MOD(BJ69-BJ68,1)*24&gt;=6,0.75,0))))</f>
        <v>0</v>
      </c>
      <c r="BL69" s="18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ca="1">IF(BL68=0,0,
IF(OR(BL68="",COUNTIF(BL68,"*保育無し*")),"",
IF(MOD(BL69-BL68,1)*24&gt;=8,1,
IF(MOD(BL69-BL68,1)*24&gt;=6,0.75,0))))</f>
        <v>0</v>
      </c>
      <c r="BN69" s="18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ca="1">IF(BN68=0,0,
IF(OR(BN68="",COUNTIF(BN68,"*保育無し*")),"",
IF(MOD(BN69-BN68,1)*24&gt;=8,1,
IF(MOD(BN69-BN68,1)*24&gt;=6,0.75,0))))</f>
        <v>0</v>
      </c>
      <c r="BP69" s="18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ca="1">IF(BP68=0,0,
IF(OR(BP68="",COUNTIF(BP68,"*保育無し*")),"",
IF(MOD(BP69-BP68,1)*24&gt;=8,1,
IF(MOD(BP69-BP68,1)*24&gt;=6,0.75,0))))</f>
        <v>0</v>
      </c>
      <c r="BR69" s="18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ca="1">IF(BR68=0,0,
IF(OR(BR68="",COUNTIF(BR68,"*保育無し*")),"",
IF(MOD(BR69-BR68,1)*24&gt;=8,1,
IF(MOD(BR69-BR68,1)*24&gt;=6,0.75,0))))</f>
        <v>0</v>
      </c>
      <c r="BT69" s="18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ca="1">IF(BT68=0,0,
IF(OR(BT68="",COUNTIF(BT68,"*保育無し*")),"",
IF(MOD(BT69-BT68,1)*24&gt;=8,1,
IF(MOD(BT69-BT68,1)*24&gt;=6,0.75,0))))</f>
        <v>0</v>
      </c>
      <c r="BV69" s="18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ca="1">IF(BV68=0,0,
IF(OR(BV68="",COUNTIF(BV68,"*保育無し*")),"",
IF(MOD(BV69-BV68,1)*24&gt;=8,1,
IF(MOD(BV69-BV68,1)*24&gt;=6,0.75,0))))</f>
        <v>0</v>
      </c>
      <c r="BX69" s="18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88" t="str">
        <f t="array" ref="M7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89"/>
      <c r="O70" s="93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>
        <f t="array" ref="P70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>
        <f t="array" ref="Q70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90"/>
      <c r="N71" s="91"/>
      <c r="O71" s="94"/>
      <c r="P71" s="18">
        <f t="array" ref="P7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>IF(P70=0,0,
IF(OR(P70="",COUNTIF(P70,"*保育無し*")),"",
IF(MOD(P71-P70,1)*24&gt;=8,1,
IF(MOD(P71-P70,1)*24&gt;=6,0.75,0))))</f>
        <v>0</v>
      </c>
      <c r="R71" s="18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ca="1">IF(T70=0,0,
IF(OR(T70="",COUNTIF(T70,"*保育無し*")),"",
IF(MOD(T71-T70,1)*24&gt;=8,1,
IF(MOD(T71-T70,1)*24&gt;=6,0.75,0))))</f>
        <v>0</v>
      </c>
      <c r="V71" s="18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ca="1">IF(V70=0,0,
IF(OR(V70="",COUNTIF(V70,"*保育無し*")),"",
IF(MOD(V71-V70,1)*24&gt;=8,1,
IF(MOD(V71-V70,1)*24&gt;=6,0.75,0))))</f>
        <v>0</v>
      </c>
      <c r="X71" s="18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ca="1">IF(X70=0,0,
IF(OR(X70="",COUNTIF(X70,"*保育無し*")),"",
IF(MOD(X71-X70,1)*24&gt;=8,1,
IF(MOD(X71-X70,1)*24&gt;=6,0.75,0))))</f>
        <v>0</v>
      </c>
      <c r="Z71" s="18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ca="1">IF(Z70=0,0,
IF(OR(Z70="",COUNTIF(Z70,"*保育無し*")),"",
IF(MOD(Z71-Z70,1)*24&gt;=8,1,
IF(MOD(Z71-Z70,1)*24&gt;=6,0.75,0))))</f>
        <v>0</v>
      </c>
      <c r="AB71" s="18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ca="1">IF(AB70=0,0,
IF(OR(AB70="",COUNTIF(AB70,"*保育無し*")),"",
IF(MOD(AB71-AB70,1)*24&gt;=8,1,
IF(MOD(AB71-AB70,1)*24&gt;=6,0.75,0))))</f>
        <v>0</v>
      </c>
      <c r="AD71" s="18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ca="1">IF(AD70=0,0,
IF(OR(AD70="",COUNTIF(AD70,"*保育無し*")),"",
IF(MOD(AD71-AD70,1)*24&gt;=8,1,
IF(MOD(AD71-AD70,1)*24&gt;=6,0.75,0))))</f>
        <v>0</v>
      </c>
      <c r="AF71" s="18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ca="1">IF(AF70=0,0,
IF(OR(AF70="",COUNTIF(AF70,"*保育無し*")),"",
IF(MOD(AF71-AF70,1)*24&gt;=8,1,
IF(MOD(AF71-AF70,1)*24&gt;=6,0.75,0))))</f>
        <v>0</v>
      </c>
      <c r="AH71" s="18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ca="1">IF(AH70=0,0,
IF(OR(AH70="",COUNTIF(AH70,"*保育無し*")),"",
IF(MOD(AH71-AH70,1)*24&gt;=8,1,
IF(MOD(AH71-AH70,1)*24&gt;=6,0.75,0))))</f>
        <v>0</v>
      </c>
      <c r="AJ71" s="18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ca="1">IF(AJ70=0,0,
IF(OR(AJ70="",COUNTIF(AJ70,"*保育無し*")),"",
IF(MOD(AJ71-AJ70,1)*24&gt;=8,1,
IF(MOD(AJ71-AJ70,1)*24&gt;=6,0.75,0))))</f>
        <v>0</v>
      </c>
      <c r="AL71" s="18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ca="1">IF(AL70=0,0,
IF(OR(AL70="",COUNTIF(AL70,"*保育無し*")),"",
IF(MOD(AL71-AL70,1)*24&gt;=8,1,
IF(MOD(AL71-AL70,1)*24&gt;=6,0.75,0))))</f>
        <v>0</v>
      </c>
      <c r="AN71" s="18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ca="1">IF(AN70=0,0,
IF(OR(AN70="",COUNTIF(AN70,"*保育無し*")),"",
IF(MOD(AN71-AN70,1)*24&gt;=8,1,
IF(MOD(AN71-AN70,1)*24&gt;=6,0.75,0))))</f>
        <v>0</v>
      </c>
      <c r="AP71" s="18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ca="1">IF(AP70=0,0,
IF(OR(AP70="",COUNTIF(AP70,"*保育無し*")),"",
IF(MOD(AP71-AP70,1)*24&gt;=8,1,
IF(MOD(AP71-AP70,1)*24&gt;=6,0.75,0))))</f>
        <v>0</v>
      </c>
      <c r="AR71" s="18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ca="1">IF(AR70=0,0,
IF(OR(AR70="",COUNTIF(AR70,"*保育無し*")),"",
IF(MOD(AR71-AR70,1)*24&gt;=8,1,
IF(MOD(AR71-AR70,1)*24&gt;=6,0.75,0))))</f>
        <v>0</v>
      </c>
      <c r="AT71" s="18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ca="1">IF(AT70=0,0,
IF(OR(AT70="",COUNTIF(AT70,"*保育無し*")),"",
IF(MOD(AT71-AT70,1)*24&gt;=8,1,
IF(MOD(AT71-AT70,1)*24&gt;=6,0.75,0))))</f>
        <v>0</v>
      </c>
      <c r="AV71" s="18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ca="1">IF(AV70=0,0,
IF(OR(AV70="",COUNTIF(AV70,"*保育無し*")),"",
IF(MOD(AV71-AV70,1)*24&gt;=8,1,
IF(MOD(AV71-AV70,1)*24&gt;=6,0.75,0))))</f>
        <v>0</v>
      </c>
      <c r="AX71" s="18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ca="1">IF(AX70=0,0,
IF(OR(AX70="",COUNTIF(AX70,"*保育無し*")),"",
IF(MOD(AX71-AX70,1)*24&gt;=8,1,
IF(MOD(AX71-AX70,1)*24&gt;=6,0.75,0))))</f>
        <v>0</v>
      </c>
      <c r="AZ71" s="18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ca="1">IF(AZ70=0,0,
IF(OR(AZ70="",COUNTIF(AZ70,"*保育無し*")),"",
IF(MOD(AZ71-AZ70,1)*24&gt;=8,1,
IF(MOD(AZ71-AZ70,1)*24&gt;=6,0.75,0))))</f>
        <v>0</v>
      </c>
      <c r="BB71" s="18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ca="1">IF(BB70=0,0,
IF(OR(BB70="",COUNTIF(BB70,"*保育無し*")),"",
IF(MOD(BB71-BB70,1)*24&gt;=8,1,
IF(MOD(BB71-BB70,1)*24&gt;=6,0.75,0))))</f>
        <v>0</v>
      </c>
      <c r="BD71" s="18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ca="1">IF(BD70=0,0,
IF(OR(BD70="",COUNTIF(BD70,"*保育無し*")),"",
IF(MOD(BD71-BD70,1)*24&gt;=8,1,
IF(MOD(BD71-BD70,1)*24&gt;=6,0.75,0))))</f>
        <v>0</v>
      </c>
      <c r="BF71" s="18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ca="1">IF(BF70=0,0,
IF(OR(BF70="",COUNTIF(BF70,"*保育無し*")),"",
IF(MOD(BF71-BF70,1)*24&gt;=8,1,
IF(MOD(BF71-BF70,1)*24&gt;=6,0.75,0))))</f>
        <v>0</v>
      </c>
      <c r="BH71" s="18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ca="1">IF(BH70=0,0,
IF(OR(BH70="",COUNTIF(BH70,"*保育無し*")),"",
IF(MOD(BH71-BH70,1)*24&gt;=8,1,
IF(MOD(BH71-BH70,1)*24&gt;=6,0.75,0))))</f>
        <v>0</v>
      </c>
      <c r="BJ71" s="18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ca="1">IF(BJ70=0,0,
IF(OR(BJ70="",COUNTIF(BJ70,"*保育無し*")),"",
IF(MOD(BJ71-BJ70,1)*24&gt;=8,1,
IF(MOD(BJ71-BJ70,1)*24&gt;=6,0.75,0))))</f>
        <v>0</v>
      </c>
      <c r="BL71" s="18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ca="1">IF(BL70=0,0,
IF(OR(BL70="",COUNTIF(BL70,"*保育無し*")),"",
IF(MOD(BL71-BL70,1)*24&gt;=8,1,
IF(MOD(BL71-BL70,1)*24&gt;=6,0.75,0))))</f>
        <v>0</v>
      </c>
      <c r="BN71" s="18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ca="1">IF(BN70=0,0,
IF(OR(BN70="",COUNTIF(BN70,"*保育無し*")),"",
IF(MOD(BN71-BN70,1)*24&gt;=8,1,
IF(MOD(BN71-BN70,1)*24&gt;=6,0.75,0))))</f>
        <v>0</v>
      </c>
      <c r="BP71" s="18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ca="1">IF(BP70=0,0,
IF(OR(BP70="",COUNTIF(BP70,"*保育無し*")),"",
IF(MOD(BP71-BP70,1)*24&gt;=8,1,
IF(MOD(BP71-BP70,1)*24&gt;=6,0.75,0))))</f>
        <v>0</v>
      </c>
      <c r="BR71" s="18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ca="1">IF(BR70=0,0,
IF(OR(BR70="",COUNTIF(BR70,"*保育無し*")),"",
IF(MOD(BR71-BR70,1)*24&gt;=8,1,
IF(MOD(BR71-BR70,1)*24&gt;=6,0.75,0))))</f>
        <v>0</v>
      </c>
      <c r="BT71" s="18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ca="1">IF(BT70=0,0,
IF(OR(BT70="",COUNTIF(BT70,"*保育無し*")),"",
IF(MOD(BT71-BT70,1)*24&gt;=8,1,
IF(MOD(BT71-BT70,1)*24&gt;=6,0.75,0))))</f>
        <v>0</v>
      </c>
      <c r="BV71" s="18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ca="1">IF(BV70=0,0,
IF(OR(BV70="",COUNTIF(BV70,"*保育無し*")),"",
IF(MOD(BV71-BV70,1)*24&gt;=8,1,
IF(MOD(BV71-BV70,1)*24&gt;=6,0.75,0))))</f>
        <v>0</v>
      </c>
      <c r="BX71" s="18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ca="1">IF(BX70=0,0,
IF(OR(BX70="",COUNTIF(BX70,"*保育無し*")),"",
IF(MOD(BX71-BX70,1)*24&gt;=8,1,
IF(MOD(BX71-BX70,1)*24&gt;=6,0.75,0))))</f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  <mergeCell ref="M50:N51"/>
    <mergeCell ref="M52:N53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O64:O65"/>
    <mergeCell ref="O46:O47"/>
    <mergeCell ref="O42:O43"/>
    <mergeCell ref="O14:O15"/>
    <mergeCell ref="O28:O29"/>
    <mergeCell ref="O36:O37"/>
    <mergeCell ref="O30:O31"/>
    <mergeCell ref="O32:O33"/>
    <mergeCell ref="O50:O51"/>
    <mergeCell ref="O52:O53"/>
    <mergeCell ref="O48:O49"/>
    <mergeCell ref="M9:N9"/>
    <mergeCell ref="O20:O21"/>
    <mergeCell ref="O44:O45"/>
    <mergeCell ref="M11:N11"/>
    <mergeCell ref="O12:O13"/>
    <mergeCell ref="M24:N25"/>
    <mergeCell ref="M22:N23"/>
    <mergeCell ref="O38:O39"/>
    <mergeCell ref="O24:O25"/>
    <mergeCell ref="O16:O17"/>
    <mergeCell ref="O26:O27"/>
    <mergeCell ref="M12:N13"/>
    <mergeCell ref="M14:N15"/>
    <mergeCell ref="M16:N17"/>
    <mergeCell ref="M18:N19"/>
    <mergeCell ref="M20:N21"/>
    <mergeCell ref="M62:N63"/>
    <mergeCell ref="M64:N65"/>
    <mergeCell ref="M66:N67"/>
    <mergeCell ref="M68:N69"/>
    <mergeCell ref="M70:N71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2025-05-02T06:52:02Z</cp:lastPrinted>
  <dcterms:created xsi:type="dcterms:W3CDTF">2025-02-17T02:33:15Z</dcterms:created>
  <dcterms:modified xsi:type="dcterms:W3CDTF">2025-05-02T07:37:19Z</dcterms:modified>
</cp:coreProperties>
</file>